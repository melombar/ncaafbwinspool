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" sheetId="1" r:id="rId4"/>
    <sheet state="visible" name="Current Week" sheetId="2" r:id="rId5"/>
    <sheet state="hidden" name="Active Games" sheetId="3" r:id="rId6"/>
    <sheet state="hidden" name="Tuesday" sheetId="4" r:id="rId7"/>
    <sheet state="hidden" name="Wednesday" sheetId="5" r:id="rId8"/>
    <sheet state="hidden" name="Thursday" sheetId="6" r:id="rId9"/>
    <sheet state="hidden" name="Friday" sheetId="7" r:id="rId10"/>
    <sheet state="hidden" name="Saturday" sheetId="8" r:id="rId11"/>
    <sheet state="hidden" name="ESPN rankings import" sheetId="9" r:id="rId12"/>
    <sheet state="hidden" name="Sunday" sheetId="10" r:id="rId13"/>
    <sheet state="hidden" name="Monday" sheetId="11" r:id="rId14"/>
    <sheet state="visible" name="DraftTracker" sheetId="12" r:id="rId15"/>
    <sheet state="hidden" name="Espn Ranking save" sheetId="13" r:id="rId16"/>
    <sheet state="hidden" name="Picks by Player" sheetId="14" r:id="rId17"/>
    <sheet state="hidden" name="Teams" sheetId="15" r:id="rId18"/>
    <sheet state="hidden" name="OnTheClocks Eligable Teams" sheetId="16" r:id="rId19"/>
    <sheet state="hidden" name="Actual Conferences" sheetId="17" r:id="rId20"/>
    <sheet state="hidden" name="Teams-Conference" sheetId="18" r:id="rId21"/>
    <sheet state="visible" name="ALL Teams Available" sheetId="19" r:id="rId22"/>
    <sheet state="hidden" name="P5G5" sheetId="20" r:id="rId23"/>
    <sheet state="hidden" name="Conferences Needed" sheetId="21" r:id="rId24"/>
    <sheet state="hidden" name="PXP sorted by Conf" sheetId="22" r:id="rId25"/>
    <sheet state="hidden" name="Email Opt-ins" sheetId="23" r:id="rId26"/>
    <sheet state="hidden" name="Draft Schedule Notes" sheetId="24" r:id="rId27"/>
    <sheet state="hidden" name="ACTranspose" sheetId="25" r:id="rId28"/>
    <sheet state="hidden" name="Draft Order" sheetId="26" r:id="rId29"/>
    <sheet state="hidden" name="Picks by Player Raw" sheetId="27" r:id="rId30"/>
    <sheet state="hidden" name="SheetIDs" sheetId="28" r:id="rId31"/>
    <sheet state="visible" name="team colors" sheetId="29" r:id="rId32"/>
    <sheet state="hidden" name="Conference Colors" sheetId="30" r:id="rId33"/>
    <sheet state="hidden" name="Proj Log" sheetId="31" r:id="rId34"/>
    <sheet state="hidden" name="Translation" sheetId="32" r:id="rId35"/>
    <sheet state="hidden" name="Weekday color codes" sheetId="33" r:id="rId36"/>
    <sheet state="visible" name="Weekly Log" sheetId="34" r:id="rId37"/>
    <sheet state="hidden" name="Translation 2021" sheetId="35" r:id="rId38"/>
    <sheet state="hidden" name="Team-Color" sheetId="36" r:id="rId39"/>
    <sheet state="hidden" name="Conf-Color" sheetId="37" r:id="rId40"/>
    <sheet state="hidden" name="Network Order" sheetId="38" r:id="rId41"/>
    <sheet state="hidden" name="team_colors_r" sheetId="39" r:id="rId42"/>
    <sheet state="hidden" name="conference_colors_r" sheetId="40" r:id="rId43"/>
  </sheets>
  <definedNames>
    <definedName hidden="1" localSheetId="1" name="_xlnm._FilterDatabase">'Current Week'!$B$1:$U$146</definedName>
    <definedName hidden="1" localSheetId="11" name="_xlnm._FilterDatabase">DraftTracker!$A$1:$F$134</definedName>
    <definedName hidden="1" localSheetId="17" name="_xlnm._FilterDatabase">'Teams-Conference'!$A$1:$H$134</definedName>
    <definedName hidden="1" localSheetId="22" name="_xlnm._FilterDatabase">'Email Opt-ins'!$A$1:$C$14</definedName>
    <definedName hidden="1" localSheetId="25" name="_xlnm._FilterDatabase">'Draft Order'!$A$1:$C$14</definedName>
    <definedName hidden="1" localSheetId="30" name="_xlnm._FilterDatabase">'Proj Log'!$A$1:$D$1742</definedName>
    <definedName hidden="1" localSheetId="35" name="_xlnm._FilterDatabase">'Team-Color'!$A$1:$D$142</definedName>
    <definedName hidden="1" localSheetId="37" name="_xlnm._FilterDatabase">'Network Order'!$A$1:$B$36</definedName>
    <definedName hidden="1" localSheetId="1" name="Z_FC5F4837_096F_435A_9412_15429D5A55ED_.wvu.FilterData">'Current Week'!$A$1:$T$146</definedName>
    <definedName hidden="1" localSheetId="1" name="Z_9B37FC41_94CE_4CC5_AD07_3E8C71FA73B0_.wvu.FilterData">'Current Week'!$A$1:$T$146</definedName>
    <definedName hidden="1" localSheetId="1" name="Z_E6793577_2376_4447_82D0_BB0756A82B1E_.wvu.FilterData">'Current Week'!$A$1:$T$146</definedName>
    <definedName hidden="1" localSheetId="1" name="Z_3428FCA0_41DC_40E4_A8D6_2CF50DD9F0E9_.wvu.FilterData">'Current Week'!$A$1:$T$146</definedName>
    <definedName hidden="1" localSheetId="1" name="Z_B88893A6_B6D6_432E_8DCA_CAD3D6DCF719_.wvu.FilterData">'Current Week'!$A$1:$T$146</definedName>
    <definedName hidden="1" localSheetId="1" name="Z_F877B383_D57C_43F0_ABD9_BB60F9A5D205_.wvu.FilterData">'Current Week'!$A$1:$T$146</definedName>
    <definedName hidden="1" localSheetId="11" name="Z_4FA24A79_F679_4038_8F69_BBB46B1F8264_.wvu.FilterData">DraftTracker!$B$1:$G$120</definedName>
    <definedName hidden="1" localSheetId="1" name="Z_955C2714_648F_47AC_87D8_8C84A615918A_.wvu.FilterData">'Current Week'!$A$1:$T$146</definedName>
    <definedName hidden="1" localSheetId="1" name="Z_FE717030_E2E8_48CD_9A6E_75FE7111D1DD_.wvu.FilterData">'Current Week'!$A$1:$T$146</definedName>
    <definedName hidden="1" localSheetId="1" name="Z_26A4D3E7_BEA9_4822_B0A2_213F62CD06C1_.wvu.FilterData">'Current Week'!$A$1:$T$146</definedName>
    <definedName hidden="1" localSheetId="1" name="Z_12AEC28A_A201_456A_811C_E2381FBDA4C8_.wvu.FilterData">'Current Week'!$A$1:$T$146</definedName>
    <definedName hidden="1" localSheetId="1" name="Z_8ADDBF4F_5201_4606_8177_5E2433F1C677_.wvu.FilterData">'Current Week'!$A$1:$T$146</definedName>
    <definedName hidden="1" localSheetId="1" name="Z_AD5D2FC9_BA9C_41E8_AFF2_43B11F036A0F_.wvu.FilterData">'Current Week'!$A$1:$T$146</definedName>
    <definedName hidden="1" localSheetId="1" name="Z_F9ED8316_47CE_4064_B3EC_E0126812C8E9_.wvu.FilterData">'Current Week'!$A$1:$T$146</definedName>
    <definedName hidden="1" localSheetId="1" name="Z_B2858E01_A4F8_4A08_BAA2_7187835243A0_.wvu.FilterData">'Current Week'!$A$1:$T$146</definedName>
    <definedName hidden="1" localSheetId="1" name="Z_51B10B4E_401D_4020_9AD8_2BEB1D766235_.wvu.FilterData">'Current Week'!$A$1:$T$146</definedName>
    <definedName hidden="1" localSheetId="1" name="Z_BCAF2EA3_36BC_4936_A5A2_0AC7C7C3734D_.wvu.FilterData">'Current Week'!$A$1:$T$146</definedName>
    <definedName hidden="1" localSheetId="1" name="Z_4400E0C1_3675_4A58_998D_60DAAD921D32_.wvu.FilterData">'Current Week'!$B$1:$M$146</definedName>
    <definedName hidden="1" localSheetId="1" name="Z_09576992_4176_4A0C_B528_C43A6E84C353_.wvu.FilterData">'Current Week'!$A$1:$T$146</definedName>
    <definedName hidden="1" localSheetId="1" name="Z_5CE34EBD_F339_4E7F_A4EC_CFBCDB4507FA_.wvu.FilterData">'Current Week'!$A$1:$T$146</definedName>
    <definedName hidden="1" localSheetId="1" name="Z_665BBD9C_7BCE_4EAE_A894_147FF125B56F_.wvu.FilterData">'Current Week'!$A$1:$T$146</definedName>
  </definedNames>
  <calcPr/>
  <customWorkbookViews>
    <customWorkbookView activeSheetId="0" maximized="1" windowHeight="0" windowWidth="0" guid="{FC5F4837-096F-435A-9412-15429D5A55ED}" name="Gary"/>
    <customWorkbookView activeSheetId="0" maximized="1" windowHeight="0" windowWidth="0" guid="{9B37FC41-94CE-4CC5-AD07-3E8C71FA73B0}" name="Jeannine"/>
    <customWorkbookView activeSheetId="0" maximized="1" windowHeight="0" windowWidth="0" guid="{E6793577-2376-4447-82D0-BB0756A82B1E}" name=".Upcoming Wednesday Games"/>
    <customWorkbookView activeSheetId="0" maximized="1" windowHeight="0" windowWidth="0" guid="{3428FCA0-41DC-40E4-A8D6-2CF50DD9F0E9}" name="Justin"/>
    <customWorkbookView activeSheetId="0" maximized="1" windowHeight="0" windowWidth="0" guid="{B88893A6-B6D6-432E-8DCA-CAD3D6DCF719}" name="Masa"/>
    <customWorkbookView activeSheetId="0" maximized="1" windowHeight="0" windowWidth="0" guid="{F877B383-D57C-43F0-ABD9-BB60F9A5D205}" name=".Upcoming Friday Games"/>
    <customWorkbookView activeSheetId="0" maximized="1" windowHeight="0" windowWidth="0" guid="{4FA24A79-F679-4038-8F69-BBB46B1F8264}" name="Filter 1"/>
    <customWorkbookView activeSheetId="0" maximized="1" windowHeight="0" windowWidth="0" guid="{955C2714-648F-47AC-87D8-8C84A615918A}" name="Nick G."/>
    <customWorkbookView activeSheetId="0" maximized="1" windowHeight="0" windowWidth="0" guid="{FE717030-E2E8-48CD-9A6E-75FE7111D1DD}" name="Vu"/>
    <customWorkbookView activeSheetId="0" maximized="1" windowHeight="0" windowWidth="0" guid="{26A4D3E7-BEA9-4822-B0A2-213F62CD06C1}" name="Janice/Mike"/>
    <customWorkbookView activeSheetId="0" maximized="1" windowHeight="0" windowWidth="0" guid="{12AEC28A-A201-456A-811C-E2381FBDA4C8}" name="Nico"/>
    <customWorkbookView activeSheetId="0" maximized="1" windowHeight="0" windowWidth="0" guid="{8ADDBF4F-5201-4606-8177-5E2433F1C677}" name=".Upcoming Saturday Games"/>
    <customWorkbookView activeSheetId="0" maximized="1" windowHeight="0" windowWidth="0" guid="{AD5D2FC9-BA9C-41E8-AFF2-43B11F036A0F}" name="Nick A."/>
    <customWorkbookView activeSheetId="0" maximized="1" windowHeight="0" windowWidth="0" guid="{F9ED8316-47CE-4064-B3EC-E0126812C8E9}" name="Josh"/>
    <customWorkbookView activeSheetId="0" maximized="1" windowHeight="0" windowWidth="0" guid="{B2858E01-A4F8-4A08-BAA2-7187835243A0}" name=".All Active Games"/>
    <customWorkbookView activeSheetId="0" maximized="1" windowHeight="0" windowWidth="0" guid="{51B10B4E-401D-4020-9AD8-2BEB1D766235}" name="Dan"/>
    <customWorkbookView activeSheetId="0" maximized="1" windowHeight="0" windowWidth="0" guid="{BCAF2EA3-36BC-4936-A5A2-0AC7C7C3734D}" name="Brad"/>
    <customWorkbookView activeSheetId="0" maximized="1" windowHeight="0" windowWidth="0" guid="{4400E0C1-3675-4A58-998D-60DAAD921D32}" name="home dog high over"/>
    <customWorkbookView activeSheetId="0" maximized="1" windowHeight="0" windowWidth="0" guid="{09576992-4176-4A0C-B528-C43A6E84C353}" name=".Upcoming Thursday Games"/>
    <customWorkbookView activeSheetId="0" maximized="1" windowHeight="0" windowWidth="0" guid="{5CE34EBD-F339-4E7F-A4EC-CFBCDB4507FA}" name=".Upcoming Tuesday Games"/>
    <customWorkbookView activeSheetId="0" maximized="1" windowHeight="0" windowWidth="0" guid="{665BBD9C-7BCE-4EAE-A894-147FF125B56F}" name="DavEmily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Includes completed games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tc={7503fede-8bc9-46a2-b885-c04331c327b9}</author>
  </authors>
  <commentList>
    <comment authorId="0" ref="AS1">
      <text>
        <t xml:space="preserve">I need to account for wildcards</t>
      </text>
    </comment>
    <comment authorId="1" xr:uid="{7503fede-8bc9-46a2-b885-c04331c327b9}" ref="F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Dilfer sucks
Reply:
	Lol! I still say good hire was a racist reaction to Deon Sanders
Reply:
	58-55 as a qb. 55% completion percentage. 113 TDs and 129 INTs. These are great career numbers for a Bears QB.
Reply:
	Really shows the kind of good decision making you want as a head coach. But really they hired him as a motivator. I'm sure if you asked Ray Lewis and that historic Defense how much Dilfer motivated them, they'd tell you it was everything
Reply:
	https://www.dailymotion.com/video/x1yzeo
Reply:
	Lol
Reply:
	Just learned that only I and Mike are getting notifications on these. Adding @jrenglund28@gmail.com @ntrebon@gmail.com @vupham90@gmail.com @davelarson79@gmail.com for potential piling on
Reply:
	i got no notifications
Reply:
	premium google sheet users
Reply:
	Then what the fuck does @ ing do other than turning text blue?
Reply:
	because that's how it works in other google products?  shared library
Reply:
	whoa, it is pretty slick that I can respond to these inline in the email alert
Reply:
	It is a legit time saver at work sometimes
Reply:
	which offsets the time theft of this thread. even steven.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http://www.lsufootball.net/tvschedule.htm</t>
      </text>
    </comment>
  </commentList>
</comments>
</file>

<file path=xl/sharedStrings.xml><?xml version="1.0" encoding="utf-8"?>
<sst xmlns="http://schemas.openxmlformats.org/spreadsheetml/2006/main" count="26074" uniqueCount="1705">
  <si>
    <t>order</t>
  </si>
  <si>
    <t>Game</t>
  </si>
  <si>
    <t>Player</t>
  </si>
  <si>
    <t>Team</t>
  </si>
  <si>
    <t>Network</t>
  </si>
  <si>
    <t>Status</t>
  </si>
  <si>
    <t>Player Matchup</t>
  </si>
  <si>
    <t>W</t>
  </si>
  <si>
    <t>L</t>
  </si>
  <si>
    <t>Spread Comp</t>
  </si>
  <si>
    <t>matchup</t>
  </si>
  <si>
    <t>Spread</t>
  </si>
  <si>
    <t>Status (Time ET)</t>
  </si>
  <si>
    <t>opponent</t>
  </si>
  <si>
    <t>network</t>
  </si>
  <si>
    <t>Opening
Spread</t>
  </si>
  <si>
    <t>Season</t>
  </si>
  <si>
    <t>Total</t>
  </si>
  <si>
    <t>sort2</t>
  </si>
  <si>
    <t>sort1</t>
  </si>
  <si>
    <t>Current
Spread</t>
  </si>
  <si>
    <t>Comp</t>
  </si>
  <si>
    <t>other</t>
  </si>
  <si>
    <t>Current Total</t>
  </si>
  <si>
    <t>dif</t>
  </si>
  <si>
    <t>line</t>
  </si>
  <si>
    <t>Money Lines</t>
  </si>
  <si>
    <t>PF</t>
  </si>
  <si>
    <t>PA</t>
  </si>
  <si>
    <t>dupe</t>
  </si>
  <si>
    <t>activeSort</t>
  </si>
  <si>
    <t>Conf</t>
  </si>
  <si>
    <r>
      <rPr>
        <b/>
        <sz val="12.0"/>
      </rPr>
      <t xml:space="preserve">Current Week </t>
    </r>
    <r>
      <rPr>
        <b val="0"/>
        <sz val="8.0"/>
      </rPr>
      <t>(Projections based on most recent Consensus)</t>
    </r>
  </si>
  <si>
    <t>Conf type</t>
  </si>
  <si>
    <t>Win</t>
  </si>
  <si>
    <t>Nick G.</t>
  </si>
  <si>
    <t>ESPN2</t>
  </si>
  <si>
    <t>EMU 24 Buffalo 8 1:12 IN 3RD</t>
  </si>
  <si>
    <t>Oregon</t>
  </si>
  <si>
    <t>Actaul + Chalk Projections</t>
  </si>
  <si>
    <t>ESPNU</t>
  </si>
  <si>
    <t>Bowling Green 34 Western Michigan 10 0:00 IN 4TH</t>
  </si>
  <si>
    <t>Players</t>
  </si>
  <si>
    <t xml:space="preserve">(5) Oregon at (3) Washington </t>
  </si>
  <si>
    <t>Wins</t>
  </si>
  <si>
    <t>Losses</t>
  </si>
  <si>
    <t>Vu</t>
  </si>
  <si>
    <t>o65.5</t>
  </si>
  <si>
    <t>P5 Ws</t>
  </si>
  <si>
    <t>G5 Ws</t>
  </si>
  <si>
    <t>Games</t>
  </si>
  <si>
    <t>Games Played</t>
  </si>
  <si>
    <t>Games Left</t>
  </si>
  <si>
    <t>Expected Wins</t>
  </si>
  <si>
    <t>Upsets Won</t>
  </si>
  <si>
    <t>Upsets Lost</t>
  </si>
  <si>
    <t>Nick A.</t>
  </si>
  <si>
    <t>Josh</t>
  </si>
  <si>
    <t>Janice/Mike</t>
  </si>
  <si>
    <t>Nico</t>
  </si>
  <si>
    <t>DavEmily</t>
  </si>
  <si>
    <t>Justin</t>
  </si>
  <si>
    <t>Brad</t>
  </si>
  <si>
    <t>Georgia</t>
  </si>
  <si>
    <t/>
  </si>
  <si>
    <t xml:space="preserve">(1) Georgia at (8) Alabama </t>
  </si>
  <si>
    <t>Central Michigan 20 Ohio 34 FINAL</t>
  </si>
  <si>
    <t>Masa</t>
  </si>
  <si>
    <t>o54.5</t>
  </si>
  <si>
    <t>Jeannine</t>
  </si>
  <si>
    <t>Dan</t>
  </si>
  <si>
    <t>Appalachian State</t>
  </si>
  <si>
    <t xml:space="preserve">Appalachian State at Troy </t>
  </si>
  <si>
    <t>o52.5</t>
  </si>
  <si>
    <t>Kansas State</t>
  </si>
  <si>
    <t>Kent State</t>
  </si>
  <si>
    <t>ESPN</t>
  </si>
  <si>
    <t>(12) Ole Miss 17 Mississippi State 7 FINAL</t>
  </si>
  <si>
    <t>Sam Houston</t>
  </si>
  <si>
    <t>Miami</t>
  </si>
  <si>
    <t>Nebraska</t>
  </si>
  <si>
    <t>Temple</t>
  </si>
  <si>
    <t>ABC</t>
  </si>
  <si>
    <t>Miami 45 Boston College 20 FINAL</t>
  </si>
  <si>
    <t>UTSA 16 (18) Tulane 29 FINAL</t>
  </si>
  <si>
    <t>Texas Tech 7 (7) Texas 57 FINAL</t>
  </si>
  <si>
    <t>CBS</t>
  </si>
  <si>
    <t>(19) Iowa 13 Nebraska 10 FINAL</t>
  </si>
  <si>
    <t>New Mexico</t>
  </si>
  <si>
    <t>(10) Missouri 48 Arkansas 14 FINAL</t>
  </si>
  <si>
    <t>NBC</t>
  </si>
  <si>
    <t>(11) Penn State 42 Michigan State 0 FINAL</t>
  </si>
  <si>
    <t>FOX</t>
  </si>
  <si>
    <t>TCU 45 (13) Oklahoma 69 FINAL</t>
  </si>
  <si>
    <t>(15) Oregon State 7 (6) Oregon 31 FINAL</t>
  </si>
  <si>
    <t>Memphis 45 Temple 21 FINAL</t>
  </si>
  <si>
    <t>FS1</t>
  </si>
  <si>
    <t>Air Force 19 Boise State 27 FINAL</t>
  </si>
  <si>
    <t>Toledo 32 Central Michigan 17 FINAL</t>
  </si>
  <si>
    <t>CBSSN</t>
  </si>
  <si>
    <t>Ohio 25 Akron 14 FINAL</t>
  </si>
  <si>
    <t>Utah State 44 New Mexico 41 FINAL - 2ND OT</t>
  </si>
  <si>
    <t>Liberty</t>
  </si>
  <si>
    <t xml:space="preserve">New Mexico State at (22) Liberty </t>
  </si>
  <si>
    <t>o56.5</t>
  </si>
  <si>
    <t>Colorado State</t>
  </si>
  <si>
    <t xml:space="preserve">(19) Oklahoma State at (7) Texas </t>
  </si>
  <si>
    <t xml:space="preserve">(24) SMU at (18) Tulane </t>
  </si>
  <si>
    <t xml:space="preserve">(14) Louisville at (4) Florida State </t>
  </si>
  <si>
    <t>UCLA</t>
  </si>
  <si>
    <t xml:space="preserve">Boise State at UNLV </t>
  </si>
  <si>
    <t>Marshall</t>
  </si>
  <si>
    <t>Auburn</t>
  </si>
  <si>
    <t>Virginia Tech</t>
  </si>
  <si>
    <t>o53.5</t>
  </si>
  <si>
    <t>Proj W</t>
  </si>
  <si>
    <t>Minnesota</t>
  </si>
  <si>
    <t>Northern Illinois</t>
  </si>
  <si>
    <t>Memphis</t>
  </si>
  <si>
    <t>BYU</t>
  </si>
  <si>
    <t>Toledo</t>
  </si>
  <si>
    <t xml:space="preserve">Miami-OH at Toledo </t>
  </si>
  <si>
    <t>o43.5</t>
  </si>
  <si>
    <t>Army</t>
  </si>
  <si>
    <t>Iowa State</t>
  </si>
  <si>
    <t>Gary</t>
  </si>
  <si>
    <t>Texas State</t>
  </si>
  <si>
    <t>Florida</t>
  </si>
  <si>
    <t>Notre Dame</t>
  </si>
  <si>
    <t>San José State</t>
  </si>
  <si>
    <t>Syracuse</t>
  </si>
  <si>
    <t>(5) LSU 24 (8) Florida State 45 FINAL</t>
  </si>
  <si>
    <t>Northwestern 7 Rutgers 24 FINAL</t>
  </si>
  <si>
    <t>Florida Atlantic</t>
  </si>
  <si>
    <t>(18) Oregon State 42 San José State 17 0:03 IN 4TH</t>
  </si>
  <si>
    <t>Penn State</t>
  </si>
  <si>
    <t>Clemson at Duke</t>
  </si>
  <si>
    <t>Alabama</t>
  </si>
  <si>
    <t>draft</t>
  </si>
  <si>
    <t>SMU</t>
  </si>
  <si>
    <t>rnd</t>
  </si>
  <si>
    <t>pick</t>
  </si>
  <si>
    <t>player</t>
  </si>
  <si>
    <t>conf</t>
  </si>
  <si>
    <t>team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</si>
  <si>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</si>
  <si>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</si>
  <si>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</si>
  <si>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</si>
  <si>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</si>
  <si>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</si>
  <si>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o47.5</t>
  </si>
  <si>
    <t>picks_better_than</t>
  </si>
  <si>
    <t>no_teams_slept_on</t>
  </si>
  <si>
    <t>Opening Spread</t>
  </si>
  <si>
    <t>wins_missed</t>
  </si>
  <si>
    <t>bestpick</t>
  </si>
  <si>
    <t>wins_gained</t>
  </si>
  <si>
    <t>teams_slept_on</t>
  </si>
  <si>
    <t>wins_missed_conf</t>
  </si>
  <si>
    <t>picks_better_than_conf</t>
  </si>
  <si>
    <t>no_teams_slept_on_conf</t>
  </si>
  <si>
    <t>bestpick_conf</t>
  </si>
  <si>
    <t>wins_gained_conf</t>
  </si>
  <si>
    <t>Louisville</t>
  </si>
  <si>
    <t>teams_slept_on_conf</t>
  </si>
  <si>
    <t>confs_avail</t>
  </si>
  <si>
    <t>wins_missed_confs_avail</t>
  </si>
  <si>
    <t>picks_better_than_confs_avail</t>
  </si>
  <si>
    <t>no_teams_slept_on_confs_avail</t>
  </si>
  <si>
    <t>bestpick_confs_avail</t>
  </si>
  <si>
    <t>wins_gained_confs_avail</t>
  </si>
  <si>
    <t>teams_slept_on_confs_avail</t>
  </si>
  <si>
    <t>Hawaii</t>
  </si>
  <si>
    <t>Arizona State</t>
  </si>
  <si>
    <t>UL Lafayette</t>
  </si>
  <si>
    <t>UMASS</t>
  </si>
  <si>
    <t>Ball State</t>
  </si>
  <si>
    <t>Michigan State</t>
  </si>
  <si>
    <t>Oklahoma</t>
  </si>
  <si>
    <t>Washington</t>
  </si>
  <si>
    <t>Troy</t>
  </si>
  <si>
    <t>Tulane</t>
  </si>
  <si>
    <t>Wyoming</t>
  </si>
  <si>
    <t>South Carolina</t>
  </si>
  <si>
    <t>Rutgers</t>
  </si>
  <si>
    <t>Illinois</t>
  </si>
  <si>
    <t>Duke</t>
  </si>
  <si>
    <t>Texas Tech</t>
  </si>
  <si>
    <t>Akron</t>
  </si>
  <si>
    <t>San Diego State</t>
  </si>
  <si>
    <t>Clemson</t>
  </si>
  <si>
    <t>Kansas</t>
  </si>
  <si>
    <t>Stanford</t>
  </si>
  <si>
    <t>UTEP</t>
  </si>
  <si>
    <t>Indiana</t>
  </si>
  <si>
    <t>Kentucky</t>
  </si>
  <si>
    <t>Southern Mississippi</t>
  </si>
  <si>
    <t>UTSA</t>
  </si>
  <si>
    <t>Buffalo</t>
  </si>
  <si>
    <t>Ohio State</t>
  </si>
  <si>
    <t>New Mexico State</t>
  </si>
  <si>
    <t>UNLV</t>
  </si>
  <si>
    <t>o58.5</t>
  </si>
  <si>
    <t>USC</t>
  </si>
  <si>
    <t>South Alabama</t>
  </si>
  <si>
    <t>Coastal Carolina</t>
  </si>
  <si>
    <t>Tulsa</t>
  </si>
  <si>
    <t>Wake Forest</t>
  </si>
  <si>
    <t>Michigan</t>
  </si>
  <si>
    <t>Houston</t>
  </si>
  <si>
    <t xml:space="preserve">(2) Michigan at (17) Iowa </t>
  </si>
  <si>
    <t>o34.5</t>
  </si>
  <si>
    <t>Arkansas</t>
  </si>
  <si>
    <t>Ohio</t>
  </si>
  <si>
    <t>Western Kentucky</t>
  </si>
  <si>
    <t>North Carolina</t>
  </si>
  <si>
    <t>Arizona</t>
  </si>
  <si>
    <t>UL Monroe</t>
  </si>
  <si>
    <t>LSU</t>
  </si>
  <si>
    <t>Florida Intl</t>
  </si>
  <si>
    <t>North Texas</t>
  </si>
  <si>
    <t>Purdue</t>
  </si>
  <si>
    <t>TCU</t>
  </si>
  <si>
    <t>Florida State</t>
  </si>
  <si>
    <t>Ole Miss</t>
  </si>
  <si>
    <t>Bowling Green</t>
  </si>
  <si>
    <t>Boise State</t>
  </si>
  <si>
    <t>Middle Tennessee</t>
  </si>
  <si>
    <t>Georgia Tech</t>
  </si>
  <si>
    <t>Baylor</t>
  </si>
  <si>
    <t>Utah</t>
  </si>
  <si>
    <t>Georgia State</t>
  </si>
  <si>
    <t>Tennessee</t>
  </si>
  <si>
    <t>Navy</t>
  </si>
  <si>
    <t>o57.5</t>
  </si>
  <si>
    <t>UConn</t>
  </si>
  <si>
    <t>Missouri</t>
  </si>
  <si>
    <t>EMU</t>
  </si>
  <si>
    <t>Texas</t>
  </si>
  <si>
    <t>Miami-OH</t>
  </si>
  <si>
    <t>Fresno State</t>
  </si>
  <si>
    <t>Cincinnati</t>
  </si>
  <si>
    <t>Air Force</t>
  </si>
  <si>
    <t>Maryland</t>
  </si>
  <si>
    <t>Georgia Southern</t>
  </si>
  <si>
    <t>East Carolina</t>
  </si>
  <si>
    <t>Oregon State</t>
  </si>
  <si>
    <t>Boston College</t>
  </si>
  <si>
    <t>Mississippi State</t>
  </si>
  <si>
    <t>Louisiana Tech</t>
  </si>
  <si>
    <t>California</t>
  </si>
  <si>
    <t>Charlotte</t>
  </si>
  <si>
    <t>South Florida</t>
  </si>
  <si>
    <t>Arkansas State</t>
  </si>
  <si>
    <t>Wisconsin</t>
  </si>
  <si>
    <t>Pittsburgh</t>
  </si>
  <si>
    <t>UCF</t>
  </si>
  <si>
    <t>Nevada</t>
  </si>
  <si>
    <t>Washington State</t>
  </si>
  <si>
    <t>Jacksonville State</t>
  </si>
  <si>
    <t>Northwestern</t>
  </si>
  <si>
    <t>James Madison</t>
  </si>
  <si>
    <t>Rice</t>
  </si>
  <si>
    <t>Texas A&amp;M</t>
  </si>
  <si>
    <t>Central Michigan</t>
  </si>
  <si>
    <t>Iowa</t>
  </si>
  <si>
    <t>Oklahoma State</t>
  </si>
  <si>
    <t>NC State</t>
  </si>
  <si>
    <t>Colorado</t>
  </si>
  <si>
    <t>Old Dominion</t>
  </si>
  <si>
    <t>UAB</t>
  </si>
  <si>
    <t>Western Michigan</t>
  </si>
  <si>
    <t>Utah State</t>
  </si>
  <si>
    <t>Undrafted</t>
  </si>
  <si>
    <t>Virginia</t>
  </si>
  <si>
    <t>West Virginia</t>
  </si>
  <si>
    <t>Vanderbilt</t>
  </si>
  <si>
    <t>CONF</t>
  </si>
  <si>
    <t>Pojected Wins</t>
  </si>
  <si>
    <t>Pooler</t>
  </si>
  <si>
    <t>Ohio State Buckeyes</t>
  </si>
  <si>
    <t>Big Ten</t>
  </si>
  <si>
    <t>Air Force Falcons</t>
  </si>
  <si>
    <t>Michigan Wolverines</t>
  </si>
  <si>
    <t>Akron Zips</t>
  </si>
  <si>
    <t>Oregon Ducks</t>
  </si>
  <si>
    <t>Pac-12</t>
  </si>
  <si>
    <t>Alabama Crimson Tide</t>
  </si>
  <si>
    <t>Penn State Nittany Lions</t>
  </si>
  <si>
    <t>Appalachian State Mountaineers</t>
  </si>
  <si>
    <t>Georgia Bulldogs</t>
  </si>
  <si>
    <t>SEC</t>
  </si>
  <si>
    <t>Arizona State Sun Devils</t>
  </si>
  <si>
    <t>Arizona Wildcats</t>
  </si>
  <si>
    <t>Texas Longhorns</t>
  </si>
  <si>
    <t>Big 12</t>
  </si>
  <si>
    <t>Arkansas Razorbacks</t>
  </si>
  <si>
    <t>Oklahoma Sooners</t>
  </si>
  <si>
    <t>Arkansas State Red Wolves</t>
  </si>
  <si>
    <t>Florida State Seminoles</t>
  </si>
  <si>
    <t>ACC</t>
  </si>
  <si>
    <t>Army Black Knights</t>
  </si>
  <si>
    <t>LSU Tigers</t>
  </si>
  <si>
    <t>Auburn Tigers</t>
  </si>
  <si>
    <t>Notre Dame Fighting Irish</t>
  </si>
  <si>
    <t>FBS Indep.</t>
  </si>
  <si>
    <t>Ball State Cardinals</t>
  </si>
  <si>
    <t>Kansas State Wildcats</t>
  </si>
  <si>
    <t>Baylor Bears</t>
  </si>
  <si>
    <t>Washington Huskies</t>
  </si>
  <si>
    <t>Boise State Broncos</t>
  </si>
  <si>
    <t>Texas A&amp;M Aggies</t>
  </si>
  <si>
    <t>Boston College Eagles</t>
  </si>
  <si>
    <t>Ole Miss Rebels</t>
  </si>
  <si>
    <t>Bowling Green Falcons</t>
  </si>
  <si>
    <t>Missouri Tigers</t>
  </si>
  <si>
    <t>Buffalo Bulls</t>
  </si>
  <si>
    <t>Tennessee Volunteers</t>
  </si>
  <si>
    <t>BYU Cougars</t>
  </si>
  <si>
    <t>Oregon State Beavers</t>
  </si>
  <si>
    <t>California Golden Bears</t>
  </si>
  <si>
    <t>Clemson Tigers</t>
  </si>
  <si>
    <t>Central Michigan Chippewas</t>
  </si>
  <si>
    <t>SMU Mustangs</t>
  </si>
  <si>
    <t>American</t>
  </si>
  <si>
    <t>Charlotte 49ers</t>
  </si>
  <si>
    <t>USC Trojans</t>
  </si>
  <si>
    <t>Cincinnati Bearcats</t>
  </si>
  <si>
    <t>Louisville Cardinals</t>
  </si>
  <si>
    <t>Coastal Carolina Chanticleers</t>
  </si>
  <si>
    <t>Miami Hurricanes</t>
  </si>
  <si>
    <t>Colorado Buffaloes</t>
  </si>
  <si>
    <t>Utah Utes</t>
  </si>
  <si>
    <t>Colorado State Rams</t>
  </si>
  <si>
    <t>North Carolina Tar Heels</t>
  </si>
  <si>
    <t>Duke Blue Devils</t>
  </si>
  <si>
    <t>UCF Knights</t>
  </si>
  <si>
    <t>East Carolina Pirates</t>
  </si>
  <si>
    <t>TCU Horned Frogs</t>
  </si>
  <si>
    <t>Eastern Michigan Eagles</t>
  </si>
  <si>
    <t>Kansas Jayhawks</t>
  </si>
  <si>
    <t>Florida Atlantic Owls</t>
  </si>
  <si>
    <t>Florida Gators</t>
  </si>
  <si>
    <t>Florida International Panthers</t>
  </si>
  <si>
    <t>Iowa State Cyclones</t>
  </si>
  <si>
    <t>Maryland Terrapins</t>
  </si>
  <si>
    <t>Fresno State Bulldogs</t>
  </si>
  <si>
    <t>Kentucky Wildcats</t>
  </si>
  <si>
    <t>NC State Wolfpack</t>
  </si>
  <si>
    <t>Georgia Southern Eagles</t>
  </si>
  <si>
    <t>CUSA</t>
  </si>
  <si>
    <t>MAC</t>
  </si>
  <si>
    <t>MWC</t>
  </si>
  <si>
    <t>Pac12</t>
  </si>
  <si>
    <t>Sun Belt</t>
  </si>
  <si>
    <t>UCLA Bruins</t>
  </si>
  <si>
    <t>Georgia State Panthers</t>
  </si>
  <si>
    <t>Oklahoma State Cowboys</t>
  </si>
  <si>
    <t>Georgia Tech Yellow Jackets</t>
  </si>
  <si>
    <t>Iowa Hawkeyes</t>
  </si>
  <si>
    <t>Hawai'i Rainbow Warriors</t>
  </si>
  <si>
    <t>James Madison Dukes</t>
  </si>
  <si>
    <t>Houston Cougars</t>
  </si>
  <si>
    <t>Illinois Fighting Illini</t>
  </si>
  <si>
    <t>Texas Tech Red Raiders</t>
  </si>
  <si>
    <t>Indiana Hoosiers</t>
  </si>
  <si>
    <t>Wisconsin Badgers</t>
  </si>
  <si>
    <t>South Carolina Gamecocks</t>
  </si>
  <si>
    <t>West Virginia Mountaineers</t>
  </si>
  <si>
    <t>Troy Trojans</t>
  </si>
  <si>
    <t>Virginia Tech Hokies</t>
  </si>
  <si>
    <t>Kent State Golden Flashes</t>
  </si>
  <si>
    <t>Liberty Flames</t>
  </si>
  <si>
    <t>Mountain West</t>
  </si>
  <si>
    <t>Tulane Green Wave</t>
  </si>
  <si>
    <t>Louisiana Ragin' Cajuns</t>
  </si>
  <si>
    <t>Louisiana Tech Bulldogs</t>
  </si>
  <si>
    <t>Washington State Cougars</t>
  </si>
  <si>
    <t>Memphis Tigers</t>
  </si>
  <si>
    <t>Rutgers Scarlet Knights</t>
  </si>
  <si>
    <t>Marshall Thundering Herd</t>
  </si>
  <si>
    <t>Syracuse Orange</t>
  </si>
  <si>
    <t>Toledo Rockets</t>
  </si>
  <si>
    <t>Miami (OH) RedHawks</t>
  </si>
  <si>
    <t>UTSA Roadrunners</t>
  </si>
  <si>
    <t>Mississippi State Bulldogs</t>
  </si>
  <si>
    <t>Michigan State Spartans</t>
  </si>
  <si>
    <t>South Alabama Jaguars</t>
  </si>
  <si>
    <t>Nebraska Cornhuskers</t>
  </si>
  <si>
    <t>Middle Tennessee Blue Raiders</t>
  </si>
  <si>
    <t>Minnesota Golden Gophers</t>
  </si>
  <si>
    <t>San José State Spartans</t>
  </si>
  <si>
    <t>zIndependent</t>
  </si>
  <si>
    <t>Pittsburgh Panthers</t>
  </si>
  <si>
    <t>Navy Midshipmen</t>
  </si>
  <si>
    <t>Northwestern Wildcats</t>
  </si>
  <si>
    <t>UNLV Rebels</t>
  </si>
  <si>
    <t>Nevada Wolf Pack</t>
  </si>
  <si>
    <t>New Mexico Lobos</t>
  </si>
  <si>
    <t>Purdue Boilermakers</t>
  </si>
  <si>
    <t>New Mexico State Aggies</t>
  </si>
  <si>
    <t>Wake Forest Demon Deacons</t>
  </si>
  <si>
    <t>North Texas Mean Green</t>
  </si>
  <si>
    <t>Northern Illinois Huskies</t>
  </si>
  <si>
    <t>Ohio Bobcats</t>
  </si>
  <si>
    <t>Wyoming Cowboys</t>
  </si>
  <si>
    <t>AAC</t>
  </si>
  <si>
    <t>Old Dominion Monarchs</t>
  </si>
  <si>
    <t>Jacksonville State Gamecocks</t>
  </si>
  <si>
    <t>Rice Owls</t>
  </si>
  <si>
    <t>Virginia Cavaliers</t>
  </si>
  <si>
    <t>Western Kentucky Hilltoppers</t>
  </si>
  <si>
    <t>San Diego State Aztecs</t>
  </si>
  <si>
    <t>South Florida Bulls</t>
  </si>
  <si>
    <t>Southern Miss Golden Eagles</t>
  </si>
  <si>
    <t>Stanford Cardinal</t>
  </si>
  <si>
    <t>Utah State Aggies</t>
  </si>
  <si>
    <t>Texas State Bobcats</t>
  </si>
  <si>
    <t>Temple Owls</t>
  </si>
  <si>
    <t>Vanderbilt Commodores</t>
  </si>
  <si>
    <t>Conf Type</t>
  </si>
  <si>
    <t>Power 5</t>
  </si>
  <si>
    <t>Group of 5</t>
  </si>
  <si>
    <t>Independent</t>
  </si>
  <si>
    <t>Picked</t>
  </si>
  <si>
    <t>Tulsa Golden Hurricane</t>
  </si>
  <si>
    <t>UAB Blazers</t>
  </si>
  <si>
    <t>UConn Huskies</t>
  </si>
  <si>
    <t>UL Monroe Warhawks</t>
  </si>
  <si>
    <t>Massachusetts Minutemen</t>
  </si>
  <si>
    <t>Western Michigan Broncos</t>
  </si>
  <si>
    <t>Sam Houston Bearkats</t>
  </si>
  <si>
    <t>UTEP Miners</t>
  </si>
  <si>
    <t>email</t>
  </si>
  <si>
    <t>all_updates</t>
  </si>
  <si>
    <t>bradlytle@gmail.com</t>
  </si>
  <si>
    <t>All Picks</t>
  </si>
  <si>
    <t>danielgeib1@gmail.com</t>
  </si>
  <si>
    <t>Only when I make a pick and it's my turn to pick</t>
  </si>
  <si>
    <t>davelarson79@gmail.com</t>
  </si>
  <si>
    <t>garysfishin@gmail.com</t>
  </si>
  <si>
    <t>janicelombar@gmail.com,mlombardo@gmail.com</t>
  </si>
  <si>
    <t>jkusta@gmail.com</t>
  </si>
  <si>
    <t>rowe.jj@gmail.com</t>
  </si>
  <si>
    <t>jrenglund28@gmail.com</t>
  </si>
  <si>
    <t>mcwata7@gmail.com</t>
  </si>
  <si>
    <t>nickaramovich@gmail.com</t>
  </si>
  <si>
    <t>nick.b.gates@gmail.com</t>
  </si>
  <si>
    <t>ntrebon@gmail.com</t>
  </si>
  <si>
    <t>vupham90@gmail.com</t>
  </si>
  <si>
    <t>year</t>
  </si>
  <si>
    <t>N</t>
  </si>
  <si>
    <t>draft start</t>
  </si>
  <si>
    <t>draft end</t>
  </si>
  <si>
    <t>days</t>
  </si>
  <si>
    <t>output delay expected?</t>
  </si>
  <si>
    <t>week 2</t>
  </si>
  <si>
    <t>yes, no timeline</t>
  </si>
  <si>
    <t>no</t>
  </si>
  <si>
    <t>Order Rnd()</t>
  </si>
  <si>
    <t>day</t>
  </si>
  <si>
    <t>ID</t>
  </si>
  <si>
    <t>Sunday</t>
  </si>
  <si>
    <t>Monday</t>
  </si>
  <si>
    <t>Tuesday</t>
  </si>
  <si>
    <t>Wednesday</t>
  </si>
  <si>
    <t>Thursday</t>
  </si>
  <si>
    <t>Friday</t>
  </si>
  <si>
    <t>Saturday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</si>
  <si>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</si>
  <si>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</si>
  <si>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</si>
  <si>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</si>
  <si>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</si>
  <si>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</si>
  <si>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</si>
  <si>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</si>
  <si>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</si>
  <si>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</si>
  <si>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</si>
  <si>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</si>
  <si>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</si>
  <si>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</si>
  <si>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</si>
  <si>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</si>
  <si>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</si>
  <si>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</si>
  <si>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</si>
  <si>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</si>
  <si>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</si>
  <si>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</si>
  <si>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</si>
  <si>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</si>
  <si>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</si>
  <si>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</si>
  <si>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</si>
  <si>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</si>
  <si>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</si>
  <si>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</si>
  <si>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</si>
  <si>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</si>
  <si>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</si>
  <si>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#e00122</t>
  </si>
  <si>
    <t>#f66733</t>
  </si>
  <si>
    <t>#522d80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</si>
  <si>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</si>
  <si>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</si>
  <si>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</si>
  <si>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</si>
  <si>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</si>
  <si>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</si>
  <si>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</si>
  <si>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</si>
  <si>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</si>
  <si>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</si>
  <si>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</si>
  <si>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</si>
  <si>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</si>
  <si>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</si>
  <si>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</si>
  <si>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</si>
  <si>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</si>
  <si>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</si>
  <si>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</si>
  <si>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</si>
  <si>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</si>
  <si>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</si>
  <si>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</si>
  <si>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</si>
  <si>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</si>
  <si>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</si>
  <si>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</si>
  <si>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</si>
  <si>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</si>
  <si>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</si>
  <si>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#450084</t>
  </si>
  <si>
    <t>#CBB677</t>
  </si>
  <si>
    <t>#0022b4</t>
  </si>
  <si>
    <t>#e8000d</t>
  </si>
  <si>
    <t>#512888</t>
  </si>
  <si>
    <t>#a8adad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</si>
  <si>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</si>
  <si>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</si>
  <si>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</si>
  <si>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</si>
  <si>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</si>
  <si>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</si>
  <si>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</si>
  <si>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</si>
  <si>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</si>
  <si>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</si>
  <si>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</si>
  <si>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</si>
  <si>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</si>
  <si>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</si>
  <si>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</si>
  <si>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</si>
  <si>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</si>
  <si>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</si>
  <si>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</si>
  <si>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</si>
  <si>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</si>
  <si>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</si>
  <si>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</si>
  <si>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</si>
  <si>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</si>
  <si>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</si>
  <si>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</si>
  <si>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</si>
  <si>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</si>
  <si>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</si>
  <si>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</si>
  <si>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</si>
  <si>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</si>
  <si>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</si>
  <si>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</si>
  <si>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</si>
  <si>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</si>
  <si>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</si>
  <si>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</si>
  <si>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</si>
  <si>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</si>
  <si>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</si>
  <si>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</si>
  <si>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</si>
  <si>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</si>
  <si>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</si>
  <si>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</si>
  <si>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</si>
  <si>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</si>
  <si>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</si>
  <si>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</si>
  <si>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</si>
  <si>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</si>
  <si>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</si>
  <si>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</si>
  <si>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</si>
  <si>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</si>
  <si>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</si>
  <si>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</si>
  <si>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</si>
  <si>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</si>
  <si>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</si>
  <si>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</si>
  <si>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</si>
  <si>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</si>
  <si>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</si>
  <si>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</si>
  <si>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</si>
  <si>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</si>
  <si>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</si>
  <si>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</si>
  <si>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</si>
  <si>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</si>
  <si>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</si>
  <si>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</si>
  <si>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</si>
  <si>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</si>
  <si>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</si>
  <si>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</si>
  <si>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</si>
  <si>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</si>
  <si>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</si>
  <si>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</si>
  <si>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</si>
  <si>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</si>
  <si>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</si>
  <si>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</si>
  <si>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</si>
  <si>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</si>
  <si>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</si>
  <si>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</si>
  <si>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</si>
  <si>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</si>
  <si>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</si>
  <si>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</si>
  <si>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</si>
  <si>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</si>
  <si>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</si>
  <si>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</si>
  <si>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</si>
  <si>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</si>
  <si>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</si>
  <si>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</si>
  <si>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</si>
  <si>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</si>
  <si>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</si>
  <si>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</si>
  <si>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</si>
  <si>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</si>
  <si>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</si>
  <si>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</si>
  <si>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</si>
  <si>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</si>
  <si>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</si>
  <si>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</si>
  <si>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</si>
  <si>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#c4012f</t>
  </si>
  <si>
    <t>#492f24</t>
  </si>
  <si>
    <t>#ffc425</t>
  </si>
  <si>
    <t>#ef483e</t>
  </si>
  <si>
    <t>#cfd4d8</t>
  </si>
  <si>
    <t>#013ca6</t>
  </si>
  <si>
    <t>#a5a9ab</t>
  </si>
  <si>
    <t>#e2231a</t>
  </si>
  <si>
    <t>#041e41</t>
  </si>
  <si>
    <t>#0c2342</t>
  </si>
  <si>
    <t>#f2a900</t>
  </si>
  <si>
    <t>#a6192e</t>
  </si>
  <si>
    <t>#bbbcbc</t>
  </si>
  <si>
    <t>#00a160</t>
  </si>
  <si>
    <t>#0d2647</t>
  </si>
  <si>
    <t>#0088ce</t>
  </si>
  <si>
    <t>#004b8d</t>
  </si>
  <si>
    <t>#ffd046</t>
  </si>
  <si>
    <t>#4f2d7f</t>
  </si>
  <si>
    <t>#afafaf</t>
  </si>
  <si>
    <t>#004b91</t>
  </si>
  <si>
    <t>#04223f</t>
  </si>
  <si>
    <t>Date Entry</t>
  </si>
  <si>
    <t>Bottom Line</t>
  </si>
  <si>
    <t>Florida International</t>
  </si>
  <si>
    <t>Southern Miss</t>
  </si>
  <si>
    <t>Eastern Michigan</t>
  </si>
  <si>
    <t>Miami OH</t>
  </si>
  <si>
    <t>Hawai'i</t>
  </si>
  <si>
    <t>San Jose State</t>
  </si>
  <si>
    <t>Texas AM</t>
  </si>
  <si>
    <t>Louisiana</t>
  </si>
  <si>
    <t>Massachusetts</t>
  </si>
  <si>
    <t>ESPNs HTML</t>
  </si>
  <si>
    <t>CIN</t>
  </si>
  <si>
    <t>CONN</t>
  </si>
  <si>
    <t>ECU</t>
  </si>
  <si>
    <t>HOU</t>
  </si>
  <si>
    <t>MEM</t>
  </si>
  <si>
    <t>NAVY</t>
  </si>
  <si>
    <t>USF</t>
  </si>
  <si>
    <t>TEM</t>
  </si>
  <si>
    <t>TULN</t>
  </si>
  <si>
    <t>TLSA</t>
  </si>
  <si>
    <t>BC</t>
  </si>
  <si>
    <t>CLEM</t>
  </si>
  <si>
    <t>DUKE</t>
  </si>
  <si>
    <t>FSU</t>
  </si>
  <si>
    <t>GT</t>
  </si>
  <si>
    <t>LOU</t>
  </si>
  <si>
    <t>MIA</t>
  </si>
  <si>
    <t>NCSU</t>
  </si>
  <si>
    <t>UNC</t>
  </si>
  <si>
    <t>PITT</t>
  </si>
  <si>
    <t>SYR</t>
  </si>
  <si>
    <t>UVA</t>
  </si>
  <si>
    <t>VT</t>
  </si>
  <si>
    <t>WAKE</t>
  </si>
  <si>
    <t>BAY</t>
  </si>
  <si>
    <t>ISU</t>
  </si>
  <si>
    <t>KU</t>
  </si>
  <si>
    <t>KSU</t>
  </si>
  <si>
    <t>OU</t>
  </si>
  <si>
    <t>OKST</t>
  </si>
  <si>
    <t>TEX</t>
  </si>
  <si>
    <t>TTU</t>
  </si>
  <si>
    <t>WVU</t>
  </si>
  <si>
    <t>ILL</t>
  </si>
  <si>
    <t>IU</t>
  </si>
  <si>
    <t>IOWA</t>
  </si>
  <si>
    <t>MD</t>
  </si>
  <si>
    <t>MICH</t>
  </si>
  <si>
    <t>MSU</t>
  </si>
  <si>
    <t>MINN</t>
  </si>
  <si>
    <t>NEB</t>
  </si>
  <si>
    <t>NU</t>
  </si>
  <si>
    <t>OSU</t>
  </si>
  <si>
    <t>PSU</t>
  </si>
  <si>
    <t>PUR</t>
  </si>
  <si>
    <t>RUTG</t>
  </si>
  <si>
    <t>WIS</t>
  </si>
  <si>
    <t>FIU</t>
  </si>
  <si>
    <t>FAU</t>
  </si>
  <si>
    <t>LT</t>
  </si>
  <si>
    <t>MRSH</t>
  </si>
  <si>
    <t>MTSU</t>
  </si>
  <si>
    <t>UNT</t>
  </si>
  <si>
    <t>ODU</t>
  </si>
  <si>
    <t>RICE</t>
  </si>
  <si>
    <t>USM</t>
  </si>
  <si>
    <t>CLT</t>
  </si>
  <si>
    <t>WKU</t>
  </si>
  <si>
    <t>AKR</t>
  </si>
  <si>
    <t>BALL</t>
  </si>
  <si>
    <t>BGSU</t>
  </si>
  <si>
    <t>BUFF</t>
  </si>
  <si>
    <t>CMU</t>
  </si>
  <si>
    <t>KENT</t>
  </si>
  <si>
    <t>M-OH</t>
  </si>
  <si>
    <t>NIU</t>
  </si>
  <si>
    <t>OHIO</t>
  </si>
  <si>
    <t>TOL</t>
  </si>
  <si>
    <t>WMU</t>
  </si>
  <si>
    <t>AFA</t>
  </si>
  <si>
    <t>BOIS</t>
  </si>
  <si>
    <t>CSU</t>
  </si>
  <si>
    <t>FRES</t>
  </si>
  <si>
    <t>HAW</t>
  </si>
  <si>
    <t>NEV</t>
  </si>
  <si>
    <t>UNM</t>
  </si>
  <si>
    <t>SDSU</t>
  </si>
  <si>
    <t>SJSU</t>
  </si>
  <si>
    <t>USU</t>
  </si>
  <si>
    <t>WYO</t>
  </si>
  <si>
    <t>ARIZ</t>
  </si>
  <si>
    <t>ASU</t>
  </si>
  <si>
    <t>CAL</t>
  </si>
  <si>
    <t>COLO</t>
  </si>
  <si>
    <t>ORE</t>
  </si>
  <si>
    <t>ORST</t>
  </si>
  <si>
    <t>STAN</t>
  </si>
  <si>
    <t>UTAH</t>
  </si>
  <si>
    <t>WASH</t>
  </si>
  <si>
    <t>WSU</t>
  </si>
  <si>
    <t>ALA</t>
  </si>
  <si>
    <t>ARK</t>
  </si>
  <si>
    <t>AUB</t>
  </si>
  <si>
    <t>FLA</t>
  </si>
  <si>
    <t>UGA</t>
  </si>
  <si>
    <t>UK</t>
  </si>
  <si>
    <t>MSST</t>
  </si>
  <si>
    <t>MIZ</t>
  </si>
  <si>
    <t>MISS</t>
  </si>
  <si>
    <t>SC</t>
  </si>
  <si>
    <t>TENN</t>
  </si>
  <si>
    <t>TA&amp;M</t>
  </si>
  <si>
    <t>VAN</t>
  </si>
  <si>
    <t>APP</t>
  </si>
  <si>
    <t>ARST</t>
  </si>
  <si>
    <t>GASO</t>
  </si>
  <si>
    <t>GAST</t>
  </si>
  <si>
    <t>UL</t>
  </si>
  <si>
    <t>ULM</t>
  </si>
  <si>
    <t>USA</t>
  </si>
  <si>
    <t>TXST</t>
  </si>
  <si>
    <t>TROY</t>
  </si>
  <si>
    <t>CCU</t>
  </si>
  <si>
    <t>ARMY</t>
  </si>
  <si>
    <t>LIB</t>
  </si>
  <si>
    <t>NMSU</t>
  </si>
  <si>
    <t>ND</t>
  </si>
  <si>
    <t>MASS</t>
  </si>
  <si>
    <t>JMU</t>
  </si>
  <si>
    <t>JVST</t>
  </si>
  <si>
    <t>SHSU</t>
  </si>
  <si>
    <t>Lines</t>
  </si>
  <si>
    <t>Channel</t>
  </si>
  <si>
    <t>Miami Ohio</t>
  </si>
  <si>
    <t>Cal</t>
  </si>
  <si>
    <t>Louisiana Lafayette</t>
  </si>
  <si>
    <t>Louisiana Monroe</t>
  </si>
  <si>
    <t>UMass</t>
  </si>
  <si>
    <t>Draft</t>
  </si>
  <si>
    <t>FPI</t>
  </si>
  <si>
    <t>Game features Oregon</t>
  </si>
  <si>
    <t>Game features a Pac 12 (but not Oregon)</t>
  </si>
  <si>
    <t>Game features a Power 5 team (but not Pac 12)</t>
  </si>
  <si>
    <t>Game features a Group of 5 team (but not a Power 5 team)</t>
  </si>
  <si>
    <t>Active Game, potetntial upset (based on spread)</t>
  </si>
  <si>
    <t>-- more red/less black = bigger upset; less red/more black = smaller upset</t>
  </si>
  <si>
    <t>-- thicker line = closer to finish</t>
  </si>
  <si>
    <t>BOLD</t>
  </si>
  <si>
    <t>OT games are Bolded</t>
  </si>
  <si>
    <t>Finished Game, upset (based on spread)</t>
  </si>
  <si>
    <t>Sam Houston 0 BYU 14</t>
  </si>
  <si>
    <t>FINAL</t>
  </si>
  <si>
    <t>New Mexico 10 (25) Texas A&amp;M 52</t>
  </si>
  <si>
    <t>Southeast Missouri State 0 (17) Kansas State 45</t>
  </si>
  <si>
    <t>UT Martin 7 (1) Georgia 48</t>
  </si>
  <si>
    <t>Gardner-Webb 24 Appalachian State 45</t>
  </si>
  <si>
    <t>Portland State 7 (15) Oregon 81</t>
  </si>
  <si>
    <t>Akron 21 Temple 24</t>
  </si>
  <si>
    <t>o55.5</t>
  </si>
  <si>
    <t>Kent State 6 UCF 56</t>
  </si>
  <si>
    <t>Nebraska 10 Minnesota 13</t>
  </si>
  <si>
    <t>o42.5</t>
  </si>
  <si>
    <t>Miami-OH 3 Miami 38</t>
  </si>
  <si>
    <t>o51.5</t>
  </si>
  <si>
    <t>Coastal Carolina 13 UCLA 27</t>
  </si>
  <si>
    <t>Old Dominion 17 Virginia Tech 36</t>
  </si>
  <si>
    <t>Washington State 50 Colorado State 24</t>
  </si>
  <si>
    <t>Bethune-Cookman 14 Memphis 56</t>
  </si>
  <si>
    <t>UAlbany 17 Marshall 21</t>
  </si>
  <si>
    <t>UMASS 14 Auburn 59</t>
  </si>
  <si>
    <t>o45.5</t>
  </si>
  <si>
    <t>Bowling Green 24 Liberty 34</t>
  </si>
  <si>
    <t>o48.5</t>
  </si>
  <si>
    <t>Northern Illinois 27 Boston College 24</t>
  </si>
  <si>
    <t>FINAL - OT</t>
  </si>
  <si>
    <t>San José State 28 (6) USC 56</t>
  </si>
  <si>
    <t>Toledo 28 Illinois 30</t>
  </si>
  <si>
    <t>West Virginia 15 (7) Penn State 38</t>
  </si>
  <si>
    <t>Texas State 42 Baylor 31</t>
  </si>
  <si>
    <t>Army 13 UL Monroe 17</t>
  </si>
  <si>
    <t>Monmouth 20 Florida Atlantic 42</t>
  </si>
  <si>
    <t>Colgate 0 Syracuse 65</t>
  </si>
  <si>
    <t>Tennessee State 3 (13) Notre Dame 56</t>
  </si>
  <si>
    <t>Northern Iowa 9 Iowa State 30</t>
  </si>
  <si>
    <t>Florida 11 (14) Utah 24</t>
  </si>
  <si>
    <t>o44.5</t>
  </si>
  <si>
    <t>Northwestern State 13 UL Lafayette 38</t>
  </si>
  <si>
    <t>Middle Tennessee 7 (3) Alabama 56</t>
  </si>
  <si>
    <t>Louisiana Tech 14 SMU 38</t>
  </si>
  <si>
    <t>o67.5</t>
  </si>
  <si>
    <t>Arkansas State 0 (19) Oklahoma 73</t>
  </si>
  <si>
    <t>Ball State 14 Kentucky 44</t>
  </si>
  <si>
    <t>o49.5</t>
  </si>
  <si>
    <t>Stanford 37 Hawaii 24</t>
  </si>
  <si>
    <t>Southern Utah 21 Arizona State 24</t>
  </si>
  <si>
    <t>Central Michigan 7 Michigan State 31</t>
  </si>
  <si>
    <t>o52</t>
  </si>
  <si>
    <t>Louisville 39 Georgia Tech 34</t>
  </si>
  <si>
    <t>Video: SECN+</t>
  </si>
  <si>
    <t>(9) Clemson 7 Duke 28</t>
  </si>
  <si>
    <t>Northwestern 7 Rutgers 24</t>
  </si>
  <si>
    <t>South Alabama 17 (23) Tulane 37</t>
  </si>
  <si>
    <t>Stephen F. Austin 30 Troy 48</t>
  </si>
  <si>
    <t>Boise State 19 (11) Washington 56</t>
  </si>
  <si>
    <t>(24) Texas Tech 33 Wyoming 35</t>
  </si>
  <si>
    <t>FINAL - 2ND OT</t>
  </si>
  <si>
    <t>BTN</t>
  </si>
  <si>
    <t>Ohio 13 San Diego State 20</t>
  </si>
  <si>
    <t>UTSA 14 Houston 17</t>
  </si>
  <si>
    <t>Alcorn State 14 Southern Mississippi 40</t>
  </si>
  <si>
    <t>Buffalo 17 (21) Wisconsin 38</t>
  </si>
  <si>
    <t>UTEP 14 Jacksonville State 17</t>
  </si>
  <si>
    <t>Missouri State 17 Kansas 48</t>
  </si>
  <si>
    <t>Western Illinois 21 New Mexico State 58</t>
  </si>
  <si>
    <t>Bryant 14 UNLV 44</t>
  </si>
  <si>
    <t>Western Carolina 13 Arkansas 56</t>
  </si>
  <si>
    <t>Elon 17 Wake Forest 37</t>
  </si>
  <si>
    <t>Arkansas-Pine Bluff 7 Tulsa 42</t>
  </si>
  <si>
    <t>ACCN</t>
  </si>
  <si>
    <t>Northern Arizona 3 Arizona 38</t>
  </si>
  <si>
    <t>Florida Intl 17 Louisiana Tech 22</t>
  </si>
  <si>
    <t>California 58 North Texas 21</t>
  </si>
  <si>
    <t>Mercer 7 (22) Ole Miss 73</t>
  </si>
  <si>
    <t>Fresno State 39 Purdue 35</t>
  </si>
  <si>
    <t>o46.5</t>
  </si>
  <si>
    <t>Colorado 45 (16) TCU 42</t>
  </si>
  <si>
    <t>o63.5</t>
  </si>
  <si>
    <t>East Carolina 3 (2) Michigan 30</t>
  </si>
  <si>
    <t>Navy 3 (13) Notre Dame 42</t>
  </si>
  <si>
    <t>Rhode Island 35 Georgia State 42</t>
  </si>
  <si>
    <t>NC State 24 UConn 14</t>
  </si>
  <si>
    <t>South Dakota 10 Missouri 35</t>
  </si>
  <si>
    <t>Howard 23 EMU 33</t>
  </si>
  <si>
    <t>The Citadel 0 Georgia Southern 34</t>
  </si>
  <si>
    <t>South Florida 24 Western Kentucky 41</t>
  </si>
  <si>
    <t>o70.5</t>
  </si>
  <si>
    <t>Towson 6 Maryland 38</t>
  </si>
  <si>
    <t>SE Louisiana 7 Mississippi State 48</t>
  </si>
  <si>
    <t>Eastern Kentucky 13 Cincinnati 66</t>
  </si>
  <si>
    <t>(5) LSU 24 (8) Florida State 45</t>
  </si>
  <si>
    <t>South Carolina State 3 Charlotte 24</t>
  </si>
  <si>
    <t>Wofford 7 Pittsburgh 45</t>
  </si>
  <si>
    <t>Robert Morris 7 Air Force 42</t>
  </si>
  <si>
    <t>Nevada 14 (6) USC 66</t>
  </si>
  <si>
    <t>Bucknell 3 James Madison 38</t>
  </si>
  <si>
    <t>Rice 10 (12) Texas 37</t>
  </si>
  <si>
    <t>East Tennessee State 3 Jacksonville State 49</t>
  </si>
  <si>
    <t>Central Arkansas 13 Oklahoma State 27</t>
  </si>
  <si>
    <t>Utah State 14 Iowa 24</t>
  </si>
  <si>
    <t>Virginia 13 (10) Tennessee 49</t>
  </si>
  <si>
    <t>St. Francis PA 17 Western Michigan 35</t>
  </si>
  <si>
    <t xml:space="preserve">Bethune-Cookman at (23) Miami </t>
  </si>
  <si>
    <t xml:space="preserve">Norfolk State at Temple </t>
  </si>
  <si>
    <t>espn+</t>
  </si>
  <si>
    <t xml:space="preserve">East Carolina at Appalachian State </t>
  </si>
  <si>
    <t>o50.5</t>
  </si>
  <si>
    <t xml:space="preserve">South Carolina at (1) Georgia </t>
  </si>
  <si>
    <t xml:space="preserve">Northern Illinois at Nebraska </t>
  </si>
  <si>
    <t xml:space="preserve">Hawaii at (13) Oregon </t>
  </si>
  <si>
    <t xml:space="preserve">New Mexico State at New Mexico </t>
  </si>
  <si>
    <t>TBA</t>
  </si>
  <si>
    <t xml:space="preserve">Central Connecticut at Kent State </t>
  </si>
  <si>
    <t xml:space="preserve">(15) Kansas State at Missouri </t>
  </si>
  <si>
    <t>SECN</t>
  </si>
  <si>
    <t xml:space="preserve">Navy at Memphis </t>
  </si>
  <si>
    <t xml:space="preserve">Minnesota at (18) North Carolina </t>
  </si>
  <si>
    <t xml:space="preserve">Virginia Tech at Rutgers </t>
  </si>
  <si>
    <t xml:space="preserve">North Carolina Central at (25) UCLA </t>
  </si>
  <si>
    <t xml:space="preserve">Samford at Auburn </t>
  </si>
  <si>
    <t>SECN+</t>
  </si>
  <si>
    <t xml:space="preserve">BYU at Arkansas </t>
  </si>
  <si>
    <t xml:space="preserve">Colorado State at (21) Colorado </t>
  </si>
  <si>
    <t>o59.5</t>
  </si>
  <si>
    <t xml:space="preserve">Liberty at Buffalo </t>
  </si>
  <si>
    <t xml:space="preserve">Army at UTSA </t>
  </si>
  <si>
    <t xml:space="preserve">Central Michigan at (11) Notre Dame </t>
  </si>
  <si>
    <t>Peacock</t>
  </si>
  <si>
    <t xml:space="preserve">San José State at Toledo </t>
  </si>
  <si>
    <t xml:space="preserve">(9) Tennessee at Florida </t>
  </si>
  <si>
    <t xml:space="preserve">Syracuse at Purdue </t>
  </si>
  <si>
    <t xml:space="preserve">Florida Atlantic at (22) Clemson </t>
  </si>
  <si>
    <t xml:space="preserve">Jackson State at Texas State </t>
  </si>
  <si>
    <t xml:space="preserve">Iowa State at Ohio </t>
  </si>
  <si>
    <t xml:space="preserve">(7) Penn State at Illinois </t>
  </si>
  <si>
    <t xml:space="preserve">UMASS at EMU </t>
  </si>
  <si>
    <t xml:space="preserve">Indiana State at Ball State </t>
  </si>
  <si>
    <t xml:space="preserve">(16) Oklahoma at Tulsa </t>
  </si>
  <si>
    <t>o60.5</t>
  </si>
  <si>
    <t xml:space="preserve">(10) Alabama at South Florida </t>
  </si>
  <si>
    <t>o61.5</t>
  </si>
  <si>
    <t xml:space="preserve">(8) Washington at Michigan State </t>
  </si>
  <si>
    <t xml:space="preserve">UL Lafayette at UAB </t>
  </si>
  <si>
    <t xml:space="preserve">Prairie View A&amp;M at SMU </t>
  </si>
  <si>
    <t xml:space="preserve">Fresno State at Arizona State </t>
  </si>
  <si>
    <t xml:space="preserve">Louisville at Indiana </t>
  </si>
  <si>
    <t xml:space="preserve">Northwestern at (20) Duke </t>
  </si>
  <si>
    <t xml:space="preserve">Tulane at Southern Mississippi </t>
  </si>
  <si>
    <t xml:space="preserve">Tarleton State at Texas Tech </t>
  </si>
  <si>
    <t xml:space="preserve">James Madison at Troy </t>
  </si>
  <si>
    <t>NFLN</t>
  </si>
  <si>
    <t xml:space="preserve">Akron at Kentucky </t>
  </si>
  <si>
    <t xml:space="preserve">Wyoming at (6) Texas </t>
  </si>
  <si>
    <t>LonghornN</t>
  </si>
  <si>
    <t xml:space="preserve">San Diego State at (17) Oregon State </t>
  </si>
  <si>
    <t xml:space="preserve">Sacramento State at Stanford </t>
  </si>
  <si>
    <t xml:space="preserve">Kansas at Nevada </t>
  </si>
  <si>
    <t xml:space="preserve">UTEP at Arizona </t>
  </si>
  <si>
    <t xml:space="preserve">Western Kentucky at (4) Ohio State </t>
  </si>
  <si>
    <t>o64.5</t>
  </si>
  <si>
    <t xml:space="preserve">Vanderbilt at UNLV </t>
  </si>
  <si>
    <t xml:space="preserve">Duquesne at Coastal Carolina </t>
  </si>
  <si>
    <t xml:space="preserve">TCU at Houston </t>
  </si>
  <si>
    <t>o62.5</t>
  </si>
  <si>
    <t xml:space="preserve">Wake Forest at Old Dominion </t>
  </si>
  <si>
    <t xml:space="preserve">Florida Intl at UConn </t>
  </si>
  <si>
    <t xml:space="preserve">UL Monroe at Texas A&amp;M </t>
  </si>
  <si>
    <t xml:space="preserve">South Alabama at Oklahoma State </t>
  </si>
  <si>
    <t xml:space="preserve">North Texas at Louisiana Tech </t>
  </si>
  <si>
    <t xml:space="preserve">Bowling Green at (2) Michigan </t>
  </si>
  <si>
    <t xml:space="preserve">Georgia Tech at (19) Ole Miss </t>
  </si>
  <si>
    <t xml:space="preserve">Weber State at (12) Utah </t>
  </si>
  <si>
    <t xml:space="preserve">Georgia State at Charlotte </t>
  </si>
  <si>
    <t xml:space="preserve">North Dakota at Boise State </t>
  </si>
  <si>
    <t xml:space="preserve">Long Island University at Baylor </t>
  </si>
  <si>
    <t xml:space="preserve">Virginia at Maryland </t>
  </si>
  <si>
    <t xml:space="preserve">Miami-OH at Cincinnati </t>
  </si>
  <si>
    <t xml:space="preserve">Georgia Southern at Wisconsin </t>
  </si>
  <si>
    <t xml:space="preserve">(14) LSU at Mississippi State </t>
  </si>
  <si>
    <t xml:space="preserve">(3) Florida State at Boston College </t>
  </si>
  <si>
    <t xml:space="preserve">Utah State at Air Force </t>
  </si>
  <si>
    <t xml:space="preserve">Idaho at California </t>
  </si>
  <si>
    <t xml:space="preserve">Villanova at UCF </t>
  </si>
  <si>
    <t xml:space="preserve">Stony Brook at Arkansas State </t>
  </si>
  <si>
    <t xml:space="preserve">Pittsburgh at West Virginia </t>
  </si>
  <si>
    <t xml:space="preserve">Northern Colorado at Washington State </t>
  </si>
  <si>
    <t xml:space="preserve">Texas Southern at Rice </t>
  </si>
  <si>
    <t xml:space="preserve">VMI at NC State </t>
  </si>
  <si>
    <t>CWTV</t>
  </si>
  <si>
    <t xml:space="preserve">Western Michigan at (24) Iowa </t>
  </si>
  <si>
    <t xml:space="preserve">Murray State at Middle Tennessee </t>
  </si>
  <si>
    <t xml:space="preserve">(19) Colorado at (11) Oregon </t>
  </si>
  <si>
    <t xml:space="preserve">New Mexico at UMASS </t>
  </si>
  <si>
    <t xml:space="preserve">Louisiana Tech at Nebraska </t>
  </si>
  <si>
    <t>NCST</t>
  </si>
  <si>
    <t xml:space="preserve">(21) Miami at Temple </t>
  </si>
  <si>
    <t>WISC</t>
  </si>
  <si>
    <t xml:space="preserve">Sam Houston at Houston </t>
  </si>
  <si>
    <t>BSU</t>
  </si>
  <si>
    <t xml:space="preserve">Appalachian State at Wyoming </t>
  </si>
  <si>
    <t xml:space="preserve">UAB at (1) Georgia </t>
  </si>
  <si>
    <t>Connecticut</t>
  </si>
  <si>
    <t xml:space="preserve">UCF at Kansas State </t>
  </si>
  <si>
    <t>Southern Methodist</t>
  </si>
  <si>
    <t>Central Florida</t>
  </si>
  <si>
    <t>Miami (FL)</t>
  </si>
  <si>
    <t>North Carolina State</t>
  </si>
  <si>
    <t xml:space="preserve">Kent State at Fresno State </t>
  </si>
  <si>
    <t>Texas Christian</t>
  </si>
  <si>
    <t>Middle Tennessee St.</t>
  </si>
  <si>
    <t>UNC Charlotte</t>
  </si>
  <si>
    <t>Texas-San Antonio</t>
  </si>
  <si>
    <t>Bowling Green State</t>
  </si>
  <si>
    <t>SUNY-Buffalo</t>
  </si>
  <si>
    <t xml:space="preserve">BYU at Kansas </t>
  </si>
  <si>
    <t>Southern Cal</t>
  </si>
  <si>
    <t xml:space="preserve">(25) UCLA at (10) Utah </t>
  </si>
  <si>
    <t>Mississippi</t>
  </si>
  <si>
    <t>Louisiana-Lafayette</t>
  </si>
  <si>
    <t>Louisiana-Monroe</t>
  </si>
  <si>
    <t xml:space="preserve">Liberty at Florida Intl </t>
  </si>
  <si>
    <t xml:space="preserve">Colorado State at Middle Tennessee </t>
  </si>
  <si>
    <t xml:space="preserve">Minnesota at Northwestern </t>
  </si>
  <si>
    <t xml:space="preserve">Memphis at Missouri </t>
  </si>
  <si>
    <t xml:space="preserve">Virginia Tech at Marshall </t>
  </si>
  <si>
    <t xml:space="preserve">Tulsa at Northern Illinois </t>
  </si>
  <si>
    <t xml:space="preserve">Auburn at Texas A&amp;M </t>
  </si>
  <si>
    <t xml:space="preserve">Air Force at San José State </t>
  </si>
  <si>
    <t xml:space="preserve">Western Michigan at Toledo </t>
  </si>
  <si>
    <t xml:space="preserve">Florida Atlantic at Illinois </t>
  </si>
  <si>
    <t xml:space="preserve">Oklahoma State at Iowa State </t>
  </si>
  <si>
    <t xml:space="preserve">Nevada at Texas State </t>
  </si>
  <si>
    <t xml:space="preserve">Charlotte at Florida </t>
  </si>
  <si>
    <t xml:space="preserve">(4) Ohio State at (9) Notre Dame </t>
  </si>
  <si>
    <t xml:space="preserve">(22) Iowa at (7) Penn State </t>
  </si>
  <si>
    <t xml:space="preserve">Army at Syracuse </t>
  </si>
  <si>
    <t>UMass Minutemen</t>
  </si>
  <si>
    <t xml:space="preserve">Georgia Southern at Ball State </t>
  </si>
  <si>
    <t xml:space="preserve">Maryland at Michigan State </t>
  </si>
  <si>
    <t>Priority</t>
  </si>
  <si>
    <t>Color</t>
  </si>
  <si>
    <t xml:space="preserve">(16) Ole Miss at (12) Alabama </t>
  </si>
  <si>
    <t xml:space="preserve">Boston College at Louisville </t>
  </si>
  <si>
    <t xml:space="preserve">Buffalo at UL Lafayette </t>
  </si>
  <si>
    <t xml:space="preserve">(5) USC at Arizona State </t>
  </si>
  <si>
    <t xml:space="preserve">New Mexico State at Hawaii </t>
  </si>
  <si>
    <t>Video</t>
  </si>
  <si>
    <t xml:space="preserve">SMU at TCU </t>
  </si>
  <si>
    <t xml:space="preserve">(14) Oklahoma at Cincinnati </t>
  </si>
  <si>
    <t xml:space="preserve">Texas Tech at West Virginia </t>
  </si>
  <si>
    <t xml:space="preserve">(18) Duke at UConn </t>
  </si>
  <si>
    <t xml:space="preserve">Nicholls at Tulane </t>
  </si>
  <si>
    <t xml:space="preserve">Akron at Indiana </t>
  </si>
  <si>
    <t xml:space="preserve">Mississippi State at South Carolina </t>
  </si>
  <si>
    <t xml:space="preserve">California at (8) Washington </t>
  </si>
  <si>
    <t xml:space="preserve">Western Kentucky at Troy </t>
  </si>
  <si>
    <t xml:space="preserve">Rutgers at (2) Michigan </t>
  </si>
  <si>
    <t xml:space="preserve">Boise State at San Diego State </t>
  </si>
  <si>
    <t xml:space="preserve">UTSA at (20) Tennessee </t>
  </si>
  <si>
    <t xml:space="preserve">Arizona at Stanford </t>
  </si>
  <si>
    <t xml:space="preserve">Southern Mississippi at Arkansas State </t>
  </si>
  <si>
    <t xml:space="preserve">UNLV at UTEP </t>
  </si>
  <si>
    <t xml:space="preserve">(3) Florida State at (23) Clemson </t>
  </si>
  <si>
    <t xml:space="preserve">Kentucky at Vanderbilt </t>
  </si>
  <si>
    <t xml:space="preserve">Georgia State at Coastal Carolina </t>
  </si>
  <si>
    <t xml:space="preserve">Ohio at Bowling Green </t>
  </si>
  <si>
    <t xml:space="preserve">Georgia Tech at Wake Forest </t>
  </si>
  <si>
    <t xml:space="preserve">Arkansas at (13) LSU </t>
  </si>
  <si>
    <t xml:space="preserve">Wisconsin at Purdue </t>
  </si>
  <si>
    <t xml:space="preserve">Central Michigan at South Alabama </t>
  </si>
  <si>
    <t xml:space="preserve">(17) North Carolina at Pittsburgh </t>
  </si>
  <si>
    <t xml:space="preserve">EMU at Jacksonville State </t>
  </si>
  <si>
    <t xml:space="preserve">(6) Texas at Baylor </t>
  </si>
  <si>
    <t xml:space="preserve">Delaware State at Miami-OH </t>
  </si>
  <si>
    <t xml:space="preserve">Gardner-Webb at East Carolina </t>
  </si>
  <si>
    <t xml:space="preserve">(15) Oregon State at (24) Washington State </t>
  </si>
  <si>
    <t xml:space="preserve">Rice at South Florida </t>
  </si>
  <si>
    <t xml:space="preserve">James Madison at Utah State </t>
  </si>
  <si>
    <t>MW video</t>
  </si>
  <si>
    <t xml:space="preserve">NC State at Virginia </t>
  </si>
  <si>
    <t xml:space="preserve">Texas A&amp;M-Commerce at Old Dominion </t>
  </si>
  <si>
    <t xml:space="preserve">Temple at Tulsa </t>
  </si>
  <si>
    <t xml:space="preserve">Jacksonville State at Sam Houston </t>
  </si>
  <si>
    <t xml:space="preserve">Miami-OH at Kent State </t>
  </si>
  <si>
    <t xml:space="preserve">(1) Georgia at Auburn </t>
  </si>
  <si>
    <t xml:space="preserve">(2) Michigan at Nebraska </t>
  </si>
  <si>
    <t xml:space="preserve">New Mexico at Wyoming </t>
  </si>
  <si>
    <t xml:space="preserve">(9) Oregon at Stanford </t>
  </si>
  <si>
    <t xml:space="preserve">Appalachian State at UL Monroe </t>
  </si>
  <si>
    <t xml:space="preserve">Cincinnati at BYU </t>
  </si>
  <si>
    <t xml:space="preserve">Old Dominion at Marshall </t>
  </si>
  <si>
    <t xml:space="preserve">Northern Illinois at Toledo </t>
  </si>
  <si>
    <t xml:space="preserve">Boise State at Memphis </t>
  </si>
  <si>
    <t xml:space="preserve">Utah Tech at Colorado State </t>
  </si>
  <si>
    <t xml:space="preserve">Pittsburgh at Virginia Tech </t>
  </si>
  <si>
    <t xml:space="preserve">UL Lafayette at Minnesota </t>
  </si>
  <si>
    <t xml:space="preserve">Texas State at Southern Mississippi </t>
  </si>
  <si>
    <t xml:space="preserve">Iowa State at (14) Oklahoma </t>
  </si>
  <si>
    <t xml:space="preserve">(13) Notre Dame at (16) Duke </t>
  </si>
  <si>
    <t xml:space="preserve">(7) Penn State at Northwestern </t>
  </si>
  <si>
    <t xml:space="preserve">(23) Florida at Kentucky </t>
  </si>
  <si>
    <t xml:space="preserve">Clemson at Syracuse </t>
  </si>
  <si>
    <t xml:space="preserve">Louisville at NC State </t>
  </si>
  <si>
    <t xml:space="preserve">Arizona State at California </t>
  </si>
  <si>
    <t xml:space="preserve">Ball State at Western Michigan </t>
  </si>
  <si>
    <t xml:space="preserve">Arkansas State at UMASS </t>
  </si>
  <si>
    <t xml:space="preserve">Hawaii at UNLV </t>
  </si>
  <si>
    <t xml:space="preserve">Michigan State at Iowa </t>
  </si>
  <si>
    <t xml:space="preserve">Charlotte at SMU </t>
  </si>
  <si>
    <t xml:space="preserve">(11) Alabama at Mississippi State </t>
  </si>
  <si>
    <t xml:space="preserve">Houston at Texas Tech </t>
  </si>
  <si>
    <t>FS2</t>
  </si>
  <si>
    <t xml:space="preserve">Illinois at Purdue </t>
  </si>
  <si>
    <t xml:space="preserve">Wagner at Rutgers </t>
  </si>
  <si>
    <t xml:space="preserve">Troy at Georgia State </t>
  </si>
  <si>
    <t xml:space="preserve">South Carolina at (19) Tennessee </t>
  </si>
  <si>
    <t xml:space="preserve">(8) Washington at Arizona </t>
  </si>
  <si>
    <t xml:space="preserve">UAB at Tulane </t>
  </si>
  <si>
    <t xml:space="preserve">Buffalo at Akron </t>
  </si>
  <si>
    <t xml:space="preserve">Louisiana Tech at UTEP </t>
  </si>
  <si>
    <t xml:space="preserve">(24) Kansas at (5) Texas </t>
  </si>
  <si>
    <t xml:space="preserve">Indiana at Maryland </t>
  </si>
  <si>
    <t xml:space="preserve">San Diego State at Air Force </t>
  </si>
  <si>
    <t xml:space="preserve">Coastal Carolina at Georgia Southern </t>
  </si>
  <si>
    <t xml:space="preserve">(6) USC at Colorado </t>
  </si>
  <si>
    <t xml:space="preserve">Texas A&amp;M at Arkansas </t>
  </si>
  <si>
    <t xml:space="preserve">Bowling Green at Georgia Tech </t>
  </si>
  <si>
    <t xml:space="preserve">(12) LSU at (20) Ole Miss </t>
  </si>
  <si>
    <t xml:space="preserve">Abilene Christian at North Texas </t>
  </si>
  <si>
    <t xml:space="preserve">West Virginia at TCU </t>
  </si>
  <si>
    <t xml:space="preserve">South Alabama at James Madison </t>
  </si>
  <si>
    <t xml:space="preserve">(10) Utah at (21) Oregon State </t>
  </si>
  <si>
    <t xml:space="preserve">EMU at Central Michigan </t>
  </si>
  <si>
    <t xml:space="preserve">South Florida at Navy </t>
  </si>
  <si>
    <t xml:space="preserve">Baylor at UCF </t>
  </si>
  <si>
    <t xml:space="preserve">(22) Missouri at Vanderbilt </t>
  </si>
  <si>
    <t xml:space="preserve">Utah State at UConn </t>
  </si>
  <si>
    <t xml:space="preserve">Middle Tennessee at Western Kentucky </t>
  </si>
  <si>
    <t xml:space="preserve">Virginia at Boston College </t>
  </si>
  <si>
    <t xml:space="preserve">East Carolina at Rice </t>
  </si>
  <si>
    <t xml:space="preserve">Nevada at Fresno State </t>
  </si>
  <si>
    <t xml:space="preserve">Sam Houston at Liberty </t>
  </si>
  <si>
    <t xml:space="preserve">Kansas State at Oklahoma State </t>
  </si>
  <si>
    <t xml:space="preserve">Nebraska at Illinois </t>
  </si>
  <si>
    <t xml:space="preserve">UTSA at Temple </t>
  </si>
  <si>
    <t xml:space="preserve">Kent State at Ohio </t>
  </si>
  <si>
    <t xml:space="preserve">(20) Kentucky at (1) Georgia </t>
  </si>
  <si>
    <t xml:space="preserve">Georgia Tech at (17) Miami </t>
  </si>
  <si>
    <t xml:space="preserve">Marshall at NC State </t>
  </si>
  <si>
    <t xml:space="preserve">(14) Washington State at UCLA </t>
  </si>
  <si>
    <t xml:space="preserve">Virginia Tech at (5) Florida State </t>
  </si>
  <si>
    <t xml:space="preserve">Northern Illinois at Akron </t>
  </si>
  <si>
    <t xml:space="preserve">(2) Michigan at Minnesota </t>
  </si>
  <si>
    <t xml:space="preserve">Colorado State at Utah State </t>
  </si>
  <si>
    <t>MW</t>
  </si>
  <si>
    <t xml:space="preserve">Texas State at UL Lafayette </t>
  </si>
  <si>
    <t xml:space="preserve">Syracuse at (13) North Carolina </t>
  </si>
  <si>
    <t xml:space="preserve">Vanderbilt at Florida </t>
  </si>
  <si>
    <t xml:space="preserve">Tulsa at Florida Atlantic </t>
  </si>
  <si>
    <t xml:space="preserve">(11) Notre Dame at (25) Louisville </t>
  </si>
  <si>
    <t xml:space="preserve">San José State at Boise State </t>
  </si>
  <si>
    <t xml:space="preserve">TCU at Iowa State </t>
  </si>
  <si>
    <t xml:space="preserve">Boston College at Army </t>
  </si>
  <si>
    <t xml:space="preserve">Toledo at UMASS </t>
  </si>
  <si>
    <t xml:space="preserve">Ball State at EMU </t>
  </si>
  <si>
    <t xml:space="preserve">(10) Alabama at Texas A&amp;M </t>
  </si>
  <si>
    <t xml:space="preserve">Colorado at Arizona State </t>
  </si>
  <si>
    <t xml:space="preserve">(12) Oklahoma at (4) Texas </t>
  </si>
  <si>
    <t xml:space="preserve">Arkansas State at Troy </t>
  </si>
  <si>
    <t xml:space="preserve">(24) Fresno State at Wyoming </t>
  </si>
  <si>
    <t xml:space="preserve">Texas Tech at Baylor </t>
  </si>
  <si>
    <t xml:space="preserve">Rutgers at Wisconsin </t>
  </si>
  <si>
    <t xml:space="preserve">Central Michigan at Buffalo </t>
  </si>
  <si>
    <t xml:space="preserve">Wake Forest at Clemson </t>
  </si>
  <si>
    <t xml:space="preserve">UCF at Kansas </t>
  </si>
  <si>
    <t xml:space="preserve">Old Dominion at Southern Mississippi </t>
  </si>
  <si>
    <t xml:space="preserve">Florida Intl at New Mexico State </t>
  </si>
  <si>
    <t xml:space="preserve">Arkansas at (15) Ole Miss </t>
  </si>
  <si>
    <t xml:space="preserve">Arizona at (7) USC </t>
  </si>
  <si>
    <t xml:space="preserve">Maryland at (3) Ohio State </t>
  </si>
  <si>
    <t xml:space="preserve">North Texas at Navy </t>
  </si>
  <si>
    <t xml:space="preserve">Purdue at Iowa </t>
  </si>
  <si>
    <t xml:space="preserve">Bowling Green at Miami-OH </t>
  </si>
  <si>
    <t xml:space="preserve">South Alabama at UL Monroe </t>
  </si>
  <si>
    <t>#e1ddcf</t>
  </si>
  <si>
    <t>#FFCC99</t>
  </si>
  <si>
    <t>#2cefff</t>
  </si>
  <si>
    <t xml:space="preserve">UConn at Rice </t>
  </si>
  <si>
    <t xml:space="preserve">(23) LSU at (22) Missouri </t>
  </si>
  <si>
    <t xml:space="preserve">Western Kentucky at Louisiana Tech </t>
  </si>
  <si>
    <t xml:space="preserve">(16) Oregon State at California </t>
  </si>
  <si>
    <t xml:space="preserve">Western Michigan at Mississippi State </t>
  </si>
  <si>
    <t xml:space="preserve">South Florida at UAB </t>
  </si>
  <si>
    <t>Order</t>
  </si>
  <si>
    <t>FOX or FS1</t>
  </si>
  <si>
    <t>FS1 or FS2</t>
  </si>
  <si>
    <t>Pac-12 Now</t>
  </si>
  <si>
    <t>ACC Network</t>
  </si>
  <si>
    <t>NFL Network</t>
  </si>
  <si>
    <t>LonghorN</t>
  </si>
  <si>
    <t>Stadium</t>
  </si>
  <si>
    <t xml:space="preserve">Jacksonville State at Middle Tennessee </t>
  </si>
  <si>
    <t>ACC RSN</t>
  </si>
  <si>
    <t>BTN alternate</t>
  </si>
  <si>
    <t>espn3</t>
  </si>
  <si>
    <t>espn+ Video</t>
  </si>
  <si>
    <t>espn3 Video</t>
  </si>
  <si>
    <t>ACCNX</t>
  </si>
  <si>
    <t>ATTRM</t>
  </si>
  <si>
    <t>Flo</t>
  </si>
  <si>
    <t>Stadium Video</t>
  </si>
  <si>
    <t>NESN+</t>
  </si>
  <si>
    <t>Facebook Video</t>
  </si>
  <si>
    <t xml:space="preserve">Howard at Northwestern </t>
  </si>
  <si>
    <t>#CC0000</t>
  </si>
  <si>
    <t xml:space="preserve">Coastal Carolina at Appalachian State </t>
  </si>
  <si>
    <t xml:space="preserve">Sam Houston at New Mexico State </t>
  </si>
  <si>
    <t xml:space="preserve">(8) Oregon at (6) Washington </t>
  </si>
  <si>
    <t xml:space="preserve">San José State at New Mexico </t>
  </si>
  <si>
    <t xml:space="preserve">Kansas State at Texas Tech </t>
  </si>
  <si>
    <t xml:space="preserve">Miami at (12) North Carolina </t>
  </si>
  <si>
    <t xml:space="preserve">(1) Georgia at Vanderbilt </t>
  </si>
  <si>
    <t>#FE5100</t>
  </si>
  <si>
    <t xml:space="preserve">Kent State at EMU </t>
  </si>
  <si>
    <t xml:space="preserve">Temple at North Texas </t>
  </si>
  <si>
    <t xml:space="preserve">Liberty at Jacksonville State </t>
  </si>
  <si>
    <t xml:space="preserve">Tulane at Memphis </t>
  </si>
  <si>
    <t xml:space="preserve">BYU at TCU </t>
  </si>
  <si>
    <t xml:space="preserve">Wake Forest at Virginia Tech </t>
  </si>
  <si>
    <t xml:space="preserve">Ohio at Northern Illinois </t>
  </si>
  <si>
    <t xml:space="preserve">Auburn at (20) LSU </t>
  </si>
  <si>
    <t xml:space="preserve">Marshall at Georgia State </t>
  </si>
  <si>
    <t xml:space="preserve">(22) UCLA at (14) Oregon State </t>
  </si>
  <si>
    <t xml:space="preserve">Boise State at Colorado State </t>
  </si>
  <si>
    <t xml:space="preserve">Toledo at Ball State </t>
  </si>
  <si>
    <t xml:space="preserve">UMASS at (5) Penn State </t>
  </si>
  <si>
    <t xml:space="preserve">Florida Atlantic at South Florida </t>
  </si>
  <si>
    <t xml:space="preserve">Florida at South Carolina </t>
  </si>
  <si>
    <t xml:space="preserve">Troy at Army </t>
  </si>
  <si>
    <t xml:space="preserve">UL Monroe at Texas State </t>
  </si>
  <si>
    <t xml:space="preserve">(9) USC at (21) Notre Dame </t>
  </si>
  <si>
    <t xml:space="preserve">Iowa State at Cincinnati </t>
  </si>
  <si>
    <t xml:space="preserve">Syracuse at (4) Florida State </t>
  </si>
  <si>
    <t xml:space="preserve">SMU at East Carolina </t>
  </si>
  <si>
    <t xml:space="preserve">(15) Louisville at Pittsburgh </t>
  </si>
  <si>
    <t xml:space="preserve">San Diego State at Hawaii </t>
  </si>
  <si>
    <t xml:space="preserve">Michigan State at Rutgers </t>
  </si>
  <si>
    <t>o41</t>
  </si>
  <si>
    <t xml:space="preserve">Arkansas at (10) Alabama </t>
  </si>
  <si>
    <t xml:space="preserve">Akron at Central Michigan </t>
  </si>
  <si>
    <t xml:space="preserve">Illinois at Maryland </t>
  </si>
  <si>
    <t xml:space="preserve">Wyoming at Air Force </t>
  </si>
  <si>
    <t xml:space="preserve">NC State at (18) Duke </t>
  </si>
  <si>
    <t xml:space="preserve">UTEP at Florida Intl </t>
  </si>
  <si>
    <t xml:space="preserve">Stanford at Colorado </t>
  </si>
  <si>
    <t xml:space="preserve">(24) Kansas at Oklahoma State </t>
  </si>
  <si>
    <t xml:space="preserve">Bowling Green at Buffalo </t>
  </si>
  <si>
    <t xml:space="preserve">(25) Missouri at (23) Kentucky </t>
  </si>
  <si>
    <t xml:space="preserve">UAB at UTSA </t>
  </si>
  <si>
    <t xml:space="preserve">Indiana at (2) Michigan </t>
  </si>
  <si>
    <t xml:space="preserve">West Virginia at Houston </t>
  </si>
  <si>
    <t xml:space="preserve">UNLV at Nevada </t>
  </si>
  <si>
    <t xml:space="preserve">(3) Ohio State at Purdue </t>
  </si>
  <si>
    <t xml:space="preserve">Arizona at (19) Washington State </t>
  </si>
  <si>
    <t xml:space="preserve">Navy at Charlotte </t>
  </si>
  <si>
    <t xml:space="preserve">California at (16) Utah </t>
  </si>
  <si>
    <t xml:space="preserve">Fresno State at Utah State </t>
  </si>
  <si>
    <t xml:space="preserve">Miami-OH at Western Michigan </t>
  </si>
  <si>
    <t xml:space="preserve">Georgia Southern at James Madison </t>
  </si>
  <si>
    <t xml:space="preserve">Louisiana Tech at Middle Tennessee </t>
  </si>
  <si>
    <t xml:space="preserve">Iowa at Wisconsin </t>
  </si>
  <si>
    <t>o37.5</t>
  </si>
  <si>
    <t xml:space="preserve">Texas A&amp;M at (17) Tennessee </t>
  </si>
  <si>
    <t xml:space="preserve">Florida Intl at Sam Houston </t>
  </si>
  <si>
    <t>o39.5</t>
  </si>
  <si>
    <t xml:space="preserve">SMU at Temple </t>
  </si>
  <si>
    <t xml:space="preserve">Northwestern at Nebraska </t>
  </si>
  <si>
    <t xml:space="preserve">Washington State at (11) Oregon </t>
  </si>
  <si>
    <t xml:space="preserve">Buffalo at Kent State </t>
  </si>
  <si>
    <t xml:space="preserve">Hawaii at New Mexico </t>
  </si>
  <si>
    <t xml:space="preserve">TCU at Kansas State </t>
  </si>
  <si>
    <t xml:space="preserve">Appalachian State at Old Dominion </t>
  </si>
  <si>
    <t xml:space="preserve">Clemson at Miami </t>
  </si>
  <si>
    <t xml:space="preserve">Middle Tennessee at Liberty </t>
  </si>
  <si>
    <t xml:space="preserve">James Madison at Marshall </t>
  </si>
  <si>
    <t xml:space="preserve">Minnesota at (23) Iowa </t>
  </si>
  <si>
    <t>o32.5</t>
  </si>
  <si>
    <t xml:space="preserve">EMU at Northern Illinois </t>
  </si>
  <si>
    <t xml:space="preserve">Colorado State at UNLV </t>
  </si>
  <si>
    <t xml:space="preserve">(12) Ole Miss at Auburn </t>
  </si>
  <si>
    <t xml:space="preserve">Texas Tech at BYU </t>
  </si>
  <si>
    <t xml:space="preserve">(25) UCLA at Stanford </t>
  </si>
  <si>
    <t xml:space="preserve">Memphis at UAB </t>
  </si>
  <si>
    <t xml:space="preserve">Toledo at Miami-OH </t>
  </si>
  <si>
    <t xml:space="preserve">UTSA at Florida Atlantic </t>
  </si>
  <si>
    <t xml:space="preserve">Utah State at San José State </t>
  </si>
  <si>
    <t xml:space="preserve">Army at (19) LSU </t>
  </si>
  <si>
    <t xml:space="preserve">(6) Penn State at (3) Ohio State </t>
  </si>
  <si>
    <t xml:space="preserve">Central Michigan at Ball State </t>
  </si>
  <si>
    <t xml:space="preserve">(15) Tennessee at (8) Alabama </t>
  </si>
  <si>
    <t xml:space="preserve">(2) Michigan at Michigan State </t>
  </si>
  <si>
    <t xml:space="preserve">Georgia State at UL Lafayette </t>
  </si>
  <si>
    <t xml:space="preserve">Arizona State at (5) Washington </t>
  </si>
  <si>
    <t xml:space="preserve">UCF at (7) Oklahoma </t>
  </si>
  <si>
    <t xml:space="preserve">Akron at Bowling Green </t>
  </si>
  <si>
    <t>o40.5</t>
  </si>
  <si>
    <t xml:space="preserve">South Carolina at (20) Missouri </t>
  </si>
  <si>
    <t xml:space="preserve">Wisconsin at Illinois </t>
  </si>
  <si>
    <t xml:space="preserve">North Texas at (24) Tulane </t>
  </si>
  <si>
    <t xml:space="preserve">(17) Duke at (4) Florida State </t>
  </si>
  <si>
    <t>o49</t>
  </si>
  <si>
    <t xml:space="preserve">Rutgers at Indiana </t>
  </si>
  <si>
    <t xml:space="preserve">Southern Mississippi at South Alabama </t>
  </si>
  <si>
    <t xml:space="preserve">New Mexico State at UTEP </t>
  </si>
  <si>
    <t xml:space="preserve">Nevada at San Diego State </t>
  </si>
  <si>
    <t xml:space="preserve">Rice at Tulsa </t>
  </si>
  <si>
    <t xml:space="preserve">Pittsburgh at Wake Forest </t>
  </si>
  <si>
    <t xml:space="preserve">(8) Texas at Houston </t>
  </si>
  <si>
    <t xml:space="preserve">Coastal Carolina at Arkansas State </t>
  </si>
  <si>
    <t xml:space="preserve">(14) Utah at (16) USC </t>
  </si>
  <si>
    <t xml:space="preserve">Western Michigan at Ohio </t>
  </si>
  <si>
    <t xml:space="preserve">Mississippi State at Arkansas </t>
  </si>
  <si>
    <t xml:space="preserve">UL Monroe at Georgia Southern </t>
  </si>
  <si>
    <t xml:space="preserve">Virginia at (10) North Carolina </t>
  </si>
  <si>
    <t xml:space="preserve">South Florida at UConn </t>
  </si>
  <si>
    <t xml:space="preserve">Baylor at Cincinnati </t>
  </si>
  <si>
    <t xml:space="preserve">Boston College at Georgia Tech </t>
  </si>
  <si>
    <t xml:space="preserve">(22) Air Force at Navy </t>
  </si>
  <si>
    <t xml:space="preserve">Western Kentucky at Jacksonville State </t>
  </si>
  <si>
    <t xml:space="preserve">Charlotte at East Carolina </t>
  </si>
  <si>
    <t>o41.5</t>
  </si>
  <si>
    <t xml:space="preserve">Oklahoma State at West Virginia </t>
  </si>
  <si>
    <t>o66.5</t>
  </si>
  <si>
    <t xml:space="preserve">UTEP at Sam Houston </t>
  </si>
  <si>
    <t>o36.5</t>
  </si>
  <si>
    <t xml:space="preserve">(1) Georgia at Florida </t>
  </si>
  <si>
    <t xml:space="preserve">Southern Mississippi at Appalachian State </t>
  </si>
  <si>
    <t xml:space="preserve">(9) Oregon at (13) Utah </t>
  </si>
  <si>
    <t xml:space="preserve">Purdue at Nebraska </t>
  </si>
  <si>
    <t xml:space="preserve">Virginia at Miami </t>
  </si>
  <si>
    <t xml:space="preserve">New Mexico at Nevada </t>
  </si>
  <si>
    <t xml:space="preserve">Houston at Kansas State </t>
  </si>
  <si>
    <t xml:space="preserve">Liberty at Western Kentucky </t>
  </si>
  <si>
    <t xml:space="preserve">Syracuse at Virginia Tech </t>
  </si>
  <si>
    <t xml:space="preserve">Memphis at North Texas </t>
  </si>
  <si>
    <t xml:space="preserve">BYU at (7) Texas </t>
  </si>
  <si>
    <t xml:space="preserve">Mississippi State at Auburn </t>
  </si>
  <si>
    <t xml:space="preserve">Michigan State at Minnesota </t>
  </si>
  <si>
    <t xml:space="preserve">Marshall at Coastal Carolina </t>
  </si>
  <si>
    <t>o48</t>
  </si>
  <si>
    <t xml:space="preserve">(19) Air Force at Colorado State </t>
  </si>
  <si>
    <t xml:space="preserve">Colorado at (24) UCLA </t>
  </si>
  <si>
    <t xml:space="preserve">Florida Atlantic at Charlotte </t>
  </si>
  <si>
    <t xml:space="preserve">Pittsburgh at (14) Notre Dame </t>
  </si>
  <si>
    <t xml:space="preserve">Iowa State at Baylor </t>
  </si>
  <si>
    <t xml:space="preserve">Troy at Texas State </t>
  </si>
  <si>
    <t xml:space="preserve">San José State at Hawaii </t>
  </si>
  <si>
    <t xml:space="preserve">UMASS at Army </t>
  </si>
  <si>
    <t xml:space="preserve">Indiana at (10) Penn State </t>
  </si>
  <si>
    <t xml:space="preserve">(21) Duke at (18) Louisville </t>
  </si>
  <si>
    <t xml:space="preserve">UL Lafayette at South Alabama </t>
  </si>
  <si>
    <t xml:space="preserve">Washington State at Arizona State </t>
  </si>
  <si>
    <t>o61</t>
  </si>
  <si>
    <t xml:space="preserve">(6) Oklahoma at Kansas </t>
  </si>
  <si>
    <t xml:space="preserve">Tulsa at SMU </t>
  </si>
  <si>
    <t>o57</t>
  </si>
  <si>
    <t xml:space="preserve">(23) Tulane at Rice </t>
  </si>
  <si>
    <t xml:space="preserve">Wyoming at Boise State </t>
  </si>
  <si>
    <t>o50</t>
  </si>
  <si>
    <t xml:space="preserve">(5) Washington at Stanford </t>
  </si>
  <si>
    <t xml:space="preserve">South Carolina at Texas A&amp;M </t>
  </si>
  <si>
    <t xml:space="preserve">Clemson at NC State </t>
  </si>
  <si>
    <t>o44</t>
  </si>
  <si>
    <t xml:space="preserve">East Carolina at UTSA </t>
  </si>
  <si>
    <t>o46</t>
  </si>
  <si>
    <t xml:space="preserve">(20) Tennessee at Kentucky </t>
  </si>
  <si>
    <t xml:space="preserve">New Mexico State at Louisiana Tech </t>
  </si>
  <si>
    <t xml:space="preserve">Miami-OH at Ohio </t>
  </si>
  <si>
    <t>o40</t>
  </si>
  <si>
    <t xml:space="preserve">(22) USC at California </t>
  </si>
  <si>
    <t xml:space="preserve">(3) Ohio State at Wisconsin </t>
  </si>
  <si>
    <t xml:space="preserve">UNLV at Fresno State </t>
  </si>
  <si>
    <t xml:space="preserve">(4) Florida State at Wake Forest </t>
  </si>
  <si>
    <t>o53</t>
  </si>
  <si>
    <t xml:space="preserve">Jacksonville State at Florida Intl </t>
  </si>
  <si>
    <t xml:space="preserve">Arkansas State at UL Monroe </t>
  </si>
  <si>
    <t xml:space="preserve">Vanderbilt at (11) Ole Miss </t>
  </si>
  <si>
    <t xml:space="preserve">(17) North Carolina at Georgia Tech </t>
  </si>
  <si>
    <t xml:space="preserve">(12) Oregon State at Arizona </t>
  </si>
  <si>
    <t xml:space="preserve">Georgia State at Georgia Southern </t>
  </si>
  <si>
    <t xml:space="preserve">Western Michigan at EMU </t>
  </si>
  <si>
    <t xml:space="preserve">UConn at Boston College </t>
  </si>
  <si>
    <t xml:space="preserve">Cincinnati at Oklahoma State </t>
  </si>
  <si>
    <t xml:space="preserve">Maryland at Northwestern </t>
  </si>
  <si>
    <t xml:space="preserve">West Virginia at UCF </t>
  </si>
  <si>
    <t xml:space="preserve">Old Dominion at (25) James Madison </t>
  </si>
  <si>
    <t xml:space="preserve">Kent State at Akron </t>
  </si>
  <si>
    <t xml:space="preserve">Kennesaw State at Sam Houston </t>
  </si>
  <si>
    <t xml:space="preserve">Navy at Temple </t>
  </si>
  <si>
    <t xml:space="preserve">(14) Missouri at (1) Georgia </t>
  </si>
  <si>
    <t xml:space="preserve">California at (7) Oregon </t>
  </si>
  <si>
    <t xml:space="preserve">UNLV at New Mexico </t>
  </si>
  <si>
    <t>MARQ</t>
  </si>
  <si>
    <t xml:space="preserve">Marshall at Appalachian State </t>
  </si>
  <si>
    <t xml:space="preserve">Miami at NC State </t>
  </si>
  <si>
    <t xml:space="preserve">Nebraska at Michigan State </t>
  </si>
  <si>
    <t>o35.5</t>
  </si>
  <si>
    <t xml:space="preserve">Kansas State at (6) Texas </t>
  </si>
  <si>
    <t xml:space="preserve">Northern Illinois at Central Michigan </t>
  </si>
  <si>
    <t xml:space="preserve">Colorado State at Wyoming </t>
  </si>
  <si>
    <t xml:space="preserve">South Florida at Memphis </t>
  </si>
  <si>
    <t xml:space="preserve">Illinois at Minnesota </t>
  </si>
  <si>
    <t xml:space="preserve">Virginia Tech at (15) Louisville </t>
  </si>
  <si>
    <t xml:space="preserve">Auburn at Vanderbilt </t>
  </si>
  <si>
    <t xml:space="preserve">Louisiana Tech at Liberty </t>
  </si>
  <si>
    <t xml:space="preserve">BYU at West Virginia </t>
  </si>
  <si>
    <t xml:space="preserve">(20) UCLA at Arizona </t>
  </si>
  <si>
    <t xml:space="preserve">Buffalo at Toledo </t>
  </si>
  <si>
    <t xml:space="preserve">Boston College at Syracuse </t>
  </si>
  <si>
    <t xml:space="preserve">Army at (17) Air Force </t>
  </si>
  <si>
    <t xml:space="preserve">Florida Atlantic at UAB </t>
  </si>
  <si>
    <t xml:space="preserve">(9) Penn State at Maryland </t>
  </si>
  <si>
    <t xml:space="preserve">Georgia Southern at Texas State </t>
  </si>
  <si>
    <t>o71.5</t>
  </si>
  <si>
    <t xml:space="preserve">(23) Kansas at Iowa State </t>
  </si>
  <si>
    <t xml:space="preserve">Arkansas at Florida </t>
  </si>
  <si>
    <t xml:space="preserve">(12) Notre Dame at Clemson </t>
  </si>
  <si>
    <t xml:space="preserve">Ball State at Bowling Green </t>
  </si>
  <si>
    <t xml:space="preserve">Arizona State at (18) Utah </t>
  </si>
  <si>
    <t xml:space="preserve">UL Lafayette at Arkansas State </t>
  </si>
  <si>
    <t xml:space="preserve">(11) Oklahoma at Oklahoma State </t>
  </si>
  <si>
    <t xml:space="preserve">Merrimack at UMASS </t>
  </si>
  <si>
    <t xml:space="preserve">Hawaii at Nevada </t>
  </si>
  <si>
    <t xml:space="preserve">SMU at Rice </t>
  </si>
  <si>
    <t xml:space="preserve">(13) LSU at (8) Alabama </t>
  </si>
  <si>
    <t xml:space="preserve">TCU at Texas Tech </t>
  </si>
  <si>
    <t xml:space="preserve">South Alabama at Troy </t>
  </si>
  <si>
    <t xml:space="preserve">Wake Forest at Duke </t>
  </si>
  <si>
    <t xml:space="preserve">(21) Tulane at East Carolina </t>
  </si>
  <si>
    <t xml:space="preserve">(5) Washington at (22) USC </t>
  </si>
  <si>
    <t>o75.5</t>
  </si>
  <si>
    <t xml:space="preserve">(3) Ohio State at Rutgers </t>
  </si>
  <si>
    <t>o43</t>
  </si>
  <si>
    <t xml:space="preserve">Jacksonville State at South Carolina </t>
  </si>
  <si>
    <t xml:space="preserve">UTSA at North Texas </t>
  </si>
  <si>
    <t>o69.5</t>
  </si>
  <si>
    <t xml:space="preserve">UL Monroe at Southern Mississippi </t>
  </si>
  <si>
    <t xml:space="preserve">Utah State at San Diego State </t>
  </si>
  <si>
    <t xml:space="preserve">Kentucky at Mississippi State </t>
  </si>
  <si>
    <t xml:space="preserve">Stanford at Washington State </t>
  </si>
  <si>
    <t xml:space="preserve">Western Kentucky at UTEP </t>
  </si>
  <si>
    <t xml:space="preserve">Wisconsin at Indiana </t>
  </si>
  <si>
    <t xml:space="preserve">Coastal Carolina at Old Dominion </t>
  </si>
  <si>
    <t xml:space="preserve">Houston at Baylor </t>
  </si>
  <si>
    <t xml:space="preserve">Charlotte at Tulsa </t>
  </si>
  <si>
    <t xml:space="preserve">Middle Tennessee at New Mexico State </t>
  </si>
  <si>
    <t xml:space="preserve">Purdue at (2) Michigan </t>
  </si>
  <si>
    <t xml:space="preserve">Campbell at (25) North Carolina </t>
  </si>
  <si>
    <t xml:space="preserve">Texas A&amp;M at (10) Ole Miss </t>
  </si>
  <si>
    <t xml:space="preserve">Georgia Tech at Virginia </t>
  </si>
  <si>
    <t xml:space="preserve">(24) James Madison at Georgia State </t>
  </si>
  <si>
    <t xml:space="preserve">Boise State at Fresno State </t>
  </si>
  <si>
    <t xml:space="preserve">UConn at (16) Tennessee </t>
  </si>
  <si>
    <t xml:space="preserve">UCF at Cincinnati </t>
  </si>
  <si>
    <t xml:space="preserve">(19) Oregon State at Colorado </t>
  </si>
  <si>
    <t xml:space="preserve">(4) Florida State at Pittsburgh </t>
  </si>
  <si>
    <t xml:space="preserve">Iowa at Northwestern </t>
  </si>
  <si>
    <t>o30.5</t>
  </si>
  <si>
    <t xml:space="preserve">Bowling Green at Kent State </t>
  </si>
  <si>
    <t xml:space="preserve">Appalachian State at Georgia State </t>
  </si>
  <si>
    <t xml:space="preserve">Sam Houston at Louisiana Tech </t>
  </si>
  <si>
    <t xml:space="preserve">Baylor at Kansas State </t>
  </si>
  <si>
    <t xml:space="preserve">Miami at (4) Florida State </t>
  </si>
  <si>
    <t xml:space="preserve">(10) Ole Miss at (1) Georgia </t>
  </si>
  <si>
    <t xml:space="preserve">New Mexico at Boise State </t>
  </si>
  <si>
    <t xml:space="preserve">USC at (6) Oregon </t>
  </si>
  <si>
    <t>o73.5</t>
  </si>
  <si>
    <t xml:space="preserve">Temple at South Florida </t>
  </si>
  <si>
    <t xml:space="preserve">Maryland at Nebraska </t>
  </si>
  <si>
    <t xml:space="preserve">Ball State at Northern Illinois </t>
  </si>
  <si>
    <t xml:space="preserve">Old Dominion at Liberty </t>
  </si>
  <si>
    <t xml:space="preserve">Memphis at Charlotte </t>
  </si>
  <si>
    <t xml:space="preserve">Minnesota at Purdue </t>
  </si>
  <si>
    <t xml:space="preserve">Auburn at Arkansas </t>
  </si>
  <si>
    <t xml:space="preserve">Georgia Southern at Marshall </t>
  </si>
  <si>
    <t xml:space="preserve">San Diego State at Colorado State </t>
  </si>
  <si>
    <t xml:space="preserve">Arizona State at UCLA </t>
  </si>
  <si>
    <t xml:space="preserve">Iowa State at BYU </t>
  </si>
  <si>
    <t xml:space="preserve">Virginia Tech at Boston College </t>
  </si>
  <si>
    <t xml:space="preserve">EMU at Toledo </t>
  </si>
  <si>
    <t xml:space="preserve">Texas State at Coastal Carolina </t>
  </si>
  <si>
    <t xml:space="preserve">Pittsburgh at Syracuse </t>
  </si>
  <si>
    <t xml:space="preserve">East Carolina at Florida Atlantic </t>
  </si>
  <si>
    <t xml:space="preserve">Florida at (19) LSU </t>
  </si>
  <si>
    <t xml:space="preserve">(25) Fresno State at San José State </t>
  </si>
  <si>
    <t xml:space="preserve">(2) Michigan at (9) Penn State </t>
  </si>
  <si>
    <t xml:space="preserve">Holy Cross at Army </t>
  </si>
  <si>
    <t xml:space="preserve">Southern Mississippi at UL Lafayette </t>
  </si>
  <si>
    <t xml:space="preserve">Virginia at (11) Louisville </t>
  </si>
  <si>
    <t xml:space="preserve">North Texas at SMU </t>
  </si>
  <si>
    <t xml:space="preserve">West Virginia at (16) Oklahoma </t>
  </si>
  <si>
    <t xml:space="preserve">Michigan State at (3) Ohio State </t>
  </si>
  <si>
    <t xml:space="preserve">Air Force at Hawaii </t>
  </si>
  <si>
    <t xml:space="preserve">(8) Alabama at Kentucky </t>
  </si>
  <si>
    <t xml:space="preserve">Akron at Miami-OH </t>
  </si>
  <si>
    <t xml:space="preserve">Wyoming at UNLV </t>
  </si>
  <si>
    <t xml:space="preserve">Troy at UL Monroe </t>
  </si>
  <si>
    <t xml:space="preserve">(14) Utah at (5) Washington </t>
  </si>
  <si>
    <t xml:space="preserve">Rutgers at Iowa </t>
  </si>
  <si>
    <t>o28.5</t>
  </si>
  <si>
    <t xml:space="preserve">Duke at (23) North Carolina </t>
  </si>
  <si>
    <t xml:space="preserve">Indiana at Illinois </t>
  </si>
  <si>
    <t xml:space="preserve">Tulsa at (20) Tulane </t>
  </si>
  <si>
    <t xml:space="preserve">Vanderbilt at South Carolina </t>
  </si>
  <si>
    <t xml:space="preserve">Texas Tech at (18) Kansas </t>
  </si>
  <si>
    <t xml:space="preserve">Ohio at Buffalo </t>
  </si>
  <si>
    <t xml:space="preserve">Stanford at (13) Oregon State </t>
  </si>
  <si>
    <t xml:space="preserve">Rice at UTSA </t>
  </si>
  <si>
    <t xml:space="preserve">Georgia Tech at Clemson </t>
  </si>
  <si>
    <t xml:space="preserve">NC State at Wake Forest </t>
  </si>
  <si>
    <t xml:space="preserve">New Mexico State at Western Kentucky </t>
  </si>
  <si>
    <t xml:space="preserve">Cincinnati at Houston </t>
  </si>
  <si>
    <t xml:space="preserve">(24) Arizona at Colorado </t>
  </si>
  <si>
    <t xml:space="preserve">Florida Intl at Middle Tennessee </t>
  </si>
  <si>
    <t xml:space="preserve">Arkansas State at South Alabama </t>
  </si>
  <si>
    <t xml:space="preserve">(7) Texas at TCU </t>
  </si>
  <si>
    <t xml:space="preserve">UConn at (21) James Madison </t>
  </si>
  <si>
    <t xml:space="preserve">(12) Tennessee at (15) Missouri </t>
  </si>
  <si>
    <t xml:space="preserve">UAB at Navy </t>
  </si>
  <si>
    <t xml:space="preserve">Mississippi State at Texas A&amp;M </t>
  </si>
  <si>
    <t xml:space="preserve">(17) Oklahoma State at UCF </t>
  </si>
  <si>
    <t xml:space="preserve">Northwestern at Wisconsin </t>
  </si>
  <si>
    <t xml:space="preserve">Washington State at California </t>
  </si>
  <si>
    <t xml:space="preserve">Central Michigan at Western Michigan </t>
  </si>
  <si>
    <t xml:space="preserve">Nevada at Utah State </t>
  </si>
  <si>
    <t xml:space="preserve">Appalachian State at (21) James Madison </t>
  </si>
  <si>
    <t xml:space="preserve">Kent State at Ball State </t>
  </si>
  <si>
    <t xml:space="preserve">Temple at UAB </t>
  </si>
  <si>
    <t xml:space="preserve">(1) Georgia at (19) Tennessee </t>
  </si>
  <si>
    <t xml:space="preserve">Sam Houston at Western Kentucky </t>
  </si>
  <si>
    <t xml:space="preserve">(24) Kansas State at Kansas </t>
  </si>
  <si>
    <t xml:space="preserve">Nebraska at Wisconsin </t>
  </si>
  <si>
    <t xml:space="preserve">New Mexico at Fresno State </t>
  </si>
  <si>
    <t xml:space="preserve">(6) Oregon at Arizona State </t>
  </si>
  <si>
    <t xml:space="preserve">(9) Louisville at Miami </t>
  </si>
  <si>
    <t xml:space="preserve">Western Michigan at Northern Illinois </t>
  </si>
  <si>
    <t xml:space="preserve">UMASS at Liberty </t>
  </si>
  <si>
    <t xml:space="preserve">Nevada at Colorado State </t>
  </si>
  <si>
    <t xml:space="preserve">UCLA at USC </t>
  </si>
  <si>
    <t xml:space="preserve">NC State at Virginia Tech </t>
  </si>
  <si>
    <t xml:space="preserve">Minnesota at (3) Ohio State </t>
  </si>
  <si>
    <t xml:space="preserve">New Mexico State at Auburn </t>
  </si>
  <si>
    <t xml:space="preserve">Marshall at South Alabama </t>
  </si>
  <si>
    <t xml:space="preserve">(13) Oklahoma at BYU </t>
  </si>
  <si>
    <t xml:space="preserve">SMU at Memphis </t>
  </si>
  <si>
    <t xml:space="preserve">Toledo at Bowling Green </t>
  </si>
  <si>
    <t xml:space="preserve">Texas State at Arkansas State </t>
  </si>
  <si>
    <t xml:space="preserve">Wake Forest at (18) Notre Dame </t>
  </si>
  <si>
    <t xml:space="preserve">Florida at (11) Missouri </t>
  </si>
  <si>
    <t xml:space="preserve">(7) Texas at Iowa State </t>
  </si>
  <si>
    <t xml:space="preserve">Syracuse at Georgia Tech </t>
  </si>
  <si>
    <t xml:space="preserve">San Diego State at San José State </t>
  </si>
  <si>
    <t xml:space="preserve">(17) Tulane at Florida Atlantic </t>
  </si>
  <si>
    <t xml:space="preserve">Rutgers at (12) Penn State </t>
  </si>
  <si>
    <t xml:space="preserve">Coastal Carolina at Army </t>
  </si>
  <si>
    <t xml:space="preserve">Hawaii at Wyoming </t>
  </si>
  <si>
    <t xml:space="preserve">UL Lafayette at Troy </t>
  </si>
  <si>
    <t xml:space="preserve">Michigan State at Indiana </t>
  </si>
  <si>
    <t xml:space="preserve">Chattanooga at (8) Alabama </t>
  </si>
  <si>
    <t xml:space="preserve">Akron at EMU </t>
  </si>
  <si>
    <t xml:space="preserve">Duke at Virginia </t>
  </si>
  <si>
    <t xml:space="preserve">Illinois at (23) Iowa </t>
  </si>
  <si>
    <t xml:space="preserve">UCF at Texas Tech </t>
  </si>
  <si>
    <t xml:space="preserve">(5) Washington at (10) Oregon State </t>
  </si>
  <si>
    <t xml:space="preserve">Kentucky at South Carolina </t>
  </si>
  <si>
    <t xml:space="preserve">Buffalo at Miami-OH </t>
  </si>
  <si>
    <t xml:space="preserve">South Florida at UTSA </t>
  </si>
  <si>
    <t xml:space="preserve">UTEP at Middle Tennessee </t>
  </si>
  <si>
    <t xml:space="preserve">(20) North Carolina at Clemson </t>
  </si>
  <si>
    <t xml:space="preserve">California at Stanford </t>
  </si>
  <si>
    <t xml:space="preserve">Southern Mississippi at Mississippi State </t>
  </si>
  <si>
    <t xml:space="preserve">Central Michigan at Ohio </t>
  </si>
  <si>
    <t xml:space="preserve">North Texas at Tulsa </t>
  </si>
  <si>
    <t xml:space="preserve">UNLV at Air Force </t>
  </si>
  <si>
    <t xml:space="preserve">(25) Oklahoma State at Houston </t>
  </si>
  <si>
    <t xml:space="preserve">Florida Intl at Arkansas </t>
  </si>
  <si>
    <t xml:space="preserve">Baylor at TCU </t>
  </si>
  <si>
    <t xml:space="preserve">(16) Utah at (22) Arizona </t>
  </si>
  <si>
    <t xml:space="preserve">UL Monroe at (14) Ole Miss </t>
  </si>
  <si>
    <t xml:space="preserve">Purdue at Northwestern </t>
  </si>
  <si>
    <t xml:space="preserve">Boise State at Utah State </t>
  </si>
  <si>
    <t xml:space="preserve">Georgia State at (15) LSU </t>
  </si>
  <si>
    <t xml:space="preserve">East Carolina at Navy </t>
  </si>
  <si>
    <t>ESPN News</t>
  </si>
  <si>
    <t>o33.5</t>
  </si>
  <si>
    <t xml:space="preserve">Sacred Heart at UConn </t>
  </si>
  <si>
    <t xml:space="preserve">(2) Michigan at Maryland </t>
  </si>
  <si>
    <t xml:space="preserve">Boston College at Pittsburgh </t>
  </si>
  <si>
    <t xml:space="preserve">Cincinnati at West Virginia </t>
  </si>
  <si>
    <t xml:space="preserve">Old Dominion at Georgia Southern </t>
  </si>
  <si>
    <t xml:space="preserve">Louisiana Tech at Jacksonville State </t>
  </si>
  <si>
    <t xml:space="preserve">Rice at Charlotte </t>
  </si>
  <si>
    <t xml:space="preserve">Colorado at Washington State </t>
  </si>
  <si>
    <t xml:space="preserve">North Alabama at (4) Florida State </t>
  </si>
  <si>
    <t xml:space="preserve">Abilene Christian at Texas A&amp;M </t>
  </si>
  <si>
    <t>New Mexico 25 Fresno State 17</t>
  </si>
  <si>
    <t>(24) Kansas State 31 Kansas 27</t>
  </si>
  <si>
    <t>(6) Oregon 49 Arizona State 13</t>
  </si>
  <si>
    <t>Sam Houston 23 Western Kentucky 28</t>
  </si>
  <si>
    <t>(1) Georgia 38 (19) Tennessee 10</t>
  </si>
  <si>
    <t>Temple 24 UAB 34</t>
  </si>
  <si>
    <t>Kent State 3 Ball State 34</t>
  </si>
  <si>
    <t>(9) Louisville 38 Miami 31</t>
  </si>
  <si>
    <t>Nebraska 17 Wisconsin 24</t>
  </si>
  <si>
    <t>Appalachian State 26 (21) James Madison 23</t>
  </si>
  <si>
    <t>Marshall 0 South Alabama 28</t>
  </si>
  <si>
    <t>UCLA 38 USC 20</t>
  </si>
  <si>
    <t>New Mexico State 31 Auburn 10</t>
  </si>
  <si>
    <t>Minnesota 3 (3) Ohio State 37</t>
  </si>
  <si>
    <t>NC State 35 Virginia Tech 28</t>
  </si>
  <si>
    <t>Nevada 20 Colorado State 30</t>
  </si>
  <si>
    <t>UMASS 25 Liberty 49</t>
  </si>
  <si>
    <t>(13) Oklahoma 31 BYU 24</t>
  </si>
  <si>
    <t>SMU 38 Memphis 34</t>
  </si>
  <si>
    <t>Western Michigan 0 Northern Illinois 24</t>
  </si>
  <si>
    <t>San Diego State 13 San José State 24</t>
  </si>
  <si>
    <t>Syracuse 22 Georgia Tech 31</t>
  </si>
  <si>
    <t>(7) Texas 26 Iowa State 16</t>
  </si>
  <si>
    <t>Florida 31 (11) Missouri 33</t>
  </si>
  <si>
    <t>Texas State 31 Arkansas State 77</t>
  </si>
  <si>
    <t>Wake Forest 7 (18) Notre Dame 45</t>
  </si>
  <si>
    <t>Rutgers 6 (12) Penn State 27</t>
  </si>
  <si>
    <t>Coastal Carolina 21 Army 28</t>
  </si>
  <si>
    <t>(17) Tulane 24 Florida Atlantic 8</t>
  </si>
  <si>
    <t>Toledo 32 Bowling Green 31</t>
  </si>
  <si>
    <t>UL Lafayette 24 Troy 31</t>
  </si>
  <si>
    <t>Hawaii 9 Wyoming 42</t>
  </si>
  <si>
    <t>Michigan State 24 Indiana 21</t>
  </si>
  <si>
    <t>Chattanooga 10 (8) Alabama 66</t>
  </si>
  <si>
    <t>(5) Washington 22 (10) Oregon State 20</t>
  </si>
  <si>
    <t>Kentucky 14 South Carolina 17</t>
  </si>
  <si>
    <t>UCF 23 Texas Tech 24</t>
  </si>
  <si>
    <t>Illinois 13 (23) Iowa 15</t>
  </si>
  <si>
    <t>Duke 27 Virginia 30</t>
  </si>
  <si>
    <t>Akron 27 EMU 30</t>
  </si>
  <si>
    <t>California 27 Stanford 15</t>
  </si>
  <si>
    <t>(20) North Carolina 20 Clemson 31</t>
  </si>
  <si>
    <t>UTEP 30 Middle Tennessee 34</t>
  </si>
  <si>
    <t>Southern Mississippi 20 Mississippi State 41</t>
  </si>
  <si>
    <t>South Florida 21 UTSA 49</t>
  </si>
  <si>
    <t>Buffalo 10 Miami-OH 23</t>
  </si>
  <si>
    <t>Florida Intl 20 Arkansas 44</t>
  </si>
  <si>
    <t>(25) Oklahoma State 43 Houston 30</t>
  </si>
  <si>
    <t>UNLV 31 Air Force 27</t>
  </si>
  <si>
    <t>North Texas 35 Tulsa 28</t>
  </si>
  <si>
    <t>Central Michigan 20 Ohio 34</t>
  </si>
  <si>
    <t>Baylor 17 TCU 42</t>
  </si>
  <si>
    <t>(16) Utah 18 (22) Arizona 42</t>
  </si>
  <si>
    <t>Purdue 15 Northwestern 23</t>
  </si>
  <si>
    <t>UL Monroe 3 (14) Ole Miss 35</t>
  </si>
  <si>
    <t>Georgia State 14 (15) LSU 56</t>
  </si>
  <si>
    <t>o74.5</t>
  </si>
  <si>
    <t>Boise State 45 Utah State 10</t>
  </si>
  <si>
    <t>(2) Michigan 31 Maryland 24</t>
  </si>
  <si>
    <t>Sacred Heart 3 UConn 31</t>
  </si>
  <si>
    <t>East Carolina 0 Navy 10</t>
  </si>
  <si>
    <t>Old Dominion 20 Georgia Southern 17</t>
  </si>
  <si>
    <t>Cincinnati 21 West Virginia 42</t>
  </si>
  <si>
    <t>Boston College 16 Pittsburgh 24</t>
  </si>
  <si>
    <t>Rice 28 Charlotte 7</t>
  </si>
  <si>
    <t>Louisiana Tech 17 Jacksonville State 56</t>
  </si>
  <si>
    <t>North Alabama 13 (4) Florida State 58</t>
  </si>
  <si>
    <t>Abilene Christian 10 Texas A&amp;M 38</t>
  </si>
  <si>
    <t>Colorado 14 Washington State 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</si>
</sst>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:mm am/pm"/>
    <numFmt numFmtId="165" formatCode="0.00000"/>
    <numFmt numFmtId="166" formatCode="ddd, mm/dd, h:mm am/pm"/>
    <numFmt numFmtId="167" formatCode="m-d"/>
    <numFmt numFmtId="168" formatCode="m/d/yy"/>
  </numFmts>
  <fonts count="22">
    <font>
      <sz val="10.0"/>
      <color rgb="FF000000"/>
      <name val="Arial"/>
    </font>
    <font>
      <sz val="10.0"/>
    </font>
    <font/>
    <font>
      <sz val="16.0"/>
    </font>
    <font>
      <sz val="18.0"/>
    </font>
    <font>
      <b/>
      <u/>
      <sz val="12.0"/>
      <color rgb="FF0000FF"/>
    </font>
    <font>
      <b/>
      <sz val="12.0"/>
    </font>
    <font>
      <b/>
      <name val="Arial"/>
    </font>
    <font>
      <sz val="12.0"/>
    </font>
    <font>
      <name val="Arial"/>
    </font>
    <font>
      <sz val="10.0"/>
      <color rgb="FF000000"/>
    </font>
    <font>
      <b/>
      <sz val="10.0"/>
      <color rgb="FF000000"/>
    </font>
    <font>
      <b/>
      <sz val="10.0"/>
    </font>
    <font>
      <b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Inconsolata"/>
    </font>
    <font>
      <sz val="9.0"/>
    </font>
    <font>
      <color rgb="FF000000"/>
    </font>
    <font>
      <color rgb="FFFFFFFF"/>
    </font>
    <font>
      <sz val="11.0"/>
      <color rgb="FFF7981D"/>
    </font>
    <font>
      <b/>
      <sz val="12.0"/>
      <color rgb="FF2B2C2D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E1DDCF"/>
        <bgColor rgb="FFE1DDC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CC99"/>
        <bgColor rgb="FFFFCC99"/>
      </patternFill>
    </fill>
    <fill>
      <patternFill patternType="solid">
        <fgColor rgb="FFFEE123"/>
        <bgColor rgb="FFFEE123"/>
      </patternFill>
    </fill>
    <fill>
      <patternFill patternType="solid">
        <fgColor rgb="FF2CEFFF"/>
        <bgColor rgb="FF2CE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FCE122"/>
        <bgColor rgb="FFFCE122"/>
      </patternFill>
    </fill>
  </fills>
  <borders count="2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</border>
    <border>
      <left style="medium">
        <color rgb="FF0000FF"/>
      </left>
      <top style="medium">
        <color rgb="FF0000FF"/>
      </top>
      <bottom style="medium">
        <color rgb="FF0000FF"/>
      </bottom>
    </border>
    <border>
      <top style="medium">
        <color rgb="FF0000FF"/>
      </top>
      <bottom style="medium">
        <color rgb="FF0000FF"/>
      </bottom>
    </border>
    <border>
      <right style="medium">
        <color rgb="FF0000FF"/>
      </right>
      <top style="medium">
        <color rgb="FF0000FF"/>
      </top>
      <bottom style="medium">
        <color rgb="FF0000FF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990000"/>
      </left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thick">
        <color rgb="FFFF3333"/>
      </left>
      <right style="thick">
        <color rgb="FFFF3333"/>
      </right>
      <bottom style="thick">
        <color rgb="FFFF3333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1" fillId="2" fontId="1" numFmtId="0" xfId="0" applyAlignment="1" applyBorder="1" applyFont="1">
      <alignment horizontal="left" readingOrder="0" vertical="bottom"/>
    </xf>
    <xf borderId="0" fillId="3" fontId="2" numFmtId="164" xfId="0" applyAlignment="1" applyFont="1" applyNumberFormat="1">
      <alignment horizontal="center" readingOrder="0"/>
    </xf>
    <xf borderId="2" fillId="0" fontId="3" numFmtId="0" xfId="0" applyAlignment="1" applyBorder="1" applyFont="1">
      <alignment readingOrder="0"/>
    </xf>
    <xf borderId="3" fillId="2" fontId="1" numFmtId="0" xfId="0" applyAlignment="1" applyBorder="1" applyFont="1">
      <alignment horizontal="left" readingOrder="0" vertical="bottom"/>
    </xf>
    <xf borderId="0" fillId="0" fontId="4" numFmtId="0" xfId="0" applyAlignment="1" applyFont="1">
      <alignment readingOrder="0"/>
    </xf>
    <xf borderId="4" fillId="2" fontId="1" numFmtId="0" xfId="0" applyAlignment="1" applyBorder="1" applyFont="1">
      <alignment horizontal="left" readingOrder="0" vertical="bottom"/>
    </xf>
    <xf borderId="5" fillId="4" fontId="5" numFmtId="0" xfId="0" applyAlignment="1" applyBorder="1" applyFill="1" applyFont="1">
      <alignment readingOrder="0"/>
    </xf>
    <xf borderId="6" fillId="0" fontId="3" numFmtId="0" xfId="0" applyAlignment="1" applyBorder="1" applyFont="1">
      <alignment readingOrder="0"/>
    </xf>
    <xf borderId="4" fillId="2" fontId="1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7" fillId="2" fontId="6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 shrinkToFit="0" vertical="bottom" wrapText="1"/>
    </xf>
    <xf borderId="8" fillId="0" fontId="2" numFmtId="0" xfId="0" applyBorder="1" applyFont="1"/>
    <xf borderId="3" fillId="2" fontId="1" numFmtId="0" xfId="0" applyAlignment="1" applyBorder="1" applyFont="1">
      <alignment horizontal="left" readingOrder="0" shrinkToFit="0" vertical="bottom" wrapText="1"/>
    </xf>
    <xf borderId="9" fillId="0" fontId="2" numFmtId="0" xfId="0" applyBorder="1" applyFont="1"/>
    <xf borderId="0" fillId="2" fontId="7" numFmtId="0" xfId="0" applyAlignment="1" applyFont="1">
      <alignment vertical="bottom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7" fillId="5" fontId="6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/>
    </xf>
    <xf borderId="10" fillId="3" fontId="2" numFmtId="165" xfId="0" applyAlignment="1" applyBorder="1" applyFont="1" applyNumberFormat="1">
      <alignment horizontal="center" readingOrder="0"/>
    </xf>
    <xf borderId="0" fillId="3" fontId="2" numFmtId="0" xfId="0" applyAlignment="1" applyFont="1">
      <alignment readingOrder="0"/>
    </xf>
    <xf borderId="0" fillId="6" fontId="2" numFmtId="0" xfId="0" applyAlignment="1" applyFill="1" applyFont="1">
      <alignment horizontal="center" readingOrder="0"/>
    </xf>
    <xf borderId="10" fillId="3" fontId="1" numFmtId="0" xfId="0" applyAlignment="1" applyBorder="1" applyFont="1">
      <alignment horizontal="center" readingOrder="0" vertical="bottom"/>
    </xf>
    <xf borderId="11" fillId="7" fontId="6" numFmtId="0" xfId="0" applyAlignment="1" applyBorder="1" applyFill="1" applyFont="1">
      <alignment horizontal="center" readingOrder="0" shrinkToFit="0" wrapText="1"/>
    </xf>
    <xf borderId="12" fillId="3" fontId="1" numFmtId="0" xfId="0" applyAlignment="1" applyBorder="1" applyFont="1">
      <alignment readingOrder="0" vertical="bottom"/>
    </xf>
    <xf borderId="13" fillId="4" fontId="6" numFmtId="0" xfId="0" applyAlignment="1" applyBorder="1" applyFont="1">
      <alignment readingOrder="0"/>
    </xf>
    <xf borderId="10" fillId="3" fontId="1" numFmtId="0" xfId="0" applyAlignment="1" applyBorder="1" applyFont="1">
      <alignment readingOrder="0" vertical="bottom"/>
    </xf>
    <xf borderId="4" fillId="2" fontId="6" numFmtId="0" xfId="0" applyAlignment="1" applyBorder="1" applyFont="1">
      <alignment readingOrder="0"/>
    </xf>
    <xf borderId="10" fillId="3" fontId="1" numFmtId="166" xfId="0" applyAlignment="1" applyBorder="1" applyFont="1" applyNumberFormat="1">
      <alignment readingOrder="0" vertical="bottom"/>
    </xf>
    <xf borderId="1" fillId="2" fontId="6" numFmtId="0" xfId="0" applyAlignment="1" applyBorder="1" applyFont="1">
      <alignment readingOrder="0"/>
    </xf>
    <xf borderId="0" fillId="3" fontId="1" numFmtId="0" xfId="0" applyAlignment="1" applyFont="1">
      <alignment readingOrder="0" vertical="bottom"/>
    </xf>
    <xf borderId="14" fillId="2" fontId="6" numFmtId="0" xfId="0" applyAlignment="1" applyBorder="1" applyFont="1">
      <alignment readingOrder="0"/>
    </xf>
    <xf borderId="4" fillId="8" fontId="6" numFmtId="0" xfId="0" applyAlignment="1" applyBorder="1" applyFill="1" applyFont="1">
      <alignment readingOrder="0" shrinkToFit="0" wrapText="1"/>
    </xf>
    <xf borderId="1" fillId="8" fontId="6" numFmtId="0" xfId="0" applyAlignment="1" applyBorder="1" applyFont="1">
      <alignment readingOrder="0" shrinkToFit="0" wrapText="1"/>
    </xf>
    <xf borderId="4" fillId="7" fontId="6" numFmtId="0" xfId="0" applyAlignment="1" applyBorder="1" applyFont="1">
      <alignment readingOrder="0" shrinkToFit="0" wrapText="1"/>
    </xf>
    <xf borderId="1" fillId="7" fontId="6" numFmtId="0" xfId="0" applyAlignment="1" applyBorder="1" applyFont="1">
      <alignment readingOrder="0" shrinkToFit="0" wrapText="1"/>
    </xf>
    <xf borderId="3" fillId="7" fontId="6" numFmtId="0" xfId="0" applyAlignment="1" applyBorder="1" applyFont="1">
      <alignment readingOrder="0" shrinkToFit="0" wrapText="1"/>
    </xf>
    <xf borderId="3" fillId="0" fontId="2" numFmtId="0" xfId="0" applyBorder="1" applyFont="1"/>
    <xf borderId="0" fillId="0" fontId="3" numFmtId="0" xfId="0" applyFont="1"/>
    <xf borderId="2" fillId="0" fontId="8" numFmtId="165" xfId="0" applyBorder="1" applyFont="1" applyNumberFormat="1"/>
    <xf borderId="6" fillId="0" fontId="8" numFmtId="1" xfId="0" applyAlignment="1" applyBorder="1" applyFont="1" applyNumberFormat="1">
      <alignment horizontal="center"/>
    </xf>
    <xf borderId="2" fillId="0" fontId="3" numFmtId="0" xfId="0" applyBorder="1" applyFont="1"/>
    <xf borderId="0" fillId="0" fontId="8" numFmtId="1" xfId="0" applyAlignment="1" applyFont="1" applyNumberFormat="1">
      <alignment horizontal="center"/>
    </xf>
    <xf borderId="6" fillId="0" fontId="3" numFmtId="0" xfId="0" applyBorder="1" applyFont="1"/>
    <xf borderId="15" fillId="0" fontId="8" numFmtId="1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/>
    </xf>
    <xf borderId="0" fillId="0" fontId="4" numFmtId="0" xfId="0" applyFont="1"/>
    <xf borderId="0" fillId="0" fontId="8" numFmtId="0" xfId="0" applyAlignment="1" applyFont="1">
      <alignment horizontal="center"/>
    </xf>
    <xf borderId="11" fillId="0" fontId="8" numFmtId="0" xfId="0" applyAlignment="1" applyBorder="1" applyFont="1">
      <alignment horizontal="center"/>
    </xf>
    <xf borderId="0" fillId="3" fontId="9" numFmtId="0" xfId="0" applyAlignment="1" applyFont="1">
      <alignment vertical="bottom"/>
    </xf>
    <xf borderId="2" fillId="0" fontId="8" numFmtId="165" xfId="0" applyAlignment="1" applyBorder="1" applyFont="1" applyNumberFormat="1">
      <alignment readingOrder="0"/>
    </xf>
    <xf borderId="0" fillId="3" fontId="9" numFmtId="0" xfId="0" applyAlignment="1" applyFont="1">
      <alignment horizontal="center" vertical="bottom"/>
    </xf>
    <xf borderId="0" fillId="3" fontId="2" numFmtId="0" xfId="0" applyAlignment="1" applyFont="1">
      <alignment readingOrder="0"/>
    </xf>
    <xf borderId="0" fillId="3" fontId="2" numFmtId="3" xfId="0" applyAlignment="1" applyFont="1" applyNumberFormat="1">
      <alignment horizontal="center" readingOrder="0"/>
    </xf>
    <xf borderId="11" fillId="3" fontId="1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/>
    </xf>
    <xf borderId="0" fillId="3" fontId="1" numFmtId="166" xfId="0" applyAlignment="1" applyFont="1" applyNumberFormat="1">
      <alignment readingOrder="0" vertical="bottom"/>
    </xf>
    <xf borderId="0" fillId="3" fontId="9" numFmtId="0" xfId="0" applyAlignment="1" applyFont="1">
      <alignment readingOrder="0" vertical="bottom"/>
    </xf>
    <xf borderId="11" fillId="3" fontId="1" numFmtId="0" xfId="0" applyAlignment="1" applyBorder="1" applyFont="1">
      <alignment horizontal="left" readingOrder="0" vertical="bottom"/>
    </xf>
    <xf borderId="6" fillId="3" fontId="1" numFmtId="0" xfId="0" applyAlignment="1" applyBorder="1" applyFont="1">
      <alignment horizontal="left" readingOrder="0" vertical="bottom"/>
    </xf>
    <xf borderId="0" fillId="3" fontId="1" numFmtId="0" xfId="0" applyAlignment="1" applyFont="1">
      <alignment horizontal="left" readingOrder="0" vertical="bottom"/>
    </xf>
    <xf borderId="11" fillId="0" fontId="8" numFmtId="1" xfId="0" applyAlignment="1" applyBorder="1" applyFont="1" applyNumberFormat="1">
      <alignment horizontal="center"/>
    </xf>
    <xf borderId="13" fillId="0" fontId="8" numFmtId="165" xfId="0" applyAlignment="1" applyBorder="1" applyFont="1" applyNumberFormat="1">
      <alignment readingOrder="0"/>
    </xf>
    <xf borderId="4" fillId="0" fontId="8" numFmtId="1" xfId="0" applyAlignment="1" applyBorder="1" applyFont="1" applyNumberFormat="1">
      <alignment horizontal="center"/>
    </xf>
    <xf borderId="1" fillId="0" fontId="8" numFmtId="1" xfId="0" applyAlignment="1" applyBorder="1" applyFont="1" applyNumberFormat="1">
      <alignment horizontal="center"/>
    </xf>
    <xf borderId="14" fillId="0" fontId="8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/>
    </xf>
    <xf borderId="1" fillId="0" fontId="8" numFmtId="0" xfId="0" applyAlignment="1" applyBorder="1" applyFont="1">
      <alignment horizontal="center"/>
    </xf>
    <xf borderId="3" fillId="0" fontId="8" numFmtId="0" xfId="0" applyAlignment="1" applyBorder="1" applyFont="1">
      <alignment horizontal="center"/>
    </xf>
    <xf borderId="3" fillId="0" fontId="8" numFmtId="1" xfId="0" applyAlignment="1" applyBorder="1" applyFont="1" applyNumberFormat="1">
      <alignment horizontal="center"/>
    </xf>
    <xf borderId="11" fillId="0" fontId="8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6" fillId="0" fontId="8" numFmtId="0" xfId="0" applyBorder="1" applyFont="1"/>
    <xf borderId="0" fillId="0" fontId="8" numFmtId="0" xfId="0" applyFont="1"/>
    <xf borderId="11" fillId="0" fontId="8" numFmtId="0" xfId="0" applyBorder="1" applyFont="1"/>
    <xf borderId="0" fillId="3" fontId="2" numFmtId="165" xfId="0" applyAlignment="1" applyFont="1" applyNumberFormat="1">
      <alignment horizontal="center" readingOrder="0"/>
    </xf>
    <xf borderId="6" fillId="3" fontId="1" numFmtId="0" xfId="0" applyAlignment="1" applyBorder="1" applyFont="1">
      <alignment readingOrder="0" vertical="bottom"/>
    </xf>
    <xf borderId="0" fillId="3" fontId="9" numFmtId="166" xfId="0" applyAlignment="1" applyFont="1" applyNumberFormat="1">
      <alignment readingOrder="0" vertical="bottom"/>
    </xf>
    <xf borderId="11" fillId="0" fontId="8" numFmtId="165" xfId="0" applyAlignment="1" applyBorder="1" applyFont="1" applyNumberFormat="1">
      <alignment readingOrder="0"/>
    </xf>
    <xf borderId="6" fillId="0" fontId="8" numFmtId="1" xfId="0" applyAlignment="1" applyBorder="1" applyFont="1" applyNumberFormat="1">
      <alignment readingOrder="0"/>
    </xf>
    <xf borderId="0" fillId="9" fontId="2" numFmtId="0" xfId="0" applyAlignment="1" applyFill="1" applyFont="1">
      <alignment horizontal="center" readingOrder="0"/>
    </xf>
    <xf borderId="11" fillId="0" fontId="2" numFmtId="0" xfId="0" applyBorder="1" applyFont="1"/>
    <xf borderId="2" fillId="0" fontId="4" numFmtId="0" xfId="0" applyBorder="1" applyFont="1"/>
    <xf borderId="6" fillId="0" fontId="4" numFmtId="0" xfId="0" applyAlignment="1" applyBorder="1" applyFont="1">
      <alignment readingOrder="0"/>
    </xf>
    <xf borderId="6" fillId="0" fontId="4" numFmtId="0" xfId="0" applyBorder="1" applyFont="1"/>
    <xf borderId="16" fillId="9" fontId="10" numFmtId="0" xfId="0" applyAlignment="1" applyBorder="1" applyFont="1">
      <alignment horizontal="center" readingOrder="0"/>
    </xf>
    <xf borderId="17" fillId="0" fontId="2" numFmtId="0" xfId="0" applyBorder="1" applyFont="1"/>
    <xf borderId="18" fillId="0" fontId="2" numFmtId="0" xfId="0" applyBorder="1" applyFont="1"/>
    <xf borderId="0" fillId="10" fontId="2" numFmtId="0" xfId="0" applyAlignment="1" applyFill="1" applyFont="1">
      <alignment horizontal="center" readingOrder="0"/>
    </xf>
    <xf borderId="0" fillId="2" fontId="9" numFmtId="0" xfId="0" applyAlignment="1" applyFont="1">
      <alignment vertical="bottom"/>
    </xf>
    <xf borderId="0" fillId="6" fontId="11" numFmtId="0" xfId="0" applyAlignment="1" applyFont="1">
      <alignment horizontal="center" readingOrder="0"/>
    </xf>
    <xf borderId="10" fillId="3" fontId="2" numFmtId="3" xfId="0" applyAlignment="1" applyBorder="1" applyFont="1" applyNumberFormat="1">
      <alignment horizontal="center" readingOrder="0"/>
    </xf>
    <xf borderId="19" fillId="3" fontId="1" numFmtId="0" xfId="0" applyAlignment="1" applyBorder="1" applyFont="1">
      <alignment readingOrder="0" vertical="bottom"/>
    </xf>
    <xf borderId="10" fillId="3" fontId="9" numFmtId="0" xfId="0" applyAlignment="1" applyBorder="1" applyFont="1">
      <alignment readingOrder="0" vertical="bottom"/>
    </xf>
    <xf borderId="12" fillId="3" fontId="1" numFmtId="0" xfId="0" applyAlignment="1" applyBorder="1" applyFont="1">
      <alignment horizontal="left" readingOrder="0" vertical="bottom"/>
    </xf>
    <xf borderId="10" fillId="3" fontId="1" numFmtId="0" xfId="0" applyAlignment="1" applyBorder="1" applyFont="1">
      <alignment horizontal="left" readingOrder="0" vertical="bottom"/>
    </xf>
    <xf borderId="0" fillId="0" fontId="2" numFmtId="164" xfId="0" applyAlignment="1" applyFont="1" applyNumberForma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2" xfId="0" applyAlignment="1" applyFont="1" applyNumberFormat="1">
      <alignment readingOrder="0" vertical="bottom"/>
    </xf>
    <xf borderId="0" fillId="0" fontId="2" numFmtId="2" xfId="0" applyFont="1" applyNumberFormat="1"/>
    <xf borderId="0" fillId="0" fontId="9" numFmtId="167" xfId="0" applyAlignment="1" applyFont="1" applyNumberFormat="1">
      <alignment readingOrder="0" vertical="bottom"/>
    </xf>
    <xf borderId="0" fillId="11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12" fontId="12" numFmtId="0" xfId="0" applyAlignment="1" applyFill="1" applyFont="1">
      <alignment readingOrder="0" vertical="bottom"/>
    </xf>
    <xf borderId="0" fillId="12" fontId="13" numFmtId="0" xfId="0" applyAlignment="1" applyFont="1">
      <alignment horizontal="left" readingOrder="0"/>
    </xf>
    <xf borderId="0" fillId="12" fontId="12" numFmtId="0" xfId="0" applyAlignment="1" applyFont="1">
      <alignment vertical="bottom"/>
    </xf>
    <xf borderId="0" fillId="12" fontId="7" numFmtId="0" xfId="0" applyAlignment="1" applyFont="1">
      <alignment vertical="bottom"/>
    </xf>
    <xf borderId="1" fillId="2" fontId="9" numFmtId="0" xfId="0" applyAlignment="1" applyBorder="1" applyFont="1">
      <alignment vertical="bottom"/>
    </xf>
    <xf borderId="3" fillId="2" fontId="9" numFmtId="0" xfId="0" applyAlignment="1" applyBorder="1" applyFont="1">
      <alignment vertical="bottom"/>
    </xf>
    <xf borderId="4" fillId="2" fontId="7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1" fillId="2" fontId="7" numFmtId="0" xfId="0" applyAlignment="1" applyBorder="1" applyFont="1">
      <alignment shrinkToFit="0" vertical="bottom" wrapText="1"/>
    </xf>
    <xf borderId="0" fillId="3" fontId="14" numFmtId="0" xfId="0" applyAlignment="1" applyFont="1">
      <alignment vertical="bottom"/>
    </xf>
    <xf borderId="0" fillId="0" fontId="7" numFmtId="0" xfId="0" applyAlignment="1" applyFont="1">
      <alignment vertical="bottom"/>
    </xf>
    <xf borderId="10" fillId="0" fontId="2" numFmtId="0" xfId="0" applyAlignment="1" applyBorder="1" applyFont="1">
      <alignment readingOrder="0"/>
    </xf>
    <xf borderId="10" fillId="0" fontId="1" numFmtId="165" xfId="0" applyAlignment="1" applyBorder="1" applyFont="1" applyNumberFormat="1">
      <alignment horizontal="left" readingOrder="0" vertical="bottom"/>
    </xf>
    <xf borderId="10" fillId="3" fontId="1" numFmtId="0" xfId="0" applyAlignment="1" applyBorder="1" applyFont="1">
      <alignment vertical="bottom"/>
    </xf>
    <xf borderId="10" fillId="2" fontId="1" numFmtId="0" xfId="0" applyAlignment="1" applyBorder="1" applyFont="1">
      <alignment readingOrder="0" vertical="bottom"/>
    </xf>
    <xf borderId="10" fillId="0" fontId="2" numFmtId="0" xfId="0" applyAlignment="1" applyBorder="1" applyFont="1">
      <alignment readingOrder="0" shrinkToFit="0" wrapText="1"/>
    </xf>
    <xf borderId="0" fillId="0" fontId="9" numFmtId="0" xfId="0" applyAlignment="1" applyFont="1">
      <alignment horizontal="right" shrinkToFit="0" vertical="bottom" wrapText="1"/>
    </xf>
    <xf borderId="0" fillId="0" fontId="9" numFmtId="0" xfId="0" applyAlignment="1" applyFont="1">
      <alignment vertical="bottom"/>
    </xf>
    <xf borderId="0" fillId="0" fontId="9" numFmtId="3" xfId="0" applyAlignment="1" applyFont="1" applyNumberFormat="1">
      <alignment horizontal="right" shrinkToFit="0" vertical="bottom" wrapText="1"/>
    </xf>
    <xf borderId="0" fillId="0" fontId="9" numFmtId="166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11" fillId="0" fontId="15" numFmtId="3" xfId="0" applyAlignment="1" applyBorder="1" applyFont="1" applyNumberFormat="1">
      <alignment horizontal="right" vertical="bottom"/>
    </xf>
    <xf borderId="0" fillId="3" fontId="16" numFmtId="0" xfId="0" applyAlignment="1" applyFont="1">
      <alignment horizontal="right" vertical="bottom"/>
    </xf>
    <xf borderId="0" fillId="0" fontId="9" numFmtId="3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left" readingOrder="0"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left" readingOrder="0"/>
    </xf>
    <xf borderId="0" fillId="2" fontId="1" numFmtId="0" xfId="0" applyAlignment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wrapText="1"/>
    </xf>
    <xf borderId="10" fillId="3" fontId="9" numFmtId="166" xfId="0" applyAlignment="1" applyBorder="1" applyFont="1" applyNumberFormat="1">
      <alignment readingOrder="0" vertical="bottom"/>
    </xf>
    <xf borderId="0" fillId="0" fontId="9" numFmtId="167" xfId="0" applyAlignment="1" applyFont="1" applyNumberFormat="1">
      <alignment horizontal="right" readingOrder="0" vertical="bottom"/>
    </xf>
    <xf borderId="10" fillId="3" fontId="2" numFmtId="0" xfId="0" applyAlignment="1" applyBorder="1" applyFont="1">
      <alignment horizontal="center" readingOrder="0"/>
    </xf>
    <xf borderId="10" fillId="3" fontId="9" numFmtId="165" xfId="0" applyAlignment="1" applyBorder="1" applyFont="1" applyNumberFormat="1">
      <alignment horizontal="center" readingOrder="0" vertical="bottom"/>
    </xf>
    <xf borderId="0" fillId="3" fontId="2" numFmtId="0" xfId="0" applyFont="1"/>
    <xf borderId="0" fillId="3" fontId="9" numFmtId="165" xfId="0" applyAlignment="1" applyFont="1" applyNumberFormat="1">
      <alignment horizontal="center" readingOrder="0" vertical="bottom"/>
    </xf>
    <xf borderId="19" fillId="13" fontId="12" numFmtId="165" xfId="0" applyAlignment="1" applyBorder="1" applyFill="1" applyFont="1" applyNumberFormat="1">
      <alignment horizontal="center" readingOrder="0" vertical="bottom"/>
    </xf>
    <xf borderId="12" fillId="0" fontId="2" numFmtId="0" xfId="0" applyBorder="1" applyFont="1"/>
    <xf borderId="1" fillId="14" fontId="13" numFmtId="0" xfId="0" applyBorder="1" applyFill="1" applyFont="1"/>
    <xf borderId="0" fillId="14" fontId="13" numFmtId="0" xfId="0" applyFont="1"/>
    <xf borderId="19" fillId="13" fontId="12" numFmtId="0" xfId="0" applyAlignment="1" applyBorder="1" applyFont="1">
      <alignment horizontal="center" readingOrder="0" vertical="bottom"/>
    </xf>
    <xf borderId="6" fillId="12" fontId="12" numFmtId="0" xfId="0" applyAlignment="1" applyBorder="1" applyFont="1">
      <alignment horizontal="center" readingOrder="0" vertical="bottom"/>
    </xf>
    <xf borderId="11" fillId="12" fontId="12" numFmtId="0" xfId="0" applyAlignment="1" applyBorder="1" applyFont="1">
      <alignment horizontal="center" readingOrder="0" vertical="bottom"/>
    </xf>
    <xf borderId="3" fillId="12" fontId="12" numFmtId="0" xfId="0" applyAlignment="1" applyBorder="1" applyFont="1">
      <alignment horizontal="center" readingOrder="0" vertical="bottom"/>
    </xf>
    <xf borderId="4" fillId="12" fontId="12" numFmtId="0" xfId="0" applyAlignment="1" applyBorder="1" applyFont="1">
      <alignment horizontal="center" readingOrder="0" vertical="bottom"/>
    </xf>
    <xf borderId="10" fillId="0" fontId="1" numFmtId="0" xfId="0" applyAlignment="1" applyBorder="1" applyFont="1">
      <alignment horizontal="left" readingOrder="0" vertical="bottom"/>
    </xf>
    <xf borderId="12" fillId="0" fontId="1" numFmtId="0" xfId="0" applyAlignment="1" applyBorder="1" applyFont="1">
      <alignment horizontal="left" readingOrder="0" vertical="bottom"/>
    </xf>
    <xf borderId="0" fillId="3" fontId="16" numFmtId="0" xfId="0" applyFont="1"/>
    <xf borderId="6" fillId="0" fontId="1" numFmtId="0" xfId="0" applyAlignment="1" applyBorder="1" applyFont="1">
      <alignment horizontal="left" readingOrder="0" vertical="bottom"/>
    </xf>
    <xf borderId="11" fillId="0" fontId="1" numFmtId="0" xfId="0" applyAlignment="1" applyBorder="1" applyFont="1">
      <alignment horizontal="left" readingOrder="0" vertical="bottom"/>
    </xf>
    <xf borderId="0" fillId="0" fontId="1" numFmtId="0" xfId="0" applyAlignment="1" applyFont="1">
      <alignment horizontal="left" readingOrder="0" vertical="bottom"/>
    </xf>
    <xf borderId="0" fillId="14" fontId="12" numFmtId="0" xfId="0" applyAlignment="1" applyFont="1">
      <alignment readingOrder="0"/>
    </xf>
    <xf borderId="1" fillId="14" fontId="12" numFmtId="165" xfId="0" applyAlignment="1" applyBorder="1" applyFont="1" applyNumberFormat="1">
      <alignment readingOrder="0"/>
    </xf>
    <xf borderId="1" fillId="14" fontId="12" numFmtId="0" xfId="0" applyAlignment="1" applyBorder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3" fontId="1" numFmtId="165" xfId="0" applyFont="1" applyNumberFormat="1"/>
    <xf borderId="0" fillId="0" fontId="2" numFmtId="0" xfId="0" applyAlignment="1" applyFont="1">
      <alignment horizontal="left" readingOrder="0"/>
    </xf>
    <xf borderId="0" fillId="0" fontId="17" numFmtId="0" xfId="0" applyAlignment="1" applyFont="1">
      <alignment vertical="bottom"/>
    </xf>
    <xf borderId="0" fillId="15" fontId="1" numFmtId="0" xfId="0" applyAlignment="1" applyFill="1" applyFont="1">
      <alignment horizontal="left" readingOrder="0" vertical="bottom"/>
    </xf>
    <xf borderId="0" fillId="0" fontId="17" numFmtId="0" xfId="0" applyAlignment="1" applyFont="1">
      <alignment readingOrder="0" vertical="bottom"/>
    </xf>
    <xf borderId="0" fillId="15" fontId="1" numFmtId="0" xfId="0" applyAlignment="1" applyFont="1">
      <alignment readingOrder="0" vertical="bottom"/>
    </xf>
    <xf borderId="0" fillId="15" fontId="1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3" fontId="1" numFmtId="0" xfId="0" applyFont="1"/>
    <xf borderId="0" fillId="3" fontId="12" numFmtId="0" xfId="0" applyFont="1"/>
    <xf borderId="1" fillId="16" fontId="2" numFmtId="0" xfId="0" applyAlignment="1" applyBorder="1" applyFill="1" applyFont="1">
      <alignment horizontal="center" readingOrder="0"/>
    </xf>
    <xf borderId="3" fillId="16" fontId="2" numFmtId="0" xfId="0" applyAlignment="1" applyBorder="1" applyFont="1">
      <alignment horizontal="center" readingOrder="0"/>
    </xf>
    <xf borderId="1" fillId="16" fontId="2" numFmtId="165" xfId="0" applyAlignment="1" applyBorder="1" applyFont="1" applyNumberFormat="1">
      <alignment horizontal="center" readingOrder="0"/>
    </xf>
    <xf borderId="0" fillId="13" fontId="12" numFmtId="0" xfId="0" applyAlignment="1" applyFont="1">
      <alignment horizontal="center" readingOrder="0" vertical="bottom"/>
    </xf>
    <xf borderId="0" fillId="12" fontId="12" numFmtId="0" xfId="0" applyAlignment="1" applyFont="1">
      <alignment horizontal="center" readingOrder="0" vertical="bottom"/>
    </xf>
    <xf borderId="19" fillId="0" fontId="2" numFmtId="0" xfId="0" applyBorder="1" applyFont="1"/>
    <xf borderId="12" fillId="0" fontId="1" numFmtId="0" xfId="0" applyAlignment="1" applyBorder="1" applyFont="1">
      <alignment horizontal="left" readingOrder="0" vertical="bottom"/>
    </xf>
    <xf borderId="19" fillId="0" fontId="2" numFmtId="0" xfId="0" applyBorder="1" applyFont="1"/>
    <xf borderId="6" fillId="0" fontId="2" numFmtId="0" xfId="0" applyBorder="1" applyFont="1"/>
    <xf borderId="11" fillId="0" fontId="1" numFmtId="0" xfId="0" applyAlignment="1" applyBorder="1" applyFont="1">
      <alignment horizontal="left" readingOrder="0" vertical="bottom"/>
    </xf>
    <xf borderId="6" fillId="0" fontId="2" numFmtId="0" xfId="0" applyBorder="1" applyFont="1"/>
    <xf borderId="0" fillId="0" fontId="2" numFmtId="165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0" fontId="1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center" readingOrder="0" shrinkToFit="0" wrapText="1"/>
    </xf>
    <xf borderId="0" fillId="0" fontId="18" numFmtId="165" xfId="0" applyAlignment="1" applyFont="1" applyNumberFormat="1">
      <alignment horizontal="left" readingOrder="0"/>
    </xf>
    <xf borderId="0" fillId="0" fontId="19" numFmtId="165" xfId="0" applyAlignment="1" applyFont="1" applyNumberFormat="1">
      <alignment horizontal="center"/>
    </xf>
    <xf borderId="0" fillId="3" fontId="20" numFmtId="165" xfId="0" applyFont="1" applyNumberFormat="1"/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4" fillId="0" fontId="2" numFmtId="0" xfId="0" applyBorder="1" applyFont="1"/>
    <xf borderId="3" fillId="0" fontId="1" numFmtId="0" xfId="0" applyAlignment="1" applyBorder="1" applyFont="1">
      <alignment horizontal="left" readingOrder="0" vertical="bottom"/>
    </xf>
    <xf borderId="1" fillId="0" fontId="2" numFmtId="0" xfId="0" applyBorder="1" applyFont="1"/>
    <xf borderId="4" fillId="0" fontId="2" numFmtId="0" xfId="0" applyBorder="1" applyFont="1"/>
    <xf borderId="0" fillId="0" fontId="13" numFmtId="0" xfId="0" applyAlignment="1" applyFont="1">
      <alignment readingOrder="0"/>
    </xf>
    <xf borderId="0" fillId="3" fontId="2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center" readingOrder="0"/>
    </xf>
    <xf borderId="0" fillId="17" fontId="2" numFmtId="0" xfId="0" applyAlignment="1" applyFill="1" applyFont="1">
      <alignment horizontal="center" readingOrder="0"/>
    </xf>
    <xf borderId="20" fillId="0" fontId="2" numFmtId="0" xfId="0" applyAlignment="1" applyBorder="1" applyFont="1">
      <alignment horizontal="center" readingOrder="0"/>
    </xf>
    <xf borderId="2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center" readingOrder="0"/>
    </xf>
    <xf borderId="23" fillId="0" fontId="2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left" readingOrder="0" shrinkToFit="0" vertical="bottom" wrapText="1"/>
    </xf>
    <xf borderId="0" fillId="2" fontId="1" numFmtId="1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readingOrder="0" shrinkToFit="0" vertical="bottom" wrapText="1"/>
    </xf>
    <xf borderId="0" fillId="0" fontId="9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1" numFmtId="0" xfId="0" applyFont="1"/>
    <xf borderId="11" fillId="0" fontId="9" numFmtId="3" xfId="0" applyAlignment="1" applyBorder="1" applyFont="1" applyNumberFormat="1">
      <alignment vertical="bottom"/>
    </xf>
    <xf borderId="0" fillId="0" fontId="9" numFmtId="3" xfId="0" applyAlignment="1" applyFont="1" applyNumberFormat="1">
      <alignment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b/>
      </font>
      <fill>
        <patternFill patternType="none"/>
      </fill>
      <border/>
    </dxf>
    <dxf>
      <font>
        <strike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2" pivot="0" name="Standings-style">
      <tableStyleElement dxfId="1" type="firstRowStripe"/>
      <tableStyleElement dxfId="3" type="secondRowStripe"/>
    </tableStyle>
    <tableStyle count="3" pivot="0" name="Active Games-style">
      <tableStyleElement dxfId="2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ke Lombardo" id="{e82f2f07-dca2-4241-9eff-de35f66a5bcd}" providerId="google-sheets"/>
  <x18tc:person displayName="davelarson79@gmail.com" id="{bdc3801f-3776-4ee3-806e-282925b47462}" userId="davelarson79@gmail.com" providerId="google-sheets"/>
  <x18tc:person displayName="Nick Trebon" id="{8f926ac3-5a1e-4cb7-ad1d-e4e857d5d9ea}" providerId="google-sheets"/>
  <x18tc:person displayName="Brad Lytle" id="{ccd8253b-7c3c-400a-927a-ccbdbe0d8313}" providerId="google-sheets"/>
  <x18tc:person displayName="ntrebon@gmail.com" id="{2ac1c076-6ae5-4c73-8539-79fce575a69c}" userId="ntrebon@gmail.com" providerId="google-sheets"/>
  <x18tc:person displayName="vupham90@gmail.com" id="{cb3fa8ab-dbc8-4b6f-a046-7c506c1bddd0}" userId="vupham90@gmail.com" providerId="google-sheets"/>
  <x18tc:person displayName="jrenglund28@gmail.com" id="{e455ba47-4f80-40b7-907e-c4c6dc26f962}" userId="jrenglund28@gmail.com" providerId="google-sheets"/>
</x18tc:personList>
</file>

<file path=xl/tables/table1.xml><?xml version="1.0" encoding="utf-8"?>
<table xmlns="http://schemas.openxmlformats.org/spreadsheetml/2006/main" headerRowCount="0" ref="A3:M15" displayName="Table_1" name="Table_1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tanding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S586" displayName="Table_2" name="Table_2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Active Gam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92" dT="2023-08-23T12:03:32.00" personId="{e82f2f07-dca2-4241-9eff-de35f66a5bcd}" id="{7503fede-8bc9-46a2-b885-c04331c327b9}" done="0">
    <x18tc:text xml:space="preserve">Dilfer sucks</x18tc:text>
  </x18tc:threadedComment>
  <x18tc:threadedComment ref="F92" dT="2023-08-23T12:09:43.00" personId="{ccd8253b-7c3c-400a-927a-ccbdbe0d8313}" id="{b07a4141-6b30-498c-a1ea-406f8a9a902e}" parentId="{7503fede-8bc9-46a2-b885-c04331c327b9}">
    <x18tc:text xml:space="preserve">Lol! I still say good hire was a racist reaction to Deon Sanders</x18tc:text>
  </x18tc:threadedComment>
  <x18tc:threadedComment ref="F92" dT="2023-08-23T12:43:06.00" personId="{e82f2f07-dca2-4241-9eff-de35f66a5bcd}" id="{a7a852c5-aefd-4654-ac5d-81aad12f27ab}" parentId="{7503fede-8bc9-46a2-b885-c04331c327b9}">
    <x18tc:text xml:space="preserve">58-55 as a qb. 55% completion percentage. 113 TDs and 129 INTs. These are great career numbers for a Bears QB.</x18tc:text>
  </x18tc:threadedComment>
  <x18tc:threadedComment ref="F92" dT="2023-08-23T12:51:09.00" personId="{ccd8253b-7c3c-400a-927a-ccbdbe0d8313}" id="{a1081c6e-f4d1-49d9-8f3b-f138953ef462}" parentId="{7503fede-8bc9-46a2-b885-c04331c327b9}">
    <x18tc:text xml:space="preserve">Really shows the kind of good decision making you want as a head coach. But really they hired him as a motivator. I'm sure if you asked Ray Lewis and that historic Defense how much Dilfer motivated them, they'd tell you it was everything</x18tc:text>
  </x18tc:threadedComment>
  <x18tc:threadedComment ref="F92" dT="2023-08-23T13:09:38.00" personId="{e82f2f07-dca2-4241-9eff-de35f66a5bcd}" id="{1ced93c4-f97a-4f82-a580-5e3f3fc8a004}" parentId="{7503fede-8bc9-46a2-b885-c04331c327b9}">
    <x18tc:text xml:space="preserve">https://www.dailymotion.com/video/x1yzeo</x18tc:text>
    <x18tc:extLst>
      <ext uri="{F7C98A9C-CBB3-438F-8F68-D28B6AF4A901}">
        <xltc2:checksum/>
        <xltc2:hyperlink startIndex="0" length="40" url="https://www.dailymotion.com/video/x1yzeo"/>
      </ext>
    </x18tc:extLst>
  </x18tc:threadedComment>
  <x18tc:threadedComment ref="F92" dT="2023-08-23T13:22:00.00" personId="{ccd8253b-7c3c-400a-927a-ccbdbe0d8313}" id="{3457d6de-1809-4654-bdf8-f94d750ecb67}" parentId="{7503fede-8bc9-46a2-b885-c04331c327b9}">
    <x18tc:text xml:space="preserve">Lol</x18tc:text>
  </x18tc:threadedComment>
  <x18tc:threadedComment ref="F92" dT="2023-08-23T13:35:08.00" personId="{ccd8253b-7c3c-400a-927a-ccbdbe0d8313}" id="{8ad13f1a-9940-489a-9775-1e933cd97942}" parentId="{7503fede-8bc9-46a2-b885-c04331c327b9}">
    <x18tc:text xml:space="preserve">Just learned that only I and Mike are getting notifications on these. Adding @jrenglund28@gmail.com @ntrebon@gmail.com @vupham90@gmail.com @davelarson79@gmail.com for potential piling on</x18tc:text>
    <x18tc:mentions>
      <x18tc:mention mentionpersonId="{e455ba47-4f80-40b7-907e-c4c6dc26f962}" mentionId="{a807de0e-ae9b-4e8f-8d9e-09fad1489760}" startIndex="77" length="22"/>
      <x18tc:mention mentionpersonId="{2ac1c076-6ae5-4c73-8539-79fce575a69c}" mentionId="{f33c75a7-5f3f-4c86-beae-e2859d0c26ed}" startIndex="100" length="18"/>
      <x18tc:mention mentionpersonId="{cb3fa8ab-dbc8-4b6f-a046-7c506c1bddd0}" mentionId="{b1f33224-0278-4a8a-9c9d-96c01ddf4509}" startIndex="119" length="19"/>
      <x18tc:mention mentionpersonId="{bdc3801f-3776-4ee3-806e-282925b47462}" mentionId="{d4936d41-18d6-4e7c-850f-d073311663e8}" startIndex="139" length="23"/>
    </x18tc:mentions>
  </x18tc:threadedComment>
  <x18tc:threadedComment ref="F92" dT="2023-08-23T13:38:37.00" personId="{8f926ac3-5a1e-4cb7-ad1d-e4e857d5d9ea}" id="{2bc9128f-9b97-483c-a6c1-3849bfe54e53}" parentId="{7503fede-8bc9-46a2-b885-c04331c327b9}">
    <x18tc:text xml:space="preserve">i got no notifications</x18tc:text>
  </x18tc:threadedComment>
  <x18tc:threadedComment ref="F92" dT="2023-08-23T13:39:34.00" personId="{8f926ac3-5a1e-4cb7-ad1d-e4e857d5d9ea}" id="{84320c92-2141-4090-af32-e81855f35f02}" parentId="{7503fede-8bc9-46a2-b885-c04331c327b9}">
    <x18tc:text xml:space="preserve">premium google sheet users</x18tc:text>
  </x18tc:threadedComment>
  <x18tc:threadedComment ref="F92" dT="2023-08-23T13:39:44.00" personId="{ccd8253b-7c3c-400a-927a-ccbdbe0d8313}" id="{0ed6465b-5c80-4b77-8e02-23c67f10f6c3}" parentId="{7503fede-8bc9-46a2-b885-c04331c327b9}">
    <x18tc:text xml:space="preserve">Then what the fuck does @ ing do other than turning text blue?</x18tc:text>
  </x18tc:threadedComment>
  <x18tc:threadedComment ref="F92" dT="2023-08-23T13:52:52.00" personId="{8f926ac3-5a1e-4cb7-ad1d-e4e857d5d9ea}" id="{01d6af26-f6a5-4c7a-b70b-d06aaad29436}" parentId="{7503fede-8bc9-46a2-b885-c04331c327b9}">
    <x18tc:text xml:space="preserve">because that's how it works in other google products?  shared library</x18tc:text>
  </x18tc:threadedComment>
  <x18tc:threadedComment ref="F92" dT="2023-08-23T13:53:12.00" personId="{8f926ac3-5a1e-4cb7-ad1d-e4e857d5d9ea}" id="{33bc205f-b9a7-4daa-b679-74a1fccf9d10}" parentId="{7503fede-8bc9-46a2-b885-c04331c327b9}">
    <x18tc:text xml:space="preserve">whoa, it is pretty slick that I can respond to these inline in the email alert</x18tc:text>
  </x18tc:threadedComment>
  <x18tc:threadedComment ref="F92" dT="2023-08-23T14:11:32.00" personId="{ccd8253b-7c3c-400a-927a-ccbdbe0d8313}" id="{616e29c6-1523-4d41-9bdb-01250fea0a84}" parentId="{7503fede-8bc9-46a2-b885-c04331c327b9}">
    <x18tc:text xml:space="preserve">It is a legit time saver at work sometimes</x18tc:text>
  </x18tc:threadedComment>
  <x18tc:threadedComment ref="F92" dT="2023-08-23T15:04:32.00" personId="{e82f2f07-dca2-4241-9eff-de35f66a5bcd}" id="{ce228fdc-fc05-4f24-8bff-3c2004dbe7b2}" parentId="{7503fede-8bc9-46a2-b885-c04331c327b9}">
    <x18tc:text xml:space="preserve">which offsets the time theft of this thread. even steven.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1.5"/>
    <col customWidth="1" min="2" max="2" width="5.5"/>
    <col customWidth="1" min="3" max="3" width="7.75"/>
    <col customWidth="1" min="4" max="4" width="7.0"/>
    <col customWidth="1" min="5" max="5" width="6.63"/>
    <col customWidth="1" min="6" max="6" width="7.88"/>
    <col customWidth="1" min="7" max="7" width="9.0"/>
    <col customWidth="1" min="8" max="8" width="5.88"/>
    <col customWidth="1" min="9" max="9" width="7.75"/>
    <col customWidth="1" min="10" max="10" width="9.88"/>
    <col customWidth="1" min="11" max="11" width="8.5"/>
    <col customWidth="1" min="12" max="12" width="7.75"/>
    <col customWidth="1" min="13" max="13" width="12.63"/>
  </cols>
  <sheetData>
    <row r="1">
      <c r="A1" s="10" t="str">
        <f>HYPERLINK("https://docs.google.com/document/d/1-e84tTr9zFoIfOR2Z7Z-1lI4YO7v6GoaThMqj1UrcXE/edit","Rules")</f>
        <v>Rules</v>
      </c>
      <c r="B1" s="14" t="s">
        <v>16</v>
      </c>
      <c r="C1" s="16"/>
      <c r="D1" s="16"/>
      <c r="E1" s="18"/>
      <c r="F1" s="22" t="s">
        <v>32</v>
      </c>
      <c r="G1" s="16"/>
      <c r="H1" s="16"/>
      <c r="I1" s="16"/>
      <c r="J1" s="16"/>
      <c r="K1" s="16"/>
      <c r="L1" s="18"/>
      <c r="M1" s="28" t="s">
        <v>39</v>
      </c>
    </row>
    <row r="2">
      <c r="A2" s="30" t="s">
        <v>42</v>
      </c>
      <c r="B2" s="32" t="s">
        <v>44</v>
      </c>
      <c r="C2" s="34" t="s">
        <v>45</v>
      </c>
      <c r="D2" s="36" t="s">
        <v>48</v>
      </c>
      <c r="E2" s="34" t="s">
        <v>49</v>
      </c>
      <c r="F2" s="37" t="s">
        <v>50</v>
      </c>
      <c r="G2" s="38" t="s">
        <v>51</v>
      </c>
      <c r="H2" s="38" t="s">
        <v>44</v>
      </c>
      <c r="I2" s="38" t="s">
        <v>52</v>
      </c>
      <c r="J2" s="39" t="s">
        <v>53</v>
      </c>
      <c r="K2" s="40" t="s">
        <v>54</v>
      </c>
      <c r="L2" s="41" t="s">
        <v>55</v>
      </c>
      <c r="M2" s="42"/>
    </row>
    <row r="3">
      <c r="A3" s="44" t="str">
        <f t="array" ref="A3:M15">sort(A17:M29,2,false,3,true,7,false,8,true,1,true)</f>
        <v>Gary</v>
      </c>
      <c r="B3" s="45">
        <v>74.0</v>
      </c>
      <c r="C3" s="47">
        <v>46.0</v>
      </c>
      <c r="D3" s="49">
        <v>42.0</v>
      </c>
      <c r="E3" s="47">
        <v>32.0</v>
      </c>
      <c r="F3" s="50">
        <v>2.0</v>
      </c>
      <c r="G3" s="52">
        <v>0.0</v>
      </c>
      <c r="H3" s="52">
        <v>0.0</v>
      </c>
      <c r="I3" s="52">
        <v>2.0</v>
      </c>
      <c r="J3" s="50">
        <v>2.0</v>
      </c>
      <c r="K3" s="52">
        <v>0.0</v>
      </c>
      <c r="L3" s="53">
        <v>0.0</v>
      </c>
      <c r="M3" s="53">
        <v>2.0</v>
      </c>
    </row>
    <row r="4">
      <c r="A4" s="44" t="s">
        <v>56</v>
      </c>
      <c r="B4" s="45">
        <v>72.0</v>
      </c>
      <c r="C4" s="47">
        <v>48.0</v>
      </c>
      <c r="D4" s="49">
        <v>37.0</v>
      </c>
      <c r="E4" s="47">
        <v>35.0</v>
      </c>
      <c r="F4" s="50">
        <v>1.0</v>
      </c>
      <c r="G4" s="52">
        <v>0.0</v>
      </c>
      <c r="H4" s="52">
        <v>0.0</v>
      </c>
      <c r="I4" s="52">
        <v>1.0</v>
      </c>
      <c r="J4" s="50">
        <v>1.0</v>
      </c>
      <c r="K4" s="52">
        <v>0.0</v>
      </c>
      <c r="L4" s="53">
        <v>0.0</v>
      </c>
      <c r="M4" s="53">
        <v>1.0</v>
      </c>
    </row>
    <row r="5">
      <c r="A5" s="44" t="s">
        <v>46</v>
      </c>
      <c r="B5" s="47">
        <v>72.0</v>
      </c>
      <c r="C5" s="47">
        <v>48.0</v>
      </c>
      <c r="D5" s="49">
        <v>35.0</v>
      </c>
      <c r="E5" s="47">
        <v>37.0</v>
      </c>
      <c r="F5" s="50">
        <v>3.0</v>
      </c>
      <c r="G5" s="52">
        <v>0.0</v>
      </c>
      <c r="H5" s="52">
        <v>0.0</v>
      </c>
      <c r="I5" s="52">
        <v>3.0</v>
      </c>
      <c r="J5" s="50">
        <v>2.0</v>
      </c>
      <c r="K5" s="52">
        <v>0.0</v>
      </c>
      <c r="L5" s="53">
        <v>0.0</v>
      </c>
      <c r="M5" s="53">
        <v>2.0</v>
      </c>
    </row>
    <row r="6">
      <c r="A6" s="44" t="s">
        <v>57</v>
      </c>
      <c r="B6" s="47">
        <v>69.0</v>
      </c>
      <c r="C6" s="47">
        <v>52.0</v>
      </c>
      <c r="D6" s="49">
        <v>30.0</v>
      </c>
      <c r="E6" s="47">
        <v>39.0</v>
      </c>
      <c r="F6" s="50">
        <v>2.0</v>
      </c>
      <c r="G6" s="52">
        <v>0.0</v>
      </c>
      <c r="H6" s="52">
        <v>0.0</v>
      </c>
      <c r="I6" s="52">
        <v>2.0</v>
      </c>
      <c r="J6" s="50">
        <v>0.0</v>
      </c>
      <c r="K6" s="52">
        <v>0.0</v>
      </c>
      <c r="L6" s="53">
        <v>0.0</v>
      </c>
      <c r="M6" s="53">
        <v>0.0</v>
      </c>
    </row>
    <row r="7">
      <c r="A7" s="44" t="s">
        <v>58</v>
      </c>
      <c r="B7" s="47">
        <v>67.0</v>
      </c>
      <c r="C7" s="47">
        <v>53.0</v>
      </c>
      <c r="D7" s="49">
        <v>29.0</v>
      </c>
      <c r="E7" s="47">
        <v>38.0</v>
      </c>
      <c r="F7" s="50">
        <v>1.0</v>
      </c>
      <c r="G7" s="52">
        <v>0.0</v>
      </c>
      <c r="H7" s="52">
        <v>0.0</v>
      </c>
      <c r="I7" s="52">
        <v>1.0</v>
      </c>
      <c r="J7" s="50">
        <v>2.0</v>
      </c>
      <c r="K7" s="52">
        <v>0.0</v>
      </c>
      <c r="L7" s="53">
        <v>0.0</v>
      </c>
      <c r="M7" s="53">
        <v>2.0</v>
      </c>
    </row>
    <row r="8">
      <c r="A8" s="44" t="s">
        <v>59</v>
      </c>
      <c r="B8" s="45">
        <v>66.0</v>
      </c>
      <c r="C8" s="47">
        <v>54.0</v>
      </c>
      <c r="D8" s="49">
        <v>39.0</v>
      </c>
      <c r="E8" s="47">
        <v>27.0</v>
      </c>
      <c r="F8" s="50">
        <v>2.0</v>
      </c>
      <c r="G8" s="52">
        <v>0.0</v>
      </c>
      <c r="H8" s="52">
        <v>0.0</v>
      </c>
      <c r="I8" s="52">
        <v>2.0</v>
      </c>
      <c r="J8" s="50">
        <v>2.0</v>
      </c>
      <c r="K8" s="52">
        <v>0.0</v>
      </c>
      <c r="L8" s="53">
        <v>0.0</v>
      </c>
      <c r="M8" s="53">
        <v>2.0</v>
      </c>
    </row>
    <row r="9">
      <c r="A9" s="44" t="s">
        <v>60</v>
      </c>
      <c r="B9" s="45">
        <v>66.0</v>
      </c>
      <c r="C9" s="47">
        <v>55.0</v>
      </c>
      <c r="D9" s="49">
        <v>38.0</v>
      </c>
      <c r="E9" s="47">
        <v>28.0</v>
      </c>
      <c r="F9" s="50">
        <v>3.0</v>
      </c>
      <c r="G9" s="52">
        <v>0.0</v>
      </c>
      <c r="H9" s="52">
        <v>0.0</v>
      </c>
      <c r="I9" s="52">
        <v>3.0</v>
      </c>
      <c r="J9" s="50">
        <v>0.0</v>
      </c>
      <c r="K9" s="52">
        <v>0.0</v>
      </c>
      <c r="L9" s="53">
        <v>0.0</v>
      </c>
      <c r="M9" s="53">
        <v>0.0</v>
      </c>
    </row>
    <row r="10">
      <c r="A10" s="44" t="s">
        <v>61</v>
      </c>
      <c r="B10" s="45">
        <v>64.0</v>
      </c>
      <c r="C10" s="47">
        <v>56.0</v>
      </c>
      <c r="D10" s="49">
        <v>40.0</v>
      </c>
      <c r="E10" s="47">
        <v>24.0</v>
      </c>
      <c r="F10" s="50">
        <v>2.0</v>
      </c>
      <c r="G10" s="52">
        <v>0.0</v>
      </c>
      <c r="H10" s="52">
        <v>0.0</v>
      </c>
      <c r="I10" s="52">
        <v>2.0</v>
      </c>
      <c r="J10" s="50">
        <v>1.0</v>
      </c>
      <c r="K10" s="52">
        <v>0.0</v>
      </c>
      <c r="L10" s="53">
        <v>0.0</v>
      </c>
      <c r="M10" s="53">
        <v>1.0</v>
      </c>
    </row>
    <row r="11">
      <c r="A11" s="55" t="s">
        <v>62</v>
      </c>
      <c r="B11" s="45">
        <v>62.0</v>
      </c>
      <c r="C11" s="47">
        <v>58.0</v>
      </c>
      <c r="D11" s="49">
        <v>29.0</v>
      </c>
      <c r="E11" s="47">
        <v>33.0</v>
      </c>
      <c r="F11" s="50">
        <v>1.0</v>
      </c>
      <c r="G11" s="52">
        <v>0.0</v>
      </c>
      <c r="H11" s="52">
        <v>0.0</v>
      </c>
      <c r="I11" s="52">
        <v>1.0</v>
      </c>
      <c r="J11" s="50">
        <v>0.0</v>
      </c>
      <c r="K11" s="52">
        <v>0.0</v>
      </c>
      <c r="L11" s="53">
        <v>0.0</v>
      </c>
      <c r="M11" s="53">
        <v>0.0</v>
      </c>
    </row>
    <row r="12">
      <c r="A12" s="55" t="s">
        <v>35</v>
      </c>
      <c r="B12" s="45">
        <v>62.0</v>
      </c>
      <c r="C12" s="47">
        <v>58.0</v>
      </c>
      <c r="D12" s="49">
        <v>43.0</v>
      </c>
      <c r="E12" s="47">
        <v>19.0</v>
      </c>
      <c r="F12" s="50">
        <v>3.0</v>
      </c>
      <c r="G12" s="52">
        <v>0.0</v>
      </c>
      <c r="H12" s="52">
        <v>0.0</v>
      </c>
      <c r="I12" s="52">
        <v>3.0</v>
      </c>
      <c r="J12" s="50">
        <v>2.0</v>
      </c>
      <c r="K12" s="52">
        <v>0.0</v>
      </c>
      <c r="L12" s="53">
        <v>0.0</v>
      </c>
      <c r="M12" s="53">
        <v>2.0</v>
      </c>
    </row>
    <row r="13">
      <c r="A13" s="55" t="s">
        <v>67</v>
      </c>
      <c r="B13" s="45">
        <v>60.0</v>
      </c>
      <c r="C13" s="47">
        <v>60.0</v>
      </c>
      <c r="D13" s="49">
        <v>36.0</v>
      </c>
      <c r="E13" s="47">
        <v>24.0</v>
      </c>
      <c r="F13" s="50">
        <v>0.0</v>
      </c>
      <c r="G13" s="52">
        <v>0.0</v>
      </c>
      <c r="H13" s="52">
        <v>0.0</v>
      </c>
      <c r="I13" s="52">
        <v>0.0</v>
      </c>
      <c r="J13" s="50">
        <v>0.0</v>
      </c>
      <c r="K13" s="52">
        <v>0.0</v>
      </c>
      <c r="L13" s="53">
        <v>0.0</v>
      </c>
      <c r="M13" s="53">
        <v>0.0</v>
      </c>
    </row>
    <row r="14">
      <c r="A14" s="55" t="s">
        <v>69</v>
      </c>
      <c r="B14" s="45">
        <v>57.0</v>
      </c>
      <c r="C14" s="47">
        <v>63.0</v>
      </c>
      <c r="D14" s="49">
        <v>31.0</v>
      </c>
      <c r="E14" s="47">
        <v>26.0</v>
      </c>
      <c r="F14" s="50">
        <v>0.0</v>
      </c>
      <c r="G14" s="52">
        <v>0.0</v>
      </c>
      <c r="H14" s="52">
        <v>0.0</v>
      </c>
      <c r="I14" s="52">
        <v>0.0</v>
      </c>
      <c r="J14" s="50">
        <v>0.0</v>
      </c>
      <c r="K14" s="52">
        <v>0.0</v>
      </c>
      <c r="L14" s="53">
        <v>0.0</v>
      </c>
      <c r="M14" s="66">
        <v>0.0</v>
      </c>
    </row>
    <row r="15">
      <c r="A15" s="67" t="s">
        <v>70</v>
      </c>
      <c r="B15" s="68">
        <v>50.0</v>
      </c>
      <c r="C15" s="69">
        <v>70.0</v>
      </c>
      <c r="D15" s="70">
        <v>29.0</v>
      </c>
      <c r="E15" s="69">
        <v>21.0</v>
      </c>
      <c r="F15" s="71">
        <v>0.0</v>
      </c>
      <c r="G15" s="72">
        <v>0.0</v>
      </c>
      <c r="H15" s="72">
        <v>0.0</v>
      </c>
      <c r="I15" s="72">
        <v>0.0</v>
      </c>
      <c r="J15" s="71">
        <v>0.0</v>
      </c>
      <c r="K15" s="72">
        <v>0.0</v>
      </c>
      <c r="L15" s="73">
        <v>0.0</v>
      </c>
      <c r="M15" s="74">
        <v>0.0</v>
      </c>
    </row>
    <row r="16" hidden="1">
      <c r="A16" s="75"/>
      <c r="B16" s="76"/>
      <c r="C16" s="77"/>
      <c r="D16" s="77"/>
      <c r="E16" s="77"/>
      <c r="F16" s="78"/>
      <c r="G16" s="79"/>
      <c r="H16" s="79"/>
      <c r="I16" s="79"/>
      <c r="J16" s="79"/>
      <c r="K16" s="79"/>
      <c r="L16" s="80"/>
      <c r="M16" s="80"/>
    </row>
    <row r="17" hidden="1">
      <c r="A17" s="84" t="str">
        <f t="array" ref="A17:A29">'Draft Order'!B2:B29</f>
        <v>Nick G.</v>
      </c>
      <c r="B17" s="85">
        <f>sumif('Current Week'!$B:$B,$A17,'Current Week'!D:D)</f>
        <v>62</v>
      </c>
      <c r="C17" s="85">
        <f>sumif('Current Week'!$B:$B,$A17,'Current Week'!E:E)</f>
        <v>58</v>
      </c>
      <c r="D17" s="85">
        <f>sumifs('Current Week'!D:D,'Current Week'!$B:$B,$A17,'Current Week'!T:T,"Power 5")</f>
        <v>43</v>
      </c>
      <c r="E17" s="85">
        <f>sumifs('Current Week'!D:D,'Current Week'!$B:$B,$A17,'Current Week'!T:T,"Group of 5")</f>
        <v>19</v>
      </c>
      <c r="F17" s="78">
        <f>10-countifs('Current Week'!B:B,A17,'Current Week'!G:G,"")</f>
        <v>3</v>
      </c>
      <c r="G17" s="79">
        <f>IFERROR(__xludf.DUMMYFUNCTION("COUNTA(iferror(filter('Current Week'!B:B,'Current Week'!B:B=A17,left('Current Week'!G:G,5)=""FINAL"")))"),0.0)</f>
        <v>0</v>
      </c>
      <c r="H17" s="79">
        <f>countifs('Current Week'!B:B,A17,'Current Week'!U:U,"=TRUE")</f>
        <v>0</v>
      </c>
      <c r="I17">
        <f t="shared" ref="I17:I29" si="1">F17-G17</f>
        <v>3</v>
      </c>
      <c r="J17">
        <f>IFERROR(__xludf.DUMMYFUNCTION("countifs('Current Week'!B:B,A17,'Current Week'!K:K,""&lt;0"")+counta(iferror(filter('Current Week'!B:B,'Current Week'!B:B=A17,'Current Week'!F:F&lt;&gt;"""",'Current Week'!K:K="""",'Current Week'!H:H="""")))"),2.0)</f>
        <v>2</v>
      </c>
      <c r="K17">
        <f>IFERROR(__xludf.DUMMYFUNCTION("counta(iferror(filter('Current Week'!B:B,'Current Week'!B:B=A17,'Current Week'!K:K&gt;0,not(iserror(find(""FINAL"",'Current Week'!G:G))),'Current Week'!U:U=TRUE)))+counta(iferror(filter('Current Week'!B:B,'Current Week'!B:B=A17,'Current Week'!K:K="""",not(is"&amp;"error(find(""FINAL"",'Current Week'!G:G))),'Current Week'!U:U=TRUE,'Current Week'!H:H="""")))"),0.0)</f>
        <v>0</v>
      </c>
      <c r="L17">
        <f>IFERROR(__xludf.DUMMYFUNCTION("counta(iferror(filter('Current Week'!B:B,'Current Week'!B:B=A17,'Current Week'!K:K&lt;0,not(iserror(find(""FINAL"",'Current Week'!G:G))),'Current Week'!U:U&lt;&gt;TRUE)))"),0.0)</f>
        <v>0</v>
      </c>
      <c r="M17" s="87">
        <f>IFERROR(__xludf.DUMMYFUNCTION("H17+counta(iferror(filter('Current Week'!B:B,'Current Week'!B:B=A17,'Current Week'!K:K&lt;0,iserror(find(""FINAL"",'Current Week'!G:G)))))+counta(iferror(filter('Current Week'!B:B,'Current Week'!B:B=A17,'Current Week'!F:F&lt;&gt;"""",'Current Week'!J:J="""",'Curre"&amp;"nt Week'!H:H="""",iserror(find(""FINAL"",'Current Week'!G:G)))))"),2.0)</f>
        <v>2</v>
      </c>
    </row>
    <row r="18" hidden="1">
      <c r="A18" s="84" t="s">
        <v>58</v>
      </c>
      <c r="B18" s="85">
        <f>sumif('Current Week'!$B:$B,$A18,'Current Week'!D:D)</f>
        <v>67</v>
      </c>
      <c r="C18" s="85">
        <f>sumif('Current Week'!$B:$B,$A18,'Current Week'!E:E)</f>
        <v>53</v>
      </c>
      <c r="D18" s="85">
        <f>sumifs('Current Week'!D:D,'Current Week'!$B:$B,$A18,'Current Week'!T:T,"Power 5")</f>
        <v>29</v>
      </c>
      <c r="E18" s="85">
        <f>sumifs('Current Week'!D:D,'Current Week'!$B:$B,$A18,'Current Week'!T:T,"Group of 5")</f>
        <v>38</v>
      </c>
      <c r="F18" s="78">
        <f>10-countifs('Current Week'!B:B,A18,'Current Week'!G:G,"")</f>
        <v>1</v>
      </c>
      <c r="G18" s="79">
        <f>IFERROR(__xludf.DUMMYFUNCTION("COUNTA(iferror(filter('Current Week'!B:B,'Current Week'!B:B=A18,left('Current Week'!G:G,5)=""FINAL"")))"),0.0)</f>
        <v>0</v>
      </c>
      <c r="H18" s="79">
        <f>countifs('Current Week'!B:B,A18,'Current Week'!U:U,"=TRUE")</f>
        <v>0</v>
      </c>
      <c r="I18">
        <f t="shared" si="1"/>
        <v>1</v>
      </c>
      <c r="J18">
        <f>IFERROR(__xludf.DUMMYFUNCTION("countifs('Current Week'!B:B,A18,'Current Week'!K:K,""&lt;0"")+counta(iferror(filter('Current Week'!B:B,'Current Week'!B:B=A18,'Current Week'!F:F&lt;&gt;"""",'Current Week'!K:K="""",'Current Week'!H:H="""")))"),2.0)</f>
        <v>2</v>
      </c>
      <c r="K18">
        <f>IFERROR(__xludf.DUMMYFUNCTION("counta(iferror(filter('Current Week'!B:B,'Current Week'!B:B=A18,'Current Week'!K:K&gt;0,not(iserror(find(""FINAL"",'Current Week'!G:G))),'Current Week'!U:U=TRUE)))+counta(iferror(filter('Current Week'!B:B,'Current Week'!B:B=A18,'Current Week'!K:K="""",not(is"&amp;"error(find(""FINAL"",'Current Week'!G:G))),'Current Week'!U:U=TRUE,'Current Week'!H:H="""")))"),0.0)</f>
        <v>0</v>
      </c>
      <c r="L18">
        <f>IFERROR(__xludf.DUMMYFUNCTION("counta(iferror(filter('Current Week'!B:B,'Current Week'!B:B=A18,'Current Week'!K:K&lt;0,not(iserror(find(""FINAL"",'Current Week'!G:G))),'Current Week'!U:U&lt;&gt;TRUE)))"),0.0)</f>
        <v>0</v>
      </c>
      <c r="M18" s="87">
        <f>IFERROR(__xludf.DUMMYFUNCTION("H18+counta(iferror(filter('Current Week'!B:B,'Current Week'!B:B=A18,'Current Week'!K:K&lt;0,iserror(find(""FINAL"",'Current Week'!G:G)))))+counta(iferror(filter('Current Week'!B:B,'Current Week'!B:B=A18,'Current Week'!F:F&lt;&gt;"""",'Current Week'!J:J="""",'Curre"&amp;"nt Week'!H:H="""",iserror(find(""FINAL"",'Current Week'!G:G)))))"),2.0)</f>
        <v>2</v>
      </c>
    </row>
    <row r="19" hidden="1">
      <c r="A19" s="84" t="s">
        <v>56</v>
      </c>
      <c r="B19" s="85">
        <f>sumif('Current Week'!$B:$B,$A19,'Current Week'!D:D)</f>
        <v>72</v>
      </c>
      <c r="C19" s="85">
        <f>sumif('Current Week'!$B:$B,$A19,'Current Week'!E:E)</f>
        <v>48</v>
      </c>
      <c r="D19" s="85">
        <f>sumifs('Current Week'!D:D,'Current Week'!$B:$B,$A19,'Current Week'!T:T,"Power 5")</f>
        <v>37</v>
      </c>
      <c r="E19" s="85">
        <f>sumifs('Current Week'!D:D,'Current Week'!$B:$B,$A19,'Current Week'!T:T,"Group of 5")</f>
        <v>35</v>
      </c>
      <c r="F19" s="78">
        <f>10-countifs('Current Week'!B:B,A19,'Current Week'!G:G,"")</f>
        <v>1</v>
      </c>
      <c r="G19" s="79">
        <f>IFERROR(__xludf.DUMMYFUNCTION("COUNTA(iferror(filter('Current Week'!B:B,'Current Week'!B:B=A19,left('Current Week'!G:G,5)=""FINAL"")))"),0.0)</f>
        <v>0</v>
      </c>
      <c r="H19" s="79">
        <f>countifs('Current Week'!B:B,A19,'Current Week'!U:U,"=TRUE")</f>
        <v>0</v>
      </c>
      <c r="I19">
        <f t="shared" si="1"/>
        <v>1</v>
      </c>
      <c r="J19">
        <f>IFERROR(__xludf.DUMMYFUNCTION("countifs('Current Week'!B:B,A19,'Current Week'!K:K,""&lt;0"")+counta(iferror(filter('Current Week'!B:B,'Current Week'!B:B=A19,'Current Week'!F:F&lt;&gt;"""",'Current Week'!K:K="""",'Current Week'!H:H="""")))"),1.0)</f>
        <v>1</v>
      </c>
      <c r="K19">
        <f>IFERROR(__xludf.DUMMYFUNCTION("counta(iferror(filter('Current Week'!B:B,'Current Week'!B:B=A19,'Current Week'!K:K&gt;0,not(iserror(find(""FINAL"",'Current Week'!G:G))),'Current Week'!U:U=TRUE)))+counta(iferror(filter('Current Week'!B:B,'Current Week'!B:B=A19,'Current Week'!K:K="""",not(is"&amp;"error(find(""FINAL"",'Current Week'!G:G))),'Current Week'!U:U=TRUE,'Current Week'!H:H="""")))"),0.0)</f>
        <v>0</v>
      </c>
      <c r="L19">
        <f>IFERROR(__xludf.DUMMYFUNCTION("counta(iferror(filter('Current Week'!B:B,'Current Week'!B:B=A19,'Current Week'!K:K&lt;0,not(iserror(find(""FINAL"",'Current Week'!G:G))),'Current Week'!U:U&lt;&gt;TRUE)))"),0.0)</f>
        <v>0</v>
      </c>
      <c r="M19" s="87">
        <f>IFERROR(__xludf.DUMMYFUNCTION("H19+counta(iferror(filter('Current Week'!B:B,'Current Week'!B:B=A19,'Current Week'!K:K&lt;0,iserror(find(""FINAL"",'Current Week'!G:G)))))+counta(iferror(filter('Current Week'!B:B,'Current Week'!B:B=A19,'Current Week'!F:F&lt;&gt;"""",'Current Week'!J:J="""",'Curre"&amp;"nt Week'!H:H="""",iserror(find(""FINAL"",'Current Week'!G:G)))))"),1.0)</f>
        <v>1</v>
      </c>
    </row>
    <row r="20" hidden="1">
      <c r="A20" s="84" t="s">
        <v>60</v>
      </c>
      <c r="B20" s="85">
        <f>sumif('Current Week'!$B:$B,$A20,'Current Week'!D:D)</f>
        <v>66</v>
      </c>
      <c r="C20" s="85">
        <f>sumif('Current Week'!$B:$B,$A20,'Current Week'!E:E)</f>
        <v>55</v>
      </c>
      <c r="D20" s="85">
        <f>sumifs('Current Week'!D:D,'Current Week'!$B:$B,$A20,'Current Week'!T:T,"Power 5")</f>
        <v>38</v>
      </c>
      <c r="E20" s="85">
        <f>sumifs('Current Week'!D:D,'Current Week'!$B:$B,$A20,'Current Week'!T:T,"Group of 5")</f>
        <v>28</v>
      </c>
      <c r="F20" s="78">
        <f>10-countifs('Current Week'!B:B,A20,'Current Week'!G:G,"")</f>
        <v>3</v>
      </c>
      <c r="G20" s="79">
        <f>IFERROR(__xludf.DUMMYFUNCTION("COUNTA(iferror(filter('Current Week'!B:B,'Current Week'!B:B=A20,left('Current Week'!G:G,5)=""FINAL"")))"),0.0)</f>
        <v>0</v>
      </c>
      <c r="H20" s="79">
        <f>countifs('Current Week'!B:B,A20,'Current Week'!U:U,"=TRUE")</f>
        <v>0</v>
      </c>
      <c r="I20">
        <f t="shared" si="1"/>
        <v>3</v>
      </c>
      <c r="J20">
        <f>IFERROR(__xludf.DUMMYFUNCTION("countifs('Current Week'!B:B,A20,'Current Week'!K:K,""&lt;0"")+counta(iferror(filter('Current Week'!B:B,'Current Week'!B:B=A20,'Current Week'!F:F&lt;&gt;"""",'Current Week'!K:K="""",'Current Week'!H:H="""")))"),0.0)</f>
        <v>0</v>
      </c>
      <c r="K20">
        <f>IFERROR(__xludf.DUMMYFUNCTION("counta(iferror(filter('Current Week'!B:B,'Current Week'!B:B=A20,'Current Week'!K:K&gt;0,not(iserror(find(""FINAL"",'Current Week'!G:G))),'Current Week'!U:U=TRUE)))+counta(iferror(filter('Current Week'!B:B,'Current Week'!B:B=A20,'Current Week'!K:K="""",not(is"&amp;"error(find(""FINAL"",'Current Week'!G:G))),'Current Week'!U:U=TRUE,'Current Week'!H:H="""")))"),0.0)</f>
        <v>0</v>
      </c>
      <c r="L20">
        <f>IFERROR(__xludf.DUMMYFUNCTION("counta(iferror(filter('Current Week'!B:B,'Current Week'!B:B=A20,'Current Week'!K:K&lt;0,not(iserror(find(""FINAL"",'Current Week'!G:G))),'Current Week'!U:U&lt;&gt;TRUE)))"),0.0)</f>
        <v>0</v>
      </c>
      <c r="M20" s="87">
        <f>IFERROR(__xludf.DUMMYFUNCTION("H20+counta(iferror(filter('Current Week'!B:B,'Current Week'!B:B=A20,'Current Week'!K:K&lt;0,iserror(find(""FINAL"",'Current Week'!G:G)))))+counta(iferror(filter('Current Week'!B:B,'Current Week'!B:B=A20,'Current Week'!F:F&lt;&gt;"""",'Current Week'!J:J="""",'Curre"&amp;"nt Week'!H:H="""",iserror(find(""FINAL"",'Current Week'!G:G)))))"),0.0)</f>
        <v>0</v>
      </c>
    </row>
    <row r="21" hidden="1">
      <c r="A21" s="84" t="s">
        <v>46</v>
      </c>
      <c r="B21" s="85">
        <f>sumif('Current Week'!$B:$B,$A21,'Current Week'!D:D)</f>
        <v>72</v>
      </c>
      <c r="C21" s="85">
        <f>sumif('Current Week'!$B:$B,$A21,'Current Week'!E:E)</f>
        <v>48</v>
      </c>
      <c r="D21" s="85">
        <f>sumifs('Current Week'!D:D,'Current Week'!$B:$B,$A21,'Current Week'!T:T,"Power 5")</f>
        <v>35</v>
      </c>
      <c r="E21" s="85">
        <f>sumifs('Current Week'!D:D,'Current Week'!$B:$B,$A21,'Current Week'!T:T,"Group of 5")</f>
        <v>37</v>
      </c>
      <c r="F21" s="78">
        <f>10-countifs('Current Week'!B:B,A21,'Current Week'!G:G,"")</f>
        <v>3</v>
      </c>
      <c r="G21" s="79">
        <f>IFERROR(__xludf.DUMMYFUNCTION("COUNTA(iferror(filter('Current Week'!B:B,'Current Week'!B:B=A21,left('Current Week'!G:G,5)=""FINAL"")))"),0.0)</f>
        <v>0</v>
      </c>
      <c r="H21" s="79">
        <f>countifs('Current Week'!B:B,A21,'Current Week'!U:U,"=TRUE")</f>
        <v>0</v>
      </c>
      <c r="I21">
        <f t="shared" si="1"/>
        <v>3</v>
      </c>
      <c r="J21">
        <f>IFERROR(__xludf.DUMMYFUNCTION("countifs('Current Week'!B:B,A21,'Current Week'!K:K,""&lt;0"")+counta(iferror(filter('Current Week'!B:B,'Current Week'!B:B=A21,'Current Week'!F:F&lt;&gt;"""",'Current Week'!K:K="""",'Current Week'!H:H="""")))"),2.0)</f>
        <v>2</v>
      </c>
      <c r="K21">
        <f>IFERROR(__xludf.DUMMYFUNCTION("counta(iferror(filter('Current Week'!B:B,'Current Week'!B:B=A21,'Current Week'!K:K&gt;0,not(iserror(find(""FINAL"",'Current Week'!G:G))),'Current Week'!U:U=TRUE)))+counta(iferror(filter('Current Week'!B:B,'Current Week'!B:B=A21,'Current Week'!K:K="""",not(is"&amp;"error(find(""FINAL"",'Current Week'!G:G))),'Current Week'!U:U=TRUE,'Current Week'!H:H="""")))"),0.0)</f>
        <v>0</v>
      </c>
      <c r="L21">
        <f>IFERROR(__xludf.DUMMYFUNCTION("counta(iferror(filter('Current Week'!B:B,'Current Week'!B:B=A21,'Current Week'!K:K&lt;0,not(iserror(find(""FINAL"",'Current Week'!G:G))),'Current Week'!U:U&lt;&gt;TRUE)))"),0.0)</f>
        <v>0</v>
      </c>
      <c r="M21" s="87">
        <f>IFERROR(__xludf.DUMMYFUNCTION("H21+counta(iferror(filter('Current Week'!B:B,'Current Week'!B:B=A21,'Current Week'!K:K&lt;0,iserror(find(""FINAL"",'Current Week'!G:G)))))+counta(iferror(filter('Current Week'!B:B,'Current Week'!B:B=A21,'Current Week'!F:F&lt;&gt;"""",'Current Week'!J:J="""",'Curre"&amp;"nt Week'!H:H="""",iserror(find(""FINAL"",'Current Week'!G:G)))))"),2.0)</f>
        <v>2</v>
      </c>
    </row>
    <row r="22" hidden="1">
      <c r="A22" s="84" t="s">
        <v>70</v>
      </c>
      <c r="B22" s="85">
        <f>sumif('Current Week'!$B:$B,$A22,'Current Week'!D:D)</f>
        <v>50</v>
      </c>
      <c r="C22" s="85">
        <f>sumif('Current Week'!$B:$B,$A22,'Current Week'!E:E)</f>
        <v>70</v>
      </c>
      <c r="D22" s="85">
        <f>sumifs('Current Week'!D:D,'Current Week'!$B:$B,$A22,'Current Week'!T:T,"Power 5")</f>
        <v>29</v>
      </c>
      <c r="E22" s="85">
        <f>sumifs('Current Week'!D:D,'Current Week'!$B:$B,$A22,'Current Week'!T:T,"Group of 5")</f>
        <v>21</v>
      </c>
      <c r="F22" s="78">
        <f>10-countifs('Current Week'!B:B,A22,'Current Week'!G:G,"")</f>
        <v>0</v>
      </c>
      <c r="G22" s="79">
        <f>IFERROR(__xludf.DUMMYFUNCTION("COUNTA(iferror(filter('Current Week'!B:B,'Current Week'!B:B=A22,left('Current Week'!G:G,5)=""FINAL"")))"),0.0)</f>
        <v>0</v>
      </c>
      <c r="H22" s="79">
        <f>countifs('Current Week'!B:B,A22,'Current Week'!U:U,"=TRUE")</f>
        <v>0</v>
      </c>
      <c r="I22">
        <f t="shared" si="1"/>
        <v>0</v>
      </c>
      <c r="J22">
        <f>IFERROR(__xludf.DUMMYFUNCTION("countifs('Current Week'!B:B,A22,'Current Week'!K:K,""&lt;0"")+counta(iferror(filter('Current Week'!B:B,'Current Week'!B:B=A22,'Current Week'!F:F&lt;&gt;"""",'Current Week'!K:K="""",'Current Week'!H:H="""")))"),0.0)</f>
        <v>0</v>
      </c>
      <c r="K22">
        <f>IFERROR(__xludf.DUMMYFUNCTION("counta(iferror(filter('Current Week'!B:B,'Current Week'!B:B=A22,'Current Week'!K:K&gt;0,not(iserror(find(""FINAL"",'Current Week'!G:G))),'Current Week'!U:U=TRUE)))+counta(iferror(filter('Current Week'!B:B,'Current Week'!B:B=A22,'Current Week'!K:K="""",not(is"&amp;"error(find(""FINAL"",'Current Week'!G:G))),'Current Week'!U:U=TRUE,'Current Week'!H:H="""")))"),0.0)</f>
        <v>0</v>
      </c>
      <c r="L22">
        <f>IFERROR(__xludf.DUMMYFUNCTION("counta(iferror(filter('Current Week'!B:B,'Current Week'!B:B=A22,'Current Week'!K:K&lt;0,not(iserror(find(""FINAL"",'Current Week'!G:G))),'Current Week'!U:U&lt;&gt;TRUE)))"),0.0)</f>
        <v>0</v>
      </c>
      <c r="M22" s="87">
        <f>IFERROR(__xludf.DUMMYFUNCTION("H22+counta(iferror(filter('Current Week'!B:B,'Current Week'!B:B=A22,'Current Week'!K:K&lt;0,iserror(find(""FINAL"",'Current Week'!G:G)))))+counta(iferror(filter('Current Week'!B:B,'Current Week'!B:B=A22,'Current Week'!F:F&lt;&gt;"""",'Current Week'!J:J="""",'Curre"&amp;"nt Week'!H:H="""",iserror(find(""FINAL"",'Current Week'!G:G)))))"),0.0)</f>
        <v>0</v>
      </c>
    </row>
    <row r="23" hidden="1">
      <c r="A23" s="84" t="s">
        <v>57</v>
      </c>
      <c r="B23" s="85">
        <f>sumif('Current Week'!$B:$B,$A23,'Current Week'!D:D)</f>
        <v>69</v>
      </c>
      <c r="C23" s="85">
        <f>sumif('Current Week'!$B:$B,$A23,'Current Week'!E:E)</f>
        <v>52</v>
      </c>
      <c r="D23" s="85">
        <f>sumifs('Current Week'!D:D,'Current Week'!$B:$B,$A23,'Current Week'!T:T,"Power 5")</f>
        <v>30</v>
      </c>
      <c r="E23" s="85">
        <f>sumifs('Current Week'!D:D,'Current Week'!$B:$B,$A23,'Current Week'!T:T,"Group of 5")</f>
        <v>39</v>
      </c>
      <c r="F23" s="78">
        <f>10-countifs('Current Week'!B:B,A23,'Current Week'!G:G,"")</f>
        <v>2</v>
      </c>
      <c r="G23" s="79">
        <f>IFERROR(__xludf.DUMMYFUNCTION("COUNTA(iferror(filter('Current Week'!B:B,'Current Week'!B:B=A23,left('Current Week'!G:G,5)=""FINAL"")))"),0.0)</f>
        <v>0</v>
      </c>
      <c r="H23" s="79">
        <f>countifs('Current Week'!B:B,A23,'Current Week'!U:U,"=TRUE")</f>
        <v>0</v>
      </c>
      <c r="I23">
        <f t="shared" si="1"/>
        <v>2</v>
      </c>
      <c r="J23">
        <f>IFERROR(__xludf.DUMMYFUNCTION("countifs('Current Week'!B:B,A23,'Current Week'!K:K,""&lt;0"")+counta(iferror(filter('Current Week'!B:B,'Current Week'!B:B=A23,'Current Week'!F:F&lt;&gt;"""",'Current Week'!K:K="""",'Current Week'!H:H="""")))"),0.0)</f>
        <v>0</v>
      </c>
      <c r="K23">
        <f>IFERROR(__xludf.DUMMYFUNCTION("counta(iferror(filter('Current Week'!B:B,'Current Week'!B:B=A23,'Current Week'!K:K&gt;0,not(iserror(find(""FINAL"",'Current Week'!G:G))),'Current Week'!U:U=TRUE)))+counta(iferror(filter('Current Week'!B:B,'Current Week'!B:B=A23,'Current Week'!K:K="""",not(is"&amp;"error(find(""FINAL"",'Current Week'!G:G))),'Current Week'!U:U=TRUE,'Current Week'!H:H="""")))"),0.0)</f>
        <v>0</v>
      </c>
      <c r="L23">
        <f>IFERROR(__xludf.DUMMYFUNCTION("counta(iferror(filter('Current Week'!B:B,'Current Week'!B:B=A23,'Current Week'!K:K&lt;0,not(iserror(find(""FINAL"",'Current Week'!G:G))),'Current Week'!U:U&lt;&gt;TRUE)))"),0.0)</f>
        <v>0</v>
      </c>
      <c r="M23" s="87">
        <f>IFERROR(__xludf.DUMMYFUNCTION("H23+counta(iferror(filter('Current Week'!B:B,'Current Week'!B:B=A23,'Current Week'!K:K&lt;0,iserror(find(""FINAL"",'Current Week'!G:G)))))+counta(iferror(filter('Current Week'!B:B,'Current Week'!B:B=A23,'Current Week'!F:F&lt;&gt;"""",'Current Week'!J:J="""",'Curre"&amp;"nt Week'!H:H="""",iserror(find(""FINAL"",'Current Week'!G:G)))))"),0.0)</f>
        <v>0</v>
      </c>
    </row>
    <row r="24" hidden="1">
      <c r="A24" s="84" t="s">
        <v>67</v>
      </c>
      <c r="B24" s="85">
        <f>sumif('Current Week'!$B:$B,$A24,'Current Week'!D:D)</f>
        <v>60</v>
      </c>
      <c r="C24" s="85">
        <f>sumif('Current Week'!$B:$B,$A24,'Current Week'!E:E)</f>
        <v>60</v>
      </c>
      <c r="D24" s="85">
        <f>sumifs('Current Week'!D:D,'Current Week'!$B:$B,$A24,'Current Week'!T:T,"Power 5")</f>
        <v>36</v>
      </c>
      <c r="E24" s="85">
        <f>sumifs('Current Week'!D:D,'Current Week'!$B:$B,$A24,'Current Week'!T:T,"Group of 5")</f>
        <v>24</v>
      </c>
      <c r="F24" s="78">
        <f>10-countifs('Current Week'!B:B,A24,'Current Week'!G:G,"")</f>
        <v>0</v>
      </c>
      <c r="G24" s="79">
        <f>IFERROR(__xludf.DUMMYFUNCTION("COUNTA(iferror(filter('Current Week'!B:B,'Current Week'!B:B=A24,left('Current Week'!G:G,5)=""FINAL"")))"),0.0)</f>
        <v>0</v>
      </c>
      <c r="H24" s="79">
        <f>countifs('Current Week'!B:B,A24,'Current Week'!U:U,"=TRUE")</f>
        <v>0</v>
      </c>
      <c r="I24">
        <f t="shared" si="1"/>
        <v>0</v>
      </c>
      <c r="J24">
        <f>IFERROR(__xludf.DUMMYFUNCTION("countifs('Current Week'!B:B,A24,'Current Week'!K:K,""&lt;0"")+counta(iferror(filter('Current Week'!B:B,'Current Week'!B:B=A24,'Current Week'!F:F&lt;&gt;"""",'Current Week'!K:K="""",'Current Week'!H:H="""")))"),0.0)</f>
        <v>0</v>
      </c>
      <c r="K24">
        <f>IFERROR(__xludf.DUMMYFUNCTION("counta(iferror(filter('Current Week'!B:B,'Current Week'!B:B=A24,'Current Week'!K:K&gt;0,not(iserror(find(""FINAL"",'Current Week'!G:G))),'Current Week'!U:U=TRUE)))+counta(iferror(filter('Current Week'!B:B,'Current Week'!B:B=A24,'Current Week'!K:K="""",not(is"&amp;"error(find(""FINAL"",'Current Week'!G:G))),'Current Week'!U:U=TRUE,'Current Week'!H:H="""")))"),0.0)</f>
        <v>0</v>
      </c>
      <c r="L24">
        <f>IFERROR(__xludf.DUMMYFUNCTION("counta(iferror(filter('Current Week'!B:B,'Current Week'!B:B=A24,'Current Week'!K:K&lt;0,not(iserror(find(""FINAL"",'Current Week'!G:G))),'Current Week'!U:U&lt;&gt;TRUE)))"),0.0)</f>
        <v>0</v>
      </c>
      <c r="M24" s="87">
        <f>IFERROR(__xludf.DUMMYFUNCTION("H24+counta(iferror(filter('Current Week'!B:B,'Current Week'!B:B=A24,'Current Week'!K:K&lt;0,iserror(find(""FINAL"",'Current Week'!G:G)))))+counta(iferror(filter('Current Week'!B:B,'Current Week'!B:B=A24,'Current Week'!F:F&lt;&gt;"""",'Current Week'!J:J="""",'Curre"&amp;"nt Week'!H:H="""",iserror(find(""FINAL"",'Current Week'!G:G)))))"),0.0)</f>
        <v>0</v>
      </c>
    </row>
    <row r="25" hidden="1">
      <c r="A25" s="84" t="s">
        <v>59</v>
      </c>
      <c r="B25" s="85">
        <f>sumif('Current Week'!$B:$B,$A25,'Current Week'!D:D)</f>
        <v>66</v>
      </c>
      <c r="C25" s="85">
        <f>sumif('Current Week'!$B:$B,$A25,'Current Week'!E:E)</f>
        <v>54</v>
      </c>
      <c r="D25" s="85">
        <f>sumifs('Current Week'!D:D,'Current Week'!$B:$B,$A25,'Current Week'!T:T,"Power 5")</f>
        <v>39</v>
      </c>
      <c r="E25" s="85">
        <f>sumifs('Current Week'!D:D,'Current Week'!$B:$B,$A25,'Current Week'!T:T,"Group of 5")</f>
        <v>27</v>
      </c>
      <c r="F25" s="78">
        <f>10-countifs('Current Week'!B:B,A25,'Current Week'!G:G,"")</f>
        <v>2</v>
      </c>
      <c r="G25" s="79">
        <f>IFERROR(__xludf.DUMMYFUNCTION("COUNTA(iferror(filter('Current Week'!B:B,'Current Week'!B:B=A25,left('Current Week'!G:G,5)=""FINAL"")))"),0.0)</f>
        <v>0</v>
      </c>
      <c r="H25" s="79">
        <f>countifs('Current Week'!B:B,A25,'Current Week'!U:U,"=TRUE")</f>
        <v>0</v>
      </c>
      <c r="I25">
        <f t="shared" si="1"/>
        <v>2</v>
      </c>
      <c r="J25">
        <f>IFERROR(__xludf.DUMMYFUNCTION("countifs('Current Week'!B:B,A25,'Current Week'!K:K,""&lt;0"")+counta(iferror(filter('Current Week'!B:B,'Current Week'!B:B=A25,'Current Week'!F:F&lt;&gt;"""",'Current Week'!K:K="""",'Current Week'!H:H="""")))"),2.0)</f>
        <v>2</v>
      </c>
      <c r="K25">
        <f>IFERROR(__xludf.DUMMYFUNCTION("counta(iferror(filter('Current Week'!B:B,'Current Week'!B:B=A25,'Current Week'!K:K&gt;0,not(iserror(find(""FINAL"",'Current Week'!G:G))),'Current Week'!U:U=TRUE)))+counta(iferror(filter('Current Week'!B:B,'Current Week'!B:B=A25,'Current Week'!K:K="""",not(is"&amp;"error(find(""FINAL"",'Current Week'!G:G))),'Current Week'!U:U=TRUE,'Current Week'!H:H="""")))"),0.0)</f>
        <v>0</v>
      </c>
      <c r="L25">
        <f>IFERROR(__xludf.DUMMYFUNCTION("counta(iferror(filter('Current Week'!B:B,'Current Week'!B:B=A25,'Current Week'!K:K&lt;0,not(iserror(find(""FINAL"",'Current Week'!G:G))),'Current Week'!U:U&lt;&gt;TRUE)))"),0.0)</f>
        <v>0</v>
      </c>
      <c r="M25" s="87">
        <f>IFERROR(__xludf.DUMMYFUNCTION("H25+counta(iferror(filter('Current Week'!B:B,'Current Week'!B:B=A25,'Current Week'!K:K&lt;0,iserror(find(""FINAL"",'Current Week'!G:G)))))+counta(iferror(filter('Current Week'!B:B,'Current Week'!B:B=A25,'Current Week'!F:F&lt;&gt;"""",'Current Week'!J:J="""",'Curre"&amp;"nt Week'!H:H="""",iserror(find(""FINAL"",'Current Week'!G:G)))))"),2.0)</f>
        <v>2</v>
      </c>
    </row>
    <row r="26" hidden="1">
      <c r="A26" s="84" t="s">
        <v>62</v>
      </c>
      <c r="B26" s="85">
        <f>sumif('Current Week'!$B:$B,$A26,'Current Week'!D:D)</f>
        <v>62</v>
      </c>
      <c r="C26" s="85">
        <f>sumif('Current Week'!$B:$B,$A26,'Current Week'!E:E)</f>
        <v>58</v>
      </c>
      <c r="D26" s="85">
        <f>sumifs('Current Week'!D:D,'Current Week'!$B:$B,$A26,'Current Week'!T:T,"Power 5")</f>
        <v>29</v>
      </c>
      <c r="E26" s="85">
        <f>sumifs('Current Week'!D:D,'Current Week'!$B:$B,$A26,'Current Week'!T:T,"Group of 5")</f>
        <v>33</v>
      </c>
      <c r="F26" s="78">
        <f>10-countifs('Current Week'!B:B,A26,'Current Week'!G:G,"")</f>
        <v>1</v>
      </c>
      <c r="G26" s="79">
        <f>IFERROR(__xludf.DUMMYFUNCTION("COUNTA(iferror(filter('Current Week'!B:B,'Current Week'!B:B=A26,left('Current Week'!G:G,5)=""FINAL"")))"),0.0)</f>
        <v>0</v>
      </c>
      <c r="H26" s="79">
        <f>countifs('Current Week'!B:B,A26,'Current Week'!U:U,"=TRUE")</f>
        <v>0</v>
      </c>
      <c r="I26">
        <f t="shared" si="1"/>
        <v>1</v>
      </c>
      <c r="J26">
        <f>IFERROR(__xludf.DUMMYFUNCTION("countifs('Current Week'!B:B,A26,'Current Week'!K:K,""&lt;0"")+counta(iferror(filter('Current Week'!B:B,'Current Week'!B:B=A26,'Current Week'!F:F&lt;&gt;"""",'Current Week'!K:K="""",'Current Week'!H:H="""")))"),0.0)</f>
        <v>0</v>
      </c>
      <c r="K26">
        <f>IFERROR(__xludf.DUMMYFUNCTION("counta(iferror(filter('Current Week'!B:B,'Current Week'!B:B=A26,'Current Week'!K:K&gt;0,not(iserror(find(""FINAL"",'Current Week'!G:G))),'Current Week'!U:U=TRUE)))+counta(iferror(filter('Current Week'!B:B,'Current Week'!B:B=A26,'Current Week'!K:K="""",not(is"&amp;"error(find(""FINAL"",'Current Week'!G:G))),'Current Week'!U:U=TRUE,'Current Week'!H:H="""")))"),0.0)</f>
        <v>0</v>
      </c>
      <c r="L26">
        <f>IFERROR(__xludf.DUMMYFUNCTION("counta(iferror(filter('Current Week'!B:B,'Current Week'!B:B=A26,'Current Week'!K:K&lt;0,not(iserror(find(""FINAL"",'Current Week'!G:G))),'Current Week'!U:U&lt;&gt;TRUE)))"),0.0)</f>
        <v>0</v>
      </c>
      <c r="M26" s="87">
        <f>IFERROR(__xludf.DUMMYFUNCTION("H26+counta(iferror(filter('Current Week'!B:B,'Current Week'!B:B=A26,'Current Week'!K:K&lt;0,iserror(find(""FINAL"",'Current Week'!G:G)))))+counta(iferror(filter('Current Week'!B:B,'Current Week'!B:B=A26,'Current Week'!F:F&lt;&gt;"""",'Current Week'!J:J="""",'Curre"&amp;"nt Week'!H:H="""",iserror(find(""FINAL"",'Current Week'!G:G)))))"),0.0)</f>
        <v>0</v>
      </c>
    </row>
    <row r="27" hidden="1">
      <c r="A27" s="84" t="s">
        <v>69</v>
      </c>
      <c r="B27" s="85">
        <f>sumif('Current Week'!$B:$B,$A27,'Current Week'!D:D)</f>
        <v>57</v>
      </c>
      <c r="C27" s="85">
        <f>sumif('Current Week'!$B:$B,$A27,'Current Week'!E:E)</f>
        <v>63</v>
      </c>
      <c r="D27" s="85">
        <f>sumifs('Current Week'!D:D,'Current Week'!$B:$B,$A27,'Current Week'!T:T,"Power 5")</f>
        <v>31</v>
      </c>
      <c r="E27" s="85">
        <f>sumifs('Current Week'!D:D,'Current Week'!$B:$B,$A27,'Current Week'!T:T,"Group of 5")</f>
        <v>26</v>
      </c>
      <c r="F27" s="78">
        <f>10-countifs('Current Week'!B:B,A27,'Current Week'!G:G,"")</f>
        <v>0</v>
      </c>
      <c r="G27" s="79">
        <f>IFERROR(__xludf.DUMMYFUNCTION("COUNTA(iferror(filter('Current Week'!B:B,'Current Week'!B:B=A27,left('Current Week'!G:G,5)=""FINAL"")))"),0.0)</f>
        <v>0</v>
      </c>
      <c r="H27" s="79">
        <f>countifs('Current Week'!B:B,A27,'Current Week'!U:U,"=TRUE")</f>
        <v>0</v>
      </c>
      <c r="I27">
        <f t="shared" si="1"/>
        <v>0</v>
      </c>
      <c r="J27">
        <f>IFERROR(__xludf.DUMMYFUNCTION("countifs('Current Week'!B:B,A27,'Current Week'!K:K,""&lt;0"")+counta(iferror(filter('Current Week'!B:B,'Current Week'!B:B=A27,'Current Week'!F:F&lt;&gt;"""",'Current Week'!K:K="""",'Current Week'!H:H="""")))"),0.0)</f>
        <v>0</v>
      </c>
      <c r="K27">
        <f>IFERROR(__xludf.DUMMYFUNCTION("counta(iferror(filter('Current Week'!B:B,'Current Week'!B:B=A27,'Current Week'!K:K&gt;0,not(iserror(find(""FINAL"",'Current Week'!G:G))),'Current Week'!U:U=TRUE)))+counta(iferror(filter('Current Week'!B:B,'Current Week'!B:B=A27,'Current Week'!K:K="""",not(is"&amp;"error(find(""FINAL"",'Current Week'!G:G))),'Current Week'!U:U=TRUE,'Current Week'!H:H="""")))"),0.0)</f>
        <v>0</v>
      </c>
      <c r="L27">
        <f>IFERROR(__xludf.DUMMYFUNCTION("counta(iferror(filter('Current Week'!B:B,'Current Week'!B:B=A27,'Current Week'!K:K&lt;0,not(iserror(find(""FINAL"",'Current Week'!G:G))),'Current Week'!U:U&lt;&gt;TRUE)))"),0.0)</f>
        <v>0</v>
      </c>
      <c r="M27" s="87">
        <f>IFERROR(__xludf.DUMMYFUNCTION("H27+counta(iferror(filter('Current Week'!B:B,'Current Week'!B:B=A27,'Current Week'!K:K&lt;0,iserror(find(""FINAL"",'Current Week'!G:G)))))+counta(iferror(filter('Current Week'!B:B,'Current Week'!B:B=A27,'Current Week'!F:F&lt;&gt;"""",'Current Week'!J:J="""",'Curre"&amp;"nt Week'!H:H="""",iserror(find(""FINAL"",'Current Week'!G:G)))))"),0.0)</f>
        <v>0</v>
      </c>
    </row>
    <row r="28" hidden="1">
      <c r="A28" s="84" t="s">
        <v>125</v>
      </c>
      <c r="B28" s="85">
        <f>sumif('Current Week'!$B:$B,$A28,'Current Week'!D:D)</f>
        <v>74</v>
      </c>
      <c r="C28" s="85">
        <f>sumif('Current Week'!$B:$B,$A28,'Current Week'!E:E)</f>
        <v>46</v>
      </c>
      <c r="D28" s="85">
        <f>sumifs('Current Week'!D:D,'Current Week'!$B:$B,$A28,'Current Week'!T:T,"Power 5")</f>
        <v>42</v>
      </c>
      <c r="E28" s="85">
        <f>sumifs('Current Week'!D:D,'Current Week'!$B:$B,$A28,'Current Week'!T:T,"Group of 5")</f>
        <v>32</v>
      </c>
      <c r="F28" s="78">
        <f>10-countifs('Current Week'!B:B,A28,'Current Week'!G:G,"")</f>
        <v>2</v>
      </c>
      <c r="G28" s="79">
        <f>IFERROR(__xludf.DUMMYFUNCTION("COUNTA(iferror(filter('Current Week'!B:B,'Current Week'!B:B=A28,left('Current Week'!G:G,5)=""FINAL"")))"),0.0)</f>
        <v>0</v>
      </c>
      <c r="H28" s="79">
        <f>countifs('Current Week'!B:B,A28,'Current Week'!U:U,"=TRUE")</f>
        <v>0</v>
      </c>
      <c r="I28">
        <f t="shared" si="1"/>
        <v>2</v>
      </c>
      <c r="J28">
        <f>IFERROR(__xludf.DUMMYFUNCTION("countifs('Current Week'!B:B,A28,'Current Week'!K:K,""&lt;0"")+counta(iferror(filter('Current Week'!B:B,'Current Week'!B:B=A28,'Current Week'!F:F&lt;&gt;"""",'Current Week'!K:K="""",'Current Week'!H:H="""")))"),2.0)</f>
        <v>2</v>
      </c>
      <c r="K28">
        <f>IFERROR(__xludf.DUMMYFUNCTION("counta(iferror(filter('Current Week'!B:B,'Current Week'!B:B=A28,'Current Week'!K:K&gt;0,not(iserror(find(""FINAL"",'Current Week'!G:G))),'Current Week'!U:U=TRUE)))+counta(iferror(filter('Current Week'!B:B,'Current Week'!B:B=A28,'Current Week'!K:K="""",not(is"&amp;"error(find(""FINAL"",'Current Week'!G:G))),'Current Week'!U:U=TRUE,'Current Week'!H:H="""")))"),0.0)</f>
        <v>0</v>
      </c>
      <c r="L28">
        <f>IFERROR(__xludf.DUMMYFUNCTION("counta(iferror(filter('Current Week'!B:B,'Current Week'!B:B=A28,'Current Week'!K:K&lt;0,not(iserror(find(""FINAL"",'Current Week'!G:G))),'Current Week'!U:U&lt;&gt;TRUE)))"),0.0)</f>
        <v>0</v>
      </c>
      <c r="M28" s="87">
        <f>IFERROR(__xludf.DUMMYFUNCTION("H28+counta(iferror(filter('Current Week'!B:B,'Current Week'!B:B=A28,'Current Week'!K:K&lt;0,iserror(find(""FINAL"",'Current Week'!G:G)))))+counta(iferror(filter('Current Week'!B:B,'Current Week'!B:B=A28,'Current Week'!F:F&lt;&gt;"""",'Current Week'!J:J="""",'Curre"&amp;"nt Week'!H:H="""",iserror(find(""FINAL"",'Current Week'!G:G)))))"),2.0)</f>
        <v>2</v>
      </c>
    </row>
    <row r="29" hidden="1">
      <c r="A29" s="84" t="s">
        <v>61</v>
      </c>
      <c r="B29" s="85">
        <f>sumif('Current Week'!$B:$B,$A29,'Current Week'!D:D)</f>
        <v>64</v>
      </c>
      <c r="C29" s="85">
        <f>sumif('Current Week'!$B:$B,$A29,'Current Week'!E:E)</f>
        <v>56</v>
      </c>
      <c r="D29" s="85">
        <f>sumifs('Current Week'!D:D,'Current Week'!$B:$B,$A29,'Current Week'!T:T,"Power 5")</f>
        <v>40</v>
      </c>
      <c r="E29" s="85">
        <f>sumifs('Current Week'!D:D,'Current Week'!$B:$B,$A29,'Current Week'!T:T,"Group of 5")</f>
        <v>24</v>
      </c>
      <c r="F29" s="78">
        <f>10-countifs('Current Week'!B:B,A29,'Current Week'!G:G,"")</f>
        <v>2</v>
      </c>
      <c r="G29" s="79">
        <f>IFERROR(__xludf.DUMMYFUNCTION("COUNTA(iferror(filter('Current Week'!B:B,'Current Week'!B:B=A29,left('Current Week'!G:G,5)=""FINAL"")))"),0.0)</f>
        <v>0</v>
      </c>
      <c r="H29" s="79">
        <f>countifs('Current Week'!B:B,A29,'Current Week'!U:U,"=TRUE")</f>
        <v>0</v>
      </c>
      <c r="I29">
        <f t="shared" si="1"/>
        <v>2</v>
      </c>
      <c r="J29">
        <f>IFERROR(__xludf.DUMMYFUNCTION("countifs('Current Week'!B:B,A29,'Current Week'!K:K,""&lt;0"")+counta(iferror(filter('Current Week'!B:B,'Current Week'!B:B=A29,'Current Week'!F:F&lt;&gt;"""",'Current Week'!K:K="""",'Current Week'!H:H="""")))"),1.0)</f>
        <v>1</v>
      </c>
      <c r="K29">
        <f>IFERROR(__xludf.DUMMYFUNCTION("counta(iferror(filter('Current Week'!B:B,'Current Week'!B:B=A29,'Current Week'!K:K&gt;0,not(iserror(find(""FINAL"",'Current Week'!G:G))),'Current Week'!U:U=TRUE)))+counta(iferror(filter('Current Week'!B:B,'Current Week'!B:B=A29,'Current Week'!K:K="""",not(is"&amp;"error(find(""FINAL"",'Current Week'!G:G))),'Current Week'!U:U=TRUE,'Current Week'!H:H="""")))"),0.0)</f>
        <v>0</v>
      </c>
      <c r="L29">
        <f>IFERROR(__xludf.DUMMYFUNCTION("counta(iferror(filter('Current Week'!B:B,'Current Week'!B:B=A29,'Current Week'!K:K&lt;0,not(iserror(find(""FINAL"",'Current Week'!G:G))),'Current Week'!U:U&lt;&gt;TRUE)))"),0.0)</f>
        <v>0</v>
      </c>
      <c r="M29" s="87">
        <f>IFERROR(__xludf.DUMMYFUNCTION("H29+counta(iferror(filter('Current Week'!B:B,'Current Week'!B:B=A29,'Current Week'!K:K&lt;0,iserror(find(""FINAL"",'Current Week'!G:G)))))+counta(iferror(filter('Current Week'!B:B,'Current Week'!B:B=A29,'Current Week'!F:F&lt;&gt;"""",'Current Week'!J:J="""",'Curre"&amp;"nt Week'!H:H="""",iserror(find(""FINAL"",'Current Week'!G:G)))))"),1.0)</f>
        <v>1</v>
      </c>
    </row>
  </sheetData>
  <mergeCells count="3">
    <mergeCell ref="B1:E1"/>
    <mergeCell ref="F1:L1"/>
    <mergeCell ref="M1:M2"/>
  </mergeCell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1.38"/>
    <col customWidth="1" min="2" max="2" width="10.63"/>
    <col customWidth="1" min="3" max="3" width="17.75"/>
    <col customWidth="1" min="4" max="4" width="3.88"/>
    <col customWidth="1" min="5" max="5" width="4.5"/>
    <col customWidth="1" min="6" max="6" width="35.38"/>
    <col customWidth="1" min="7" max="7" width="17.38"/>
    <col customWidth="1" min="8" max="8" width="11.13"/>
    <col customWidth="1" min="9" max="9" width="9.63"/>
    <col customWidth="1" min="10" max="10" width="8.0"/>
    <col customWidth="1" min="11" max="11" width="8.75"/>
    <col customWidth="1" min="12" max="12" width="10.38"/>
    <col customWidth="1" min="13" max="13" width="9.38"/>
    <col customWidth="1" min="14" max="14" width="5.63"/>
    <col customWidth="1" min="15" max="15" width="5.75"/>
    <col customWidth="1" min="16" max="21" width="9.63"/>
  </cols>
  <sheetData>
    <row r="1" ht="32.25" customHeight="1">
      <c r="A1" s="1">
        <v>100.0</v>
      </c>
      <c r="B1" s="1" t="s">
        <v>2</v>
      </c>
      <c r="C1" s="4" t="s">
        <v>3</v>
      </c>
      <c r="D1" s="4" t="s">
        <v>7</v>
      </c>
      <c r="E1" s="7" t="s">
        <v>8</v>
      </c>
      <c r="F1" s="9" t="s">
        <v>10</v>
      </c>
      <c r="G1" s="4" t="s">
        <v>12</v>
      </c>
      <c r="H1" s="4" t="s">
        <v>13</v>
      </c>
      <c r="I1" s="7" t="s">
        <v>14</v>
      </c>
      <c r="J1" s="12" t="s">
        <v>15</v>
      </c>
      <c r="K1" s="13" t="s">
        <v>20</v>
      </c>
      <c r="L1" s="15" t="s">
        <v>23</v>
      </c>
      <c r="M1" s="17" t="s">
        <v>26</v>
      </c>
      <c r="N1" s="4" t="s">
        <v>27</v>
      </c>
      <c r="O1" s="4" t="s">
        <v>28</v>
      </c>
      <c r="P1" s="4" t="s">
        <v>18</v>
      </c>
      <c r="Q1" s="4" t="s">
        <v>29</v>
      </c>
      <c r="R1" s="4" t="s">
        <v>30</v>
      </c>
      <c r="S1" s="19" t="s">
        <v>31</v>
      </c>
      <c r="T1" s="19" t="s">
        <v>33</v>
      </c>
      <c r="U1" s="19" t="s">
        <v>34</v>
      </c>
    </row>
    <row r="2">
      <c r="A2" s="21">
        <v>101.0</v>
      </c>
      <c r="B2" s="24" t="s">
        <v>35</v>
      </c>
      <c r="C2" s="25" t="s">
        <v>38</v>
      </c>
      <c r="D2" s="27">
        <v>11.0</v>
      </c>
      <c r="E2" s="29">
        <v>1.0</v>
      </c>
      <c r="F2" s="31" t="s">
        <v>43</v>
      </c>
      <c r="G2" s="33">
        <v>45261.833333333336</v>
      </c>
      <c r="H2" s="31" t="s">
        <v>46</v>
      </c>
      <c r="I2" s="29"/>
      <c r="J2" s="31">
        <v>-7.5</v>
      </c>
      <c r="K2" s="31">
        <v>-9.5</v>
      </c>
      <c r="L2" s="31">
        <v>-345.0</v>
      </c>
      <c r="M2" s="31" t="s">
        <v>47</v>
      </c>
      <c r="N2" s="31">
        <v>543.0</v>
      </c>
      <c r="O2" s="31">
        <v>191.0</v>
      </c>
      <c r="P2" s="35">
        <v>1.0</v>
      </c>
      <c r="Q2" s="35" t="b">
        <v>0</v>
      </c>
      <c r="R2" s="35">
        <v>100.0</v>
      </c>
      <c r="S2" s="54" t="str">
        <f t="array" ref="S2">vlookup(C2,{DraftTracker!F:F,DraftTracker!E:E},2,0)</f>
        <v>Pac12</v>
      </c>
      <c r="T2" s="54" t="str">
        <f>VLOOKUP(S2,P5G5!A:B,2,0)</f>
        <v>Power 5</v>
      </c>
      <c r="U2" s="56" t="str">
        <f>IFERROR(__xludf.DUMMYFUNCTION("iferror(if(not(iserror(find(""FINAL"",G2))),max(arrayformula(value(REGEXEXTRACT(F2,""^""&amp;C2&amp;"" ([\d]+)|[^a-zA-Z] ""&amp;C2&amp;"" ([\d]+)""))))=max(value(REGEXEXTRACT(F2,"" ([\d]+)"")),value(REGEXEXTRACT(F2,""([\d]+)$""))),""""))"),"")</f>
        <v/>
      </c>
    </row>
    <row r="3">
      <c r="A3" s="21">
        <v>101.0</v>
      </c>
      <c r="B3" s="21" t="s">
        <v>35</v>
      </c>
      <c r="C3" s="57" t="s">
        <v>63</v>
      </c>
      <c r="D3" s="58">
        <v>12.0</v>
      </c>
      <c r="E3" s="59">
        <v>0.0</v>
      </c>
      <c r="F3" s="60" t="s">
        <v>65</v>
      </c>
      <c r="G3" s="61">
        <v>45262.666666666664</v>
      </c>
      <c r="H3" s="62" t="s">
        <v>60</v>
      </c>
      <c r="I3" s="63"/>
      <c r="J3" s="64">
        <v>-4.5</v>
      </c>
      <c r="K3" s="65">
        <v>-6.5</v>
      </c>
      <c r="L3" s="65">
        <v>-220.0</v>
      </c>
      <c r="M3" s="63" t="s">
        <v>68</v>
      </c>
      <c r="N3" s="65">
        <v>475.0</v>
      </c>
      <c r="O3" s="35">
        <v>189.0</v>
      </c>
      <c r="P3" s="35">
        <v>1.0</v>
      </c>
      <c r="Q3" s="35" t="b">
        <v>1</v>
      </c>
      <c r="R3" s="35">
        <v>100.0</v>
      </c>
      <c r="S3" s="54" t="str">
        <f t="array" ref="S3">vlookup(C3,{DraftTracker!F:F,DraftTracker!E:E},2,0)</f>
        <v>SEC</v>
      </c>
      <c r="T3" s="54" t="str">
        <f>VLOOKUP(S3,P5G5!A:B,2,0)</f>
        <v>Power 5</v>
      </c>
      <c r="U3" s="56" t="str">
        <f>IFERROR(__xludf.DUMMYFUNCTION("iferror(if(not(iserror(find(""FINAL"",G3))),max(arrayformula(value(REGEXEXTRACT(F3,""^""&amp;C3&amp;"" ([\d]+)|[^a-zA-Z] ""&amp;C3&amp;"" ([\d]+)""))))=max(value(REGEXEXTRACT(F3,"" ([\d]+)"")),value(REGEXEXTRACT(F3,""([\d]+)$""))),""""))"),"")</f>
        <v/>
      </c>
    </row>
    <row r="4">
      <c r="A4" s="21">
        <v>101.0</v>
      </c>
      <c r="B4" s="81" t="s">
        <v>35</v>
      </c>
      <c r="C4" s="25" t="s">
        <v>71</v>
      </c>
      <c r="D4" s="58">
        <v>8.0</v>
      </c>
      <c r="E4" s="59">
        <v>4.0</v>
      </c>
      <c r="F4" s="82" t="s">
        <v>72</v>
      </c>
      <c r="G4" s="83">
        <v>45262.666666666664</v>
      </c>
      <c r="H4" s="62" t="s">
        <v>46</v>
      </c>
      <c r="I4" s="63"/>
      <c r="J4" s="64">
        <v>6</v>
      </c>
      <c r="K4" s="65">
        <v>5.5</v>
      </c>
      <c r="L4" s="65">
        <v>198</v>
      </c>
      <c r="M4" s="63" t="s">
        <v>73</v>
      </c>
      <c r="N4" s="65">
        <v>429.0</v>
      </c>
      <c r="O4" s="35">
        <v>320.0</v>
      </c>
      <c r="P4" s="35">
        <v>1.0</v>
      </c>
      <c r="Q4" s="35" t="b">
        <v>0</v>
      </c>
      <c r="R4" s="35">
        <v>100.0</v>
      </c>
      <c r="S4" s="54" t="str">
        <f t="array" ref="S4">vlookup(C4,{DraftTracker!F:F,DraftTracker!E:E},2,0)</f>
        <v>Sun Belt</v>
      </c>
      <c r="T4" s="54" t="str">
        <f>VLOOKUP(S4,P5G5!A:B,2,0)</f>
        <v>Group of 5</v>
      </c>
      <c r="U4" s="56" t="str">
        <f>IFERROR(__xludf.DUMMYFUNCTION("iferror(if(not(iserror(find(""FINAL"",G4))),max(arrayformula(value(REGEXEXTRACT(F4,""^""&amp;C4&amp;"" ([\d]+)|[^a-zA-Z] ""&amp;C4&amp;"" ([\d]+)""))))=max(value(REGEXEXTRACT(F4,"" ([\d]+)"")),value(REGEXEXTRACT(F4,""([\d]+)$""))),""""))"),"")</f>
        <v/>
      </c>
    </row>
    <row r="5">
      <c r="A5" s="21">
        <v>101.0</v>
      </c>
      <c r="B5" s="21" t="s">
        <v>35</v>
      </c>
      <c r="C5" s="25" t="s">
        <v>74</v>
      </c>
      <c r="D5" s="58">
        <v>8.0</v>
      </c>
      <c r="E5" s="59">
        <v>4.0</v>
      </c>
      <c r="F5" s="82"/>
      <c r="G5" s="35"/>
      <c r="H5" s="35"/>
      <c r="I5" s="63"/>
      <c r="J5" s="64"/>
      <c r="K5" s="65"/>
      <c r="L5" s="65"/>
      <c r="M5" s="63"/>
      <c r="N5" s="65">
        <v>454.0</v>
      </c>
      <c r="O5" s="35">
        <v>254.0</v>
      </c>
      <c r="P5" s="35">
        <v>3.0</v>
      </c>
      <c r="Q5" s="35" t="b">
        <v>1</v>
      </c>
      <c r="R5" s="35">
        <v>100.0</v>
      </c>
      <c r="S5" s="54" t="str">
        <f t="array" ref="S5">vlookup(C5,{DraftTracker!F:F,DraftTracker!E:E},2,0)</f>
        <v>Big 12</v>
      </c>
      <c r="T5" s="54" t="str">
        <f>VLOOKUP(S5,P5G5!A:B,2,0)</f>
        <v>Power 5</v>
      </c>
      <c r="U5" s="56" t="str">
        <f>IFERROR(__xludf.DUMMYFUNCTION("iferror(if(not(iserror(find(""FINAL"",G5))),max(arrayformula(value(REGEXEXTRACT(F5,""^""&amp;C5&amp;"" ([\d]+)|[^a-zA-Z] ""&amp;C5&amp;"" ([\d]+)""))))=max(value(REGEXEXTRACT(F5,"" ([\d]+)"")),value(REGEXEXTRACT(F5,""([\d]+)$""))),""""))"),"")</f>
        <v/>
      </c>
    </row>
    <row r="6">
      <c r="A6" s="21">
        <v>101.0</v>
      </c>
      <c r="B6" s="81" t="s">
        <v>35</v>
      </c>
      <c r="C6" s="25" t="s">
        <v>75</v>
      </c>
      <c r="D6" s="58">
        <v>1.0</v>
      </c>
      <c r="E6" s="59">
        <v>11.0</v>
      </c>
      <c r="F6" s="82"/>
      <c r="G6" s="35"/>
      <c r="H6" s="35"/>
      <c r="I6" s="63"/>
      <c r="J6" s="64"/>
      <c r="K6" s="65"/>
      <c r="L6" s="65"/>
      <c r="M6" s="63"/>
      <c r="N6" s="65">
        <v>176.0</v>
      </c>
      <c r="O6" s="35">
        <v>415.0</v>
      </c>
      <c r="P6" s="35">
        <v>3.0</v>
      </c>
      <c r="Q6" s="35" t="b">
        <v>1</v>
      </c>
      <c r="R6" s="35">
        <v>100.0</v>
      </c>
      <c r="S6" s="54" t="str">
        <f t="array" ref="S6">vlookup(C6,{DraftTracker!F:F,DraftTracker!E:E},2,0)</f>
        <v>MAC</v>
      </c>
      <c r="T6" s="54" t="str">
        <f>VLOOKUP(S6,P5G5!A:B,2,0)</f>
        <v>Group of 5</v>
      </c>
      <c r="U6" s="56" t="str">
        <f>IFERROR(__xludf.DUMMYFUNCTION("iferror(if(not(iserror(find(""FINAL"",G6))),max(arrayformula(value(REGEXEXTRACT(F6,""^""&amp;C6&amp;"" ([\d]+)|[^a-zA-Z] ""&amp;C6&amp;"" ([\d]+)""))))=max(value(REGEXEXTRACT(F6,"" ([\d]+)"")),value(REGEXEXTRACT(F6,""([\d]+)$""))),""""))"),"")</f>
        <v/>
      </c>
    </row>
    <row r="7">
      <c r="A7" s="21">
        <v>101.0</v>
      </c>
      <c r="B7" s="21" t="s">
        <v>35</v>
      </c>
      <c r="C7" s="25" t="s">
        <v>78</v>
      </c>
      <c r="D7" s="58">
        <v>3.0</v>
      </c>
      <c r="E7" s="59">
        <v>9.0</v>
      </c>
      <c r="F7" s="82"/>
      <c r="G7" s="35"/>
      <c r="H7" s="35"/>
      <c r="I7" s="63"/>
      <c r="J7" s="64"/>
      <c r="K7" s="65"/>
      <c r="L7" s="65"/>
      <c r="M7" s="63"/>
      <c r="N7" s="65">
        <v>240.0</v>
      </c>
      <c r="O7" s="35">
        <v>314.0</v>
      </c>
      <c r="P7" s="35">
        <v>3.0</v>
      </c>
      <c r="Q7" s="35" t="b">
        <v>1</v>
      </c>
      <c r="R7" s="35">
        <v>100.0</v>
      </c>
      <c r="S7" s="54" t="str">
        <f t="array" ref="S7">vlookup(C7,{DraftTracker!F:F,DraftTracker!E:E},2,0)</f>
        <v>CUSA</v>
      </c>
      <c r="T7" s="54" t="str">
        <f>VLOOKUP(S7,P5G5!A:B,2,0)</f>
        <v>Group of 5</v>
      </c>
      <c r="U7" s="56" t="str">
        <f>IFERROR(__xludf.DUMMYFUNCTION("iferror(if(not(iserror(find(""FINAL"",G7))),max(arrayformula(value(REGEXEXTRACT(F7,""^""&amp;C7&amp;"" ([\d]+)|[^a-zA-Z] ""&amp;C7&amp;"" ([\d]+)""))))=max(value(REGEXEXTRACT(F7,"" ([\d]+)"")),value(REGEXEXTRACT(F7,""([\d]+)$""))),""""))"),"")</f>
        <v/>
      </c>
    </row>
    <row r="8">
      <c r="A8" s="21">
        <v>101.0</v>
      </c>
      <c r="B8" s="81" t="s">
        <v>35</v>
      </c>
      <c r="C8" s="25" t="s">
        <v>79</v>
      </c>
      <c r="D8" s="58">
        <v>7.0</v>
      </c>
      <c r="E8" s="59">
        <v>5.0</v>
      </c>
      <c r="F8" s="82"/>
      <c r="G8" s="35"/>
      <c r="H8" s="35"/>
      <c r="I8" s="63"/>
      <c r="J8" s="64"/>
      <c r="K8" s="65"/>
      <c r="L8" s="65"/>
      <c r="M8" s="63"/>
      <c r="N8" s="65">
        <v>385.0</v>
      </c>
      <c r="O8" s="35">
        <v>265.0</v>
      </c>
      <c r="P8" s="35">
        <v>3.0</v>
      </c>
      <c r="Q8" s="35" t="b">
        <v>1</v>
      </c>
      <c r="R8" s="35">
        <v>100.0</v>
      </c>
      <c r="S8" s="54" t="str">
        <f t="array" ref="S8">vlookup(C8,{DraftTracker!F:F,DraftTracker!E:E},2,0)</f>
        <v>ACC</v>
      </c>
      <c r="T8" s="54" t="str">
        <f>VLOOKUP(S8,P5G5!A:B,2,0)</f>
        <v>Power 5</v>
      </c>
      <c r="U8" s="56" t="str">
        <f>IFERROR(__xludf.DUMMYFUNCTION("iferror(if(not(iserror(find(""FINAL"",G8))),max(arrayformula(value(REGEXEXTRACT(F8,""^""&amp;C8&amp;"" ([\d]+)|[^a-zA-Z] ""&amp;C8&amp;"" ([\d]+)""))))=max(value(REGEXEXTRACT(F8,"" ([\d]+)"")),value(REGEXEXTRACT(F8,""([\d]+)$""))),""""))"),"")</f>
        <v/>
      </c>
    </row>
    <row r="9">
      <c r="A9" s="21">
        <v>101.0</v>
      </c>
      <c r="B9" s="21" t="s">
        <v>35</v>
      </c>
      <c r="C9" s="25" t="s">
        <v>80</v>
      </c>
      <c r="D9" s="58">
        <v>5.0</v>
      </c>
      <c r="E9" s="59">
        <v>7.0</v>
      </c>
      <c r="F9" s="82"/>
      <c r="G9" s="35"/>
      <c r="H9" s="35"/>
      <c r="I9" s="63"/>
      <c r="J9" s="64"/>
      <c r="K9" s="65"/>
      <c r="L9" s="65"/>
      <c r="M9" s="63"/>
      <c r="N9" s="65">
        <v>216.0</v>
      </c>
      <c r="O9" s="35">
        <v>219.0</v>
      </c>
      <c r="P9" s="35">
        <v>3.0</v>
      </c>
      <c r="Q9" s="35" t="b">
        <v>1</v>
      </c>
      <c r="R9" s="35">
        <v>100.0</v>
      </c>
      <c r="S9" s="54" t="str">
        <f t="array" ref="S9">vlookup(C9,{DraftTracker!F:F,DraftTracker!E:E},2,0)</f>
        <v>Big Ten</v>
      </c>
      <c r="T9" s="54" t="str">
        <f>VLOOKUP(S9,P5G5!A:B,2,0)</f>
        <v>Power 5</v>
      </c>
      <c r="U9" s="56" t="str">
        <f>IFERROR(__xludf.DUMMYFUNCTION("iferror(if(not(iserror(find(""FINAL"",G9))),max(arrayformula(value(REGEXEXTRACT(F9,""^""&amp;C9&amp;"" ([\d]+)|[^a-zA-Z] ""&amp;C9&amp;"" ([\d]+)""))))=max(value(REGEXEXTRACT(F9,"" ([\d]+)"")),value(REGEXEXTRACT(F9,""([\d]+)$""))),""""))"),"")</f>
        <v/>
      </c>
    </row>
    <row r="10">
      <c r="A10" s="21">
        <v>101.0</v>
      </c>
      <c r="B10" s="81" t="s">
        <v>35</v>
      </c>
      <c r="C10" s="25" t="s">
        <v>81</v>
      </c>
      <c r="D10" s="58">
        <v>3.0</v>
      </c>
      <c r="E10" s="59">
        <v>9.0</v>
      </c>
      <c r="F10" s="82"/>
      <c r="G10" s="35"/>
      <c r="H10" s="35"/>
      <c r="I10" s="63"/>
      <c r="J10" s="64"/>
      <c r="K10" s="65"/>
      <c r="L10" s="65"/>
      <c r="M10" s="63"/>
      <c r="N10" s="65">
        <v>253.0</v>
      </c>
      <c r="O10" s="35">
        <v>428.0</v>
      </c>
      <c r="P10" s="35">
        <v>3.0</v>
      </c>
      <c r="Q10" s="35" t="b">
        <v>1</v>
      </c>
      <c r="R10" s="35">
        <v>100.0</v>
      </c>
      <c r="S10" s="54" t="str">
        <f t="array" ref="S10">vlookup(C10,{DraftTracker!F:F,DraftTracker!E:E},2,0)</f>
        <v>AAC</v>
      </c>
      <c r="T10" s="54" t="str">
        <f>VLOOKUP(S10,P5G5!A:B,2,0)</f>
        <v>Group of 5</v>
      </c>
      <c r="U10" s="56" t="str">
        <f>IFERROR(__xludf.DUMMYFUNCTION("iferror(if(not(iserror(find(""FINAL"",G10))),max(arrayformula(value(REGEXEXTRACT(F10,""^""&amp;C10&amp;"" ([\d]+)|[^a-zA-Z] ""&amp;C10&amp;"" ([\d]+)""))))=max(value(REGEXEXTRACT(F10,"" ([\d]+)"")),value(REGEXEXTRACT(F10,""([\d]+)$""))),""""))"),"")</f>
        <v/>
      </c>
    </row>
    <row r="11">
      <c r="A11" s="21">
        <v>101.0</v>
      </c>
      <c r="B11" s="21" t="s">
        <v>35</v>
      </c>
      <c r="C11" s="25" t="s">
        <v>88</v>
      </c>
      <c r="D11" s="58">
        <v>4.0</v>
      </c>
      <c r="E11" s="59">
        <v>8.0</v>
      </c>
      <c r="F11" s="82"/>
      <c r="G11" s="35"/>
      <c r="H11" s="35"/>
      <c r="I11" s="63"/>
      <c r="J11" s="64"/>
      <c r="K11" s="65"/>
      <c r="L11" s="65"/>
      <c r="M11" s="63"/>
      <c r="N11" s="65">
        <v>327.0</v>
      </c>
      <c r="O11" s="35">
        <v>421.0</v>
      </c>
      <c r="P11" s="35">
        <v>3.0</v>
      </c>
      <c r="Q11" s="35" t="b">
        <v>1</v>
      </c>
      <c r="R11" s="35">
        <v>100.0</v>
      </c>
      <c r="S11" s="54" t="str">
        <f t="array" ref="S11">vlookup(C11,{DraftTracker!F:F,DraftTracker!E:E},2,0)</f>
        <v>MWC</v>
      </c>
      <c r="T11" s="54" t="str">
        <f>VLOOKUP(S11,P5G5!A:B,2,0)</f>
        <v>Group of 5</v>
      </c>
      <c r="U11" s="56" t="str">
        <f>IFERROR(__xludf.DUMMYFUNCTION("iferror(if(not(iserror(find(""FINAL"",G11))),max(arrayformula(value(REGEXEXTRACT(F11,""^""&amp;C11&amp;"" ([\d]+)|[^a-zA-Z] ""&amp;C11&amp;"" ([\d]+)""))))=max(value(REGEXEXTRACT(F11,"" ([\d]+)"")),value(REGEXEXTRACT(F11,""([\d]+)$""))),""""))"),"")</f>
        <v/>
      </c>
    </row>
    <row r="12">
      <c r="A12" s="1">
        <v>102.0</v>
      </c>
      <c r="B12" s="1"/>
      <c r="C12" s="4"/>
      <c r="D12" s="4"/>
      <c r="E12" s="7"/>
      <c r="F12" s="9"/>
      <c r="G12" s="4"/>
      <c r="H12" s="4"/>
      <c r="I12" s="7"/>
      <c r="J12" s="9"/>
      <c r="K12" s="4"/>
      <c r="L12" s="4"/>
      <c r="M12" s="7"/>
      <c r="N12" s="4"/>
      <c r="O12" s="4"/>
      <c r="P12" s="4"/>
      <c r="Q12" s="4"/>
      <c r="R12" s="4"/>
      <c r="S12" s="95" t="str">
        <f t="array" ref="S12">vlookup(C12,{DraftTracker!F:F,DraftTracker!E:E},2,0)</f>
        <v>#N/A</v>
      </c>
      <c r="T12" s="95" t="str">
        <f>VLOOKUP(S12,P5G5!A:B,2,0)</f>
        <v>#N/A</v>
      </c>
      <c r="U12" s="54" t="str">
        <f>IFERROR(__xludf.DUMMYFUNCTION("iferror(if(not(iserror(find(""FINAL"",G12))),max(arrayformula(value(REGEXEXTRACT(F12,""^""&amp;C12&amp;"" ([\d]+)|[^a-zA-Z] ""&amp;C12&amp;"" ([\d]+)""))))=max(value(REGEXEXTRACT(F12,"" ([\d]+)"")),value(REGEXEXTRACT(F12,""([\d]+)$""))),""""))"),"")</f>
        <v/>
      </c>
    </row>
    <row r="13">
      <c r="A13" s="21">
        <v>103.0</v>
      </c>
      <c r="B13" s="24" t="s">
        <v>58</v>
      </c>
      <c r="C13" s="25" t="s">
        <v>102</v>
      </c>
      <c r="D13" s="97">
        <v>12.0</v>
      </c>
      <c r="E13" s="29">
        <v>0.0</v>
      </c>
      <c r="F13" s="98" t="s">
        <v>103</v>
      </c>
      <c r="G13" s="83">
        <v>45261.791666666664</v>
      </c>
      <c r="H13" s="99" t="s">
        <v>57</v>
      </c>
      <c r="I13" s="100" t="s">
        <v>99</v>
      </c>
      <c r="J13" s="64">
        <v>-13.5</v>
      </c>
      <c r="K13" s="65">
        <v>-10.5</v>
      </c>
      <c r="L13" s="65">
        <v>340</v>
      </c>
      <c r="M13" s="63" t="s">
        <v>104</v>
      </c>
      <c r="N13" s="101">
        <v>481.0</v>
      </c>
      <c r="O13" s="31">
        <v>260.0</v>
      </c>
      <c r="P13" s="35">
        <v>1.0</v>
      </c>
      <c r="Q13" s="35" t="b">
        <v>1</v>
      </c>
      <c r="R13" s="35">
        <v>100.0</v>
      </c>
      <c r="S13" s="54" t="str">
        <f t="array" ref="S13">vlookup(C13,{DraftTracker!F:F,DraftTracker!E:E},2,0)</f>
        <v>CUSA</v>
      </c>
      <c r="T13" s="54" t="str">
        <f>VLOOKUP(S13,P5G5!A:B,2,0)</f>
        <v>Group of 5</v>
      </c>
      <c r="U13" s="56" t="str">
        <f>IFERROR(__xludf.DUMMYFUNCTION("iferror(if(not(iserror(find(""FINAL"",G13))),max(arrayformula(value(REGEXEXTRACT(F13,""^""&amp;C13&amp;"" ([\d]+)|[^a-zA-Z] ""&amp;C13&amp;"" ([\d]+)""))))=max(value(REGEXEXTRACT(F13,"" ([\d]+)"")),value(REGEXEXTRACT(F13,""([\d]+)$""))),""""))"),"")</f>
        <v/>
      </c>
    </row>
    <row r="14">
      <c r="A14" s="21">
        <v>103.0</v>
      </c>
      <c r="B14" s="81" t="s">
        <v>58</v>
      </c>
      <c r="C14" s="25" t="s">
        <v>105</v>
      </c>
      <c r="D14" s="58">
        <v>5.0</v>
      </c>
      <c r="E14" s="59">
        <v>7.0</v>
      </c>
      <c r="F14" s="60"/>
      <c r="G14" s="62"/>
      <c r="H14" s="62"/>
      <c r="I14" s="63"/>
      <c r="J14" s="64"/>
      <c r="K14" s="65"/>
      <c r="L14" s="65"/>
      <c r="M14" s="63"/>
      <c r="N14" s="65">
        <v>313.0</v>
      </c>
      <c r="O14" s="35">
        <v>355.0</v>
      </c>
      <c r="P14" s="35">
        <v>3.0</v>
      </c>
      <c r="Q14" s="35" t="b">
        <v>1</v>
      </c>
      <c r="R14" s="35">
        <v>100.0</v>
      </c>
      <c r="S14" s="54" t="str">
        <f t="array" ref="S14">vlookup(C14,{DraftTracker!F:F,DraftTracker!E:E},2,0)</f>
        <v>MWC</v>
      </c>
      <c r="T14" s="54" t="str">
        <f>VLOOKUP(S14,P5G5!A:B,2,0)</f>
        <v>Group of 5</v>
      </c>
      <c r="U14" s="56" t="str">
        <f>IFERROR(__xludf.DUMMYFUNCTION("iferror(if(not(iserror(find(""FINAL"",G14))),max(arrayformula(value(REGEXEXTRACT(F14,""^""&amp;C14&amp;"" ([\d]+)|[^a-zA-Z] ""&amp;C14&amp;"" ([\d]+)""))))=max(value(REGEXEXTRACT(F14,"" ([\d]+)"")),value(REGEXEXTRACT(F14,""([\d]+)$""))),""""))"),"")</f>
        <v/>
      </c>
    </row>
    <row r="15">
      <c r="A15" s="21">
        <v>103.0</v>
      </c>
      <c r="B15" s="81" t="s">
        <v>58</v>
      </c>
      <c r="C15" s="25" t="s">
        <v>109</v>
      </c>
      <c r="D15" s="58">
        <v>7.0</v>
      </c>
      <c r="E15" s="59">
        <v>5.0</v>
      </c>
      <c r="F15" s="82"/>
      <c r="G15" s="62"/>
      <c r="H15" s="62"/>
      <c r="I15" s="63"/>
      <c r="J15" s="64"/>
      <c r="K15" s="65"/>
      <c r="L15" s="65"/>
      <c r="M15" s="63"/>
      <c r="N15" s="65">
        <v>309.0</v>
      </c>
      <c r="O15" s="35">
        <v>217.0</v>
      </c>
      <c r="P15" s="35">
        <v>3.0</v>
      </c>
      <c r="Q15" s="35" t="b">
        <v>1</v>
      </c>
      <c r="R15" s="35">
        <v>100.0</v>
      </c>
      <c r="S15" s="54" t="str">
        <f t="array" ref="S15">vlookup(C15,{DraftTracker!F:F,DraftTracker!E:E},2,0)</f>
        <v>Pac12</v>
      </c>
      <c r="T15" s="54" t="str">
        <f>VLOOKUP(S15,P5G5!A:B,2,0)</f>
        <v>Power 5</v>
      </c>
      <c r="U15" s="56" t="str">
        <f>IFERROR(__xludf.DUMMYFUNCTION("iferror(if(not(iserror(find(""FINAL"",G15))),max(arrayformula(value(REGEXEXTRACT(F15,""^""&amp;C15&amp;"" ([\d]+)|[^a-zA-Z] ""&amp;C15&amp;"" ([\d]+)""))))=max(value(REGEXEXTRACT(F15,"" ([\d]+)"")),value(REGEXEXTRACT(F15,""([\d]+)$""))),""""))"),"")</f>
        <v/>
      </c>
    </row>
    <row r="16">
      <c r="A16" s="21">
        <v>103.0</v>
      </c>
      <c r="B16" s="81" t="s">
        <v>58</v>
      </c>
      <c r="C16" s="25" t="s">
        <v>111</v>
      </c>
      <c r="D16" s="58">
        <v>6.0</v>
      </c>
      <c r="E16" s="59">
        <v>6.0</v>
      </c>
      <c r="F16" s="82"/>
      <c r="G16" s="35"/>
      <c r="H16" s="35"/>
      <c r="I16" s="63"/>
      <c r="J16" s="64"/>
      <c r="K16" s="65"/>
      <c r="L16" s="65"/>
      <c r="M16" s="63"/>
      <c r="N16" s="65">
        <v>279.0</v>
      </c>
      <c r="O16" s="35">
        <v>338.0</v>
      </c>
      <c r="P16" s="35">
        <v>3.0</v>
      </c>
      <c r="Q16" s="35" t="b">
        <v>1</v>
      </c>
      <c r="R16" s="35">
        <v>100.0</v>
      </c>
      <c r="S16" s="54" t="str">
        <f t="array" ref="S16">vlookup(C16,{DraftTracker!F:F,DraftTracker!E:E},2,0)</f>
        <v>Sun Belt</v>
      </c>
      <c r="T16" s="54" t="str">
        <f>VLOOKUP(S16,P5G5!A:B,2,0)</f>
        <v>Group of 5</v>
      </c>
      <c r="U16" s="56" t="str">
        <f>IFERROR(__xludf.DUMMYFUNCTION("iferror(if(not(iserror(find(""FINAL"",G16))),max(arrayformula(value(REGEXEXTRACT(F16,""^""&amp;C16&amp;"" ([\d]+)|[^a-zA-Z] ""&amp;C16&amp;"" ([\d]+)""))))=max(value(REGEXEXTRACT(F16,"" ([\d]+)"")),value(REGEXEXTRACT(F16,""([\d]+)$""))),""""))"),"")</f>
        <v/>
      </c>
    </row>
    <row r="17">
      <c r="A17" s="21">
        <v>103.0</v>
      </c>
      <c r="B17" s="81" t="s">
        <v>58</v>
      </c>
      <c r="C17" s="25" t="s">
        <v>112</v>
      </c>
      <c r="D17" s="58">
        <v>6.0</v>
      </c>
      <c r="E17" s="59">
        <v>6.0</v>
      </c>
      <c r="F17" s="82"/>
      <c r="G17" s="35"/>
      <c r="H17" s="35"/>
      <c r="I17" s="63"/>
      <c r="J17" s="64"/>
      <c r="K17" s="65"/>
      <c r="L17" s="65"/>
      <c r="M17" s="63"/>
      <c r="N17" s="65">
        <v>327.0</v>
      </c>
      <c r="O17" s="35">
        <v>263.0</v>
      </c>
      <c r="P17" s="35">
        <v>3.0</v>
      </c>
      <c r="Q17" s="35" t="b">
        <v>1</v>
      </c>
      <c r="R17" s="35">
        <v>100.0</v>
      </c>
      <c r="S17" s="54" t="str">
        <f t="array" ref="S17">vlookup(C17,{DraftTracker!F:F,DraftTracker!E:E},2,0)</f>
        <v>SEC</v>
      </c>
      <c r="T17" s="54" t="str">
        <f>VLOOKUP(S17,P5G5!A:B,2,0)</f>
        <v>Power 5</v>
      </c>
      <c r="U17" s="56" t="str">
        <f>IFERROR(__xludf.DUMMYFUNCTION("iferror(if(not(iserror(find(""FINAL"",G17))),max(arrayformula(value(REGEXEXTRACT(F17,""^""&amp;C17&amp;"" ([\d]+)|[^a-zA-Z] ""&amp;C17&amp;"" ([\d]+)""))))=max(value(REGEXEXTRACT(F17,"" ([\d]+)"")),value(REGEXEXTRACT(F17,""([\d]+)$""))),""""))"),"")</f>
        <v/>
      </c>
    </row>
    <row r="18">
      <c r="A18" s="21">
        <v>103.0</v>
      </c>
      <c r="B18" s="81" t="s">
        <v>58</v>
      </c>
      <c r="C18" s="25" t="s">
        <v>113</v>
      </c>
      <c r="D18" s="58">
        <v>6.0</v>
      </c>
      <c r="E18" s="59">
        <v>6.0</v>
      </c>
      <c r="F18" s="82"/>
      <c r="G18" s="35"/>
      <c r="H18" s="35"/>
      <c r="I18" s="63"/>
      <c r="J18" s="64">
        <v>-1.5</v>
      </c>
      <c r="K18" s="65">
        <v>-1.5</v>
      </c>
      <c r="L18" s="65">
        <v>-118.0</v>
      </c>
      <c r="M18" s="63" t="s">
        <v>114</v>
      </c>
      <c r="N18" s="65">
        <v>343.0</v>
      </c>
      <c r="O18" s="35">
        <v>291.0</v>
      </c>
      <c r="P18" s="35">
        <v>3.0</v>
      </c>
      <c r="Q18" s="35" t="b">
        <v>1</v>
      </c>
      <c r="R18" s="35">
        <v>100.0</v>
      </c>
      <c r="S18" s="54" t="str">
        <f t="array" ref="S18">vlookup(C18,{DraftTracker!F:F,DraftTracker!E:E},2,0)</f>
        <v>ACC</v>
      </c>
      <c r="T18" s="54" t="str">
        <f>VLOOKUP(S18,P5G5!A:B,2,0)</f>
        <v>Power 5</v>
      </c>
      <c r="U18" s="56" t="str">
        <f>IFERROR(__xludf.DUMMYFUNCTION("iferror(if(not(iserror(find(""FINAL"",G18))),max(arrayformula(value(REGEXEXTRACT(F18,""^""&amp;C18&amp;"" ([\d]+)|[^a-zA-Z] ""&amp;C18&amp;"" ([\d]+)""))))=max(value(REGEXEXTRACT(F18,"" ([\d]+)"")),value(REGEXEXTRACT(F18,""([\d]+)$""))),""""))"),"")</f>
        <v/>
      </c>
    </row>
    <row r="19">
      <c r="A19" s="21">
        <v>103.0</v>
      </c>
      <c r="B19" s="81" t="s">
        <v>58</v>
      </c>
      <c r="C19" s="25" t="s">
        <v>116</v>
      </c>
      <c r="D19" s="58">
        <v>5.0</v>
      </c>
      <c r="E19" s="59">
        <v>7.0</v>
      </c>
      <c r="F19" s="82"/>
      <c r="G19" s="35"/>
      <c r="H19" s="35"/>
      <c r="I19" s="63"/>
      <c r="J19" s="64"/>
      <c r="K19" s="65"/>
      <c r="L19" s="65"/>
      <c r="M19" s="63"/>
      <c r="N19" s="65">
        <v>242.0</v>
      </c>
      <c r="O19" s="35">
        <v>323.0</v>
      </c>
      <c r="P19" s="35">
        <v>3.0</v>
      </c>
      <c r="Q19" s="35" t="b">
        <v>1</v>
      </c>
      <c r="R19" s="35">
        <v>100.0</v>
      </c>
      <c r="S19" s="54" t="str">
        <f t="array" ref="S19">vlookup(C19,{DraftTracker!F:F,DraftTracker!E:E},2,0)</f>
        <v>Big Ten</v>
      </c>
      <c r="T19" s="54" t="str">
        <f>VLOOKUP(S19,P5G5!A:B,2,0)</f>
        <v>Power 5</v>
      </c>
      <c r="U19" s="56" t="str">
        <f>IFERROR(__xludf.DUMMYFUNCTION("iferror(if(not(iserror(find(""FINAL"",G19))),max(arrayformula(value(REGEXEXTRACT(F19,""^""&amp;C19&amp;"" ([\d]+)|[^a-zA-Z] ""&amp;C19&amp;"" ([\d]+)""))))=max(value(REGEXEXTRACT(F19,"" ([\d]+)"")),value(REGEXEXTRACT(F19,""([\d]+)$""))),""""))"),"")</f>
        <v/>
      </c>
    </row>
    <row r="20">
      <c r="A20" s="21">
        <v>103.0</v>
      </c>
      <c r="B20" s="81" t="s">
        <v>58</v>
      </c>
      <c r="C20" s="25" t="s">
        <v>117</v>
      </c>
      <c r="D20" s="58">
        <v>6.0</v>
      </c>
      <c r="E20" s="59">
        <v>6.0</v>
      </c>
      <c r="F20" s="82"/>
      <c r="G20" s="35"/>
      <c r="H20" s="35"/>
      <c r="I20" s="63"/>
      <c r="J20" s="64"/>
      <c r="K20" s="65"/>
      <c r="L20" s="65"/>
      <c r="M20" s="63"/>
      <c r="N20" s="65">
        <v>303.0</v>
      </c>
      <c r="O20" s="35">
        <v>254.0</v>
      </c>
      <c r="P20" s="35">
        <v>3.0</v>
      </c>
      <c r="Q20" s="35" t="b">
        <v>1</v>
      </c>
      <c r="R20" s="35">
        <v>100.0</v>
      </c>
      <c r="S20" s="54" t="str">
        <f t="array" ref="S20">vlookup(C20,{DraftTracker!F:F,DraftTracker!E:E},2,0)</f>
        <v>MAC</v>
      </c>
      <c r="T20" s="54" t="str">
        <f>VLOOKUP(S20,P5G5!A:B,2,0)</f>
        <v>Group of 5</v>
      </c>
      <c r="U20" s="56" t="str">
        <f>IFERROR(__xludf.DUMMYFUNCTION("iferror(if(not(iserror(find(""FINAL"",G20))),max(arrayformula(value(REGEXEXTRACT(F20,""^""&amp;C20&amp;"" ([\d]+)|[^a-zA-Z] ""&amp;C20&amp;"" ([\d]+)""))))=max(value(REGEXEXTRACT(F20,"" ([\d]+)"")),value(REGEXEXTRACT(F20,""([\d]+)$""))),""""))"),"")</f>
        <v/>
      </c>
    </row>
    <row r="21">
      <c r="A21" s="21">
        <v>103.0</v>
      </c>
      <c r="B21" s="81" t="s">
        <v>58</v>
      </c>
      <c r="C21" s="25" t="s">
        <v>118</v>
      </c>
      <c r="D21" s="58">
        <v>9.0</v>
      </c>
      <c r="E21" s="59">
        <v>3.0</v>
      </c>
      <c r="F21" s="82"/>
      <c r="G21" s="35"/>
      <c r="H21" s="35"/>
      <c r="I21" s="63"/>
      <c r="J21" s="64"/>
      <c r="K21" s="65"/>
      <c r="L21" s="65"/>
      <c r="M21" s="63"/>
      <c r="N21" s="65">
        <v>476.0</v>
      </c>
      <c r="O21" s="35">
        <v>348.0</v>
      </c>
      <c r="P21" s="35">
        <v>3.0</v>
      </c>
      <c r="Q21" s="35" t="b">
        <v>1</v>
      </c>
      <c r="R21" s="35">
        <v>100.0</v>
      </c>
      <c r="S21" s="54" t="str">
        <f t="array" ref="S21">vlookup(C21,{DraftTracker!F:F,DraftTracker!E:E},2,0)</f>
        <v>AAC</v>
      </c>
      <c r="T21" s="54" t="str">
        <f>VLOOKUP(S21,P5G5!A:B,2,0)</f>
        <v>Group of 5</v>
      </c>
      <c r="U21" s="56" t="str">
        <f>IFERROR(__xludf.DUMMYFUNCTION("iferror(if(not(iserror(find(""FINAL"",G21))),max(arrayformula(value(REGEXEXTRACT(F21,""^""&amp;C21&amp;"" ([\d]+)|[^a-zA-Z] ""&amp;C21&amp;"" ([\d]+)""))))=max(value(REGEXEXTRACT(F21,"" ([\d]+)"")),value(REGEXEXTRACT(F21,""([\d]+)$""))),""""))"),"")</f>
        <v/>
      </c>
    </row>
    <row r="22">
      <c r="A22" s="21">
        <v>103.0</v>
      </c>
      <c r="B22" s="81" t="s">
        <v>58</v>
      </c>
      <c r="C22" s="25" t="s">
        <v>119</v>
      </c>
      <c r="D22" s="58">
        <v>5.0</v>
      </c>
      <c r="E22" s="59">
        <v>7.0</v>
      </c>
      <c r="F22" s="82"/>
      <c r="G22" s="35"/>
      <c r="H22" s="35"/>
      <c r="I22" s="63"/>
      <c r="J22" s="64"/>
      <c r="K22" s="65"/>
      <c r="L22" s="65"/>
      <c r="M22" s="63"/>
      <c r="N22" s="65">
        <v>277.0</v>
      </c>
      <c r="O22" s="35">
        <v>358.0</v>
      </c>
      <c r="P22" s="35">
        <v>3.0</v>
      </c>
      <c r="Q22" s="35" t="b">
        <v>1</v>
      </c>
      <c r="R22" s="35">
        <v>100.0</v>
      </c>
      <c r="S22" s="54" t="str">
        <f t="array" ref="S22">vlookup(C22,{DraftTracker!F:F,DraftTracker!E:E},2,0)</f>
        <v>Big 12</v>
      </c>
      <c r="T22" s="54" t="str">
        <f>VLOOKUP(S22,P5G5!A:B,2,0)</f>
        <v>Power 5</v>
      </c>
      <c r="U22" s="56" t="str">
        <f>IFERROR(__xludf.DUMMYFUNCTION("iferror(if(not(iserror(find(""FINAL"",G22))),max(arrayformula(value(REGEXEXTRACT(F22,""^""&amp;C22&amp;"" ([\d]+)|[^a-zA-Z] ""&amp;C22&amp;"" ([\d]+)""))))=max(value(REGEXEXTRACT(F22,"" ([\d]+)"")),value(REGEXEXTRACT(F22,""([\d]+)$""))),""""))"),"")</f>
        <v/>
      </c>
    </row>
    <row r="23">
      <c r="A23" s="1">
        <v>104.0</v>
      </c>
      <c r="B23" s="1"/>
      <c r="C23" s="4"/>
      <c r="D23" s="4"/>
      <c r="E23" s="7"/>
      <c r="F23" s="9"/>
      <c r="G23" s="4"/>
      <c r="H23" s="4"/>
      <c r="I23" s="7"/>
      <c r="J23" s="9"/>
      <c r="K23" s="4"/>
      <c r="L23" s="4"/>
      <c r="M23" s="7"/>
      <c r="N23" s="4"/>
      <c r="O23" s="4"/>
      <c r="P23" s="4"/>
      <c r="Q23" s="4"/>
      <c r="R23" s="4"/>
      <c r="S23" s="95" t="str">
        <f t="array" ref="S23">vlookup(C23,{DraftTracker!F:F,DraftTracker!E:E},2,0)</f>
        <v>#N/A</v>
      </c>
      <c r="T23" s="95" t="str">
        <f>VLOOKUP(S23,P5G5!A:B,2,0)</f>
        <v>#N/A</v>
      </c>
      <c r="U23" s="54" t="str">
        <f>IFERROR(__xludf.DUMMYFUNCTION("iferror(if(not(iserror(find(""FINAL"",G23))),max(arrayformula(value(REGEXEXTRACT(F23,""^""&amp;C23&amp;"" ([\d]+)|[^a-zA-Z] ""&amp;C23&amp;"" ([\d]+)""))))=max(value(REGEXEXTRACT(F23,"" ([\d]+)"")),value(REGEXEXTRACT(F23,""([\d]+)$""))),""""))"),"")</f>
        <v/>
      </c>
    </row>
    <row r="24">
      <c r="A24" s="21">
        <v>105.0</v>
      </c>
      <c r="B24" s="24" t="s">
        <v>56</v>
      </c>
      <c r="C24" s="25" t="s">
        <v>120</v>
      </c>
      <c r="D24" s="97">
        <v>11.0</v>
      </c>
      <c r="E24" s="29">
        <v>1.0</v>
      </c>
      <c r="F24" s="98" t="s">
        <v>121</v>
      </c>
      <c r="G24" s="61">
        <v>45262.5</v>
      </c>
      <c r="H24" s="99" t="s">
        <v>62</v>
      </c>
      <c r="I24" s="100" t="s">
        <v>76</v>
      </c>
      <c r="J24" s="64">
        <v>-9.0</v>
      </c>
      <c r="K24" s="65">
        <v>-7.5</v>
      </c>
      <c r="L24" s="65">
        <v>255</v>
      </c>
      <c r="M24" s="63" t="s">
        <v>122</v>
      </c>
      <c r="N24" s="101">
        <v>423.0</v>
      </c>
      <c r="O24" s="31">
        <v>245.0</v>
      </c>
      <c r="P24" s="35">
        <v>1.0</v>
      </c>
      <c r="Q24" s="35" t="b">
        <v>1</v>
      </c>
      <c r="R24" s="35">
        <v>100.0</v>
      </c>
      <c r="S24" s="54" t="str">
        <f t="array" ref="S24">vlookup(C24,{DraftTracker!F:F,DraftTracker!E:E},2,0)</f>
        <v>MAC</v>
      </c>
      <c r="T24" s="54" t="str">
        <f>VLOOKUP(S24,P5G5!A:B,2,0)</f>
        <v>Group of 5</v>
      </c>
      <c r="U24" s="54" t="str">
        <f>IFERROR(__xludf.DUMMYFUNCTION("iferror(if(not(iserror(find(""FINAL"",G24))),max(arrayformula(value(REGEXEXTRACT(F24,""^""&amp;C24&amp;"" ([\d]+)|[^a-zA-Z] ""&amp;C24&amp;"" ([\d]+)""))))=max(value(REGEXEXTRACT(F24,"" ([\d]+)"")),value(REGEXEXTRACT(F24,""([\d]+)$""))),""""))"),"")</f>
        <v/>
      </c>
    </row>
    <row r="25">
      <c r="A25" s="21">
        <v>105.0</v>
      </c>
      <c r="B25" s="81" t="s">
        <v>56</v>
      </c>
      <c r="C25" s="25" t="s">
        <v>123</v>
      </c>
      <c r="D25" s="58">
        <v>6.0</v>
      </c>
      <c r="E25" s="59">
        <v>6.0</v>
      </c>
      <c r="F25" s="60"/>
      <c r="G25" s="35"/>
      <c r="H25" s="62"/>
      <c r="I25" s="63"/>
      <c r="J25" s="64"/>
      <c r="K25" s="65"/>
      <c r="L25" s="65"/>
      <c r="M25" s="63"/>
      <c r="N25" s="65">
        <v>229.0</v>
      </c>
      <c r="O25" s="35">
        <v>242.0</v>
      </c>
      <c r="P25" s="35">
        <v>3.0</v>
      </c>
      <c r="Q25" s="35" t="b">
        <v>0</v>
      </c>
      <c r="R25" s="35">
        <v>100.0</v>
      </c>
      <c r="S25" s="54" t="str">
        <f t="array" ref="S25">vlookup(C25,{DraftTracker!F:F,DraftTracker!E:E},2,0)</f>
        <v>CUSA</v>
      </c>
      <c r="T25" s="54" t="str">
        <f>VLOOKUP(S25,P5G5!A:B,2,0)</f>
        <v>Group of 5</v>
      </c>
      <c r="U25" s="56" t="str">
        <f>IFERROR(__xludf.DUMMYFUNCTION("iferror(if(not(iserror(find(""FINAL"",G25))),max(arrayformula(value(REGEXEXTRACT(F25,""^""&amp;C25&amp;"" ([\d]+)|[^a-zA-Z] ""&amp;C25&amp;"" ([\d]+)""))))=max(value(REGEXEXTRACT(F25,"" ([\d]+)"")),value(REGEXEXTRACT(F25,""([\d]+)$""))),""""))"),"")</f>
        <v/>
      </c>
    </row>
    <row r="26">
      <c r="A26" s="21">
        <v>105.0</v>
      </c>
      <c r="B26" s="81" t="s">
        <v>56</v>
      </c>
      <c r="C26" s="25" t="s">
        <v>124</v>
      </c>
      <c r="D26" s="58">
        <v>7.0</v>
      </c>
      <c r="E26" s="59">
        <v>5.0</v>
      </c>
      <c r="F26" s="82"/>
      <c r="G26" s="62"/>
      <c r="H26" s="62"/>
      <c r="I26" s="63"/>
      <c r="J26" s="64"/>
      <c r="K26" s="65"/>
      <c r="L26" s="65"/>
      <c r="M26" s="63"/>
      <c r="N26" s="65">
        <v>315.0</v>
      </c>
      <c r="O26" s="35">
        <v>260.0</v>
      </c>
      <c r="P26" s="35">
        <v>3.0</v>
      </c>
      <c r="Q26" s="35" t="b">
        <v>1</v>
      </c>
      <c r="R26" s="35">
        <v>100.0</v>
      </c>
      <c r="S26" s="54" t="str">
        <f t="array" ref="S26">vlookup(C26,{DraftTracker!F:F,DraftTracker!E:E},2,0)</f>
        <v>Big 12</v>
      </c>
      <c r="T26" s="54" t="str">
        <f>VLOOKUP(S26,P5G5!A:B,2,0)</f>
        <v>Power 5</v>
      </c>
      <c r="U26" s="56" t="str">
        <f>IFERROR(__xludf.DUMMYFUNCTION("iferror(if(not(iserror(find(""FINAL"",G26))),max(arrayformula(value(REGEXEXTRACT(F26,""^""&amp;C26&amp;"" ([\d]+)|[^a-zA-Z] ""&amp;C26&amp;"" ([\d]+)""))))=max(value(REGEXEXTRACT(F26,"" ([\d]+)"")),value(REGEXEXTRACT(F26,""([\d]+)$""))),""""))"),"")</f>
        <v/>
      </c>
    </row>
    <row r="27">
      <c r="A27" s="21">
        <v>105.0</v>
      </c>
      <c r="B27" s="81" t="s">
        <v>56</v>
      </c>
      <c r="C27" s="25" t="s">
        <v>126</v>
      </c>
      <c r="D27" s="58">
        <v>7.0</v>
      </c>
      <c r="E27" s="59">
        <v>5.0</v>
      </c>
      <c r="F27" s="82"/>
      <c r="G27" s="35"/>
      <c r="H27" s="35"/>
      <c r="I27" s="63"/>
      <c r="J27" s="64"/>
      <c r="K27" s="65"/>
      <c r="L27" s="65"/>
      <c r="M27" s="63"/>
      <c r="N27" s="65">
        <v>432.0</v>
      </c>
      <c r="O27" s="35">
        <v>406.0</v>
      </c>
      <c r="P27" s="35">
        <v>3.0</v>
      </c>
      <c r="Q27" s="35" t="b">
        <v>1</v>
      </c>
      <c r="R27" s="35">
        <v>100.0</v>
      </c>
      <c r="S27" s="54" t="str">
        <f t="array" ref="S27">vlookup(C27,{DraftTracker!F:F,DraftTracker!E:E},2,0)</f>
        <v>Sun Belt</v>
      </c>
      <c r="T27" s="54" t="str">
        <f>VLOOKUP(S27,P5G5!A:B,2,0)</f>
        <v>Group of 5</v>
      </c>
      <c r="U27" s="56" t="str">
        <f>IFERROR(__xludf.DUMMYFUNCTION("iferror(if(not(iserror(find(""FINAL"",G27))),max(arrayformula(value(REGEXEXTRACT(F27,""^""&amp;C27&amp;"" ([\d]+)|[^a-zA-Z] ""&amp;C27&amp;"" ([\d]+)""))))=max(value(REGEXEXTRACT(F27,"" ([\d]+)"")),value(REGEXEXTRACT(F27,""([\d]+)$""))),""""))"),"")</f>
        <v/>
      </c>
    </row>
    <row r="28">
      <c r="A28" s="21">
        <v>105.0</v>
      </c>
      <c r="B28" s="81" t="s">
        <v>56</v>
      </c>
      <c r="C28" s="25" t="s">
        <v>127</v>
      </c>
      <c r="D28" s="58">
        <v>5.0</v>
      </c>
      <c r="E28" s="59">
        <v>7.0</v>
      </c>
      <c r="F28" s="82"/>
      <c r="G28" s="35"/>
      <c r="H28" s="35"/>
      <c r="I28" s="63"/>
      <c r="J28" s="64"/>
      <c r="K28" s="65"/>
      <c r="L28" s="65"/>
      <c r="M28" s="63"/>
      <c r="N28" s="65">
        <v>341.0</v>
      </c>
      <c r="O28" s="35">
        <v>331.0</v>
      </c>
      <c r="P28" s="35">
        <v>3.0</v>
      </c>
      <c r="Q28" s="35" t="b">
        <v>1</v>
      </c>
      <c r="R28" s="35">
        <v>100.0</v>
      </c>
      <c r="S28" s="54" t="str">
        <f t="array" ref="S28">vlookup(C28,{DraftTracker!F:F,DraftTracker!E:E},2,0)</f>
        <v>SEC</v>
      </c>
      <c r="T28" s="54" t="str">
        <f>VLOOKUP(S28,P5G5!A:B,2,0)</f>
        <v>Power 5</v>
      </c>
      <c r="U28" s="56" t="str">
        <f>IFERROR(__xludf.DUMMYFUNCTION("iferror(if(not(iserror(find(""FINAL"",G28))),max(arrayformula(value(REGEXEXTRACT(F28,""^""&amp;C28&amp;"" ([\d]+)|[^a-zA-Z] ""&amp;C28&amp;"" ([\d]+)""))))=max(value(REGEXEXTRACT(F28,"" ([\d]+)"")),value(REGEXEXTRACT(F28,""([\d]+)$""))),""""))"),"")</f>
        <v/>
      </c>
    </row>
    <row r="29">
      <c r="A29" s="21">
        <v>105.0</v>
      </c>
      <c r="B29" s="81" t="s">
        <v>56</v>
      </c>
      <c r="C29" s="25" t="s">
        <v>128</v>
      </c>
      <c r="D29" s="58">
        <v>9.0</v>
      </c>
      <c r="E29" s="59">
        <v>3.0</v>
      </c>
      <c r="F29" s="82"/>
      <c r="G29" s="35"/>
      <c r="H29" s="35"/>
      <c r="I29" s="63"/>
      <c r="J29" s="64"/>
      <c r="K29" s="65"/>
      <c r="L29" s="65"/>
      <c r="M29" s="63"/>
      <c r="N29" s="65">
        <v>469.0</v>
      </c>
      <c r="O29" s="35">
        <v>199.0</v>
      </c>
      <c r="P29" s="35">
        <v>3.0</v>
      </c>
      <c r="Q29" s="35" t="b">
        <v>1</v>
      </c>
      <c r="R29" s="35">
        <v>100.0</v>
      </c>
      <c r="S29" s="54" t="str">
        <f t="array" ref="S29">vlookup(C29,{DraftTracker!F:F,DraftTracker!E:E},2,0)</f>
        <v>Pac12</v>
      </c>
      <c r="T29" s="54" t="str">
        <f>VLOOKUP(S29,P5G5!A:B,2,0)</f>
        <v>Power 5</v>
      </c>
      <c r="U29" s="56" t="str">
        <f>IFERROR(__xludf.DUMMYFUNCTION("iferror(if(not(iserror(find(""FINAL"",G29))),max(arrayformula(value(REGEXEXTRACT(F29,""^""&amp;C29&amp;"" ([\d]+)|[^a-zA-Z] ""&amp;C29&amp;"" ([\d]+)""))))=max(value(REGEXEXTRACT(F29,"" ([\d]+)"")),value(REGEXEXTRACT(F29,""([\d]+)$""))),""""))"),"")</f>
        <v/>
      </c>
    </row>
    <row r="30">
      <c r="A30" s="21">
        <v>105.0</v>
      </c>
      <c r="B30" s="81" t="s">
        <v>56</v>
      </c>
      <c r="C30" s="25" t="s">
        <v>129</v>
      </c>
      <c r="D30" s="58">
        <v>7.0</v>
      </c>
      <c r="E30" s="59">
        <v>5.0</v>
      </c>
      <c r="F30" s="82"/>
      <c r="G30" s="35"/>
      <c r="H30" s="35"/>
      <c r="I30" s="63"/>
      <c r="J30" s="64"/>
      <c r="K30" s="65"/>
      <c r="L30" s="65"/>
      <c r="M30" s="63"/>
      <c r="N30" s="65">
        <v>400.0</v>
      </c>
      <c r="O30" s="35">
        <v>309.0</v>
      </c>
      <c r="P30" s="35">
        <v>3.0</v>
      </c>
      <c r="Q30" s="35" t="b">
        <v>1</v>
      </c>
      <c r="R30" s="35">
        <v>100.0</v>
      </c>
      <c r="S30" s="54" t="str">
        <f t="array" ref="S30">vlookup(C30,{DraftTracker!F:F,DraftTracker!E:E},2,0)</f>
        <v>MWC</v>
      </c>
      <c r="T30" s="54" t="str">
        <f>VLOOKUP(S30,P5G5!A:B,2,0)</f>
        <v>Group of 5</v>
      </c>
      <c r="U30" s="56" t="str">
        <f>IFERROR(__xludf.DUMMYFUNCTION("iferror(if(not(iserror(find(""FINAL"",G30))),max(arrayformula(value(REGEXEXTRACT(F30,""^""&amp;C30&amp;"" ([\d]+)|[^a-zA-Z] ""&amp;C30&amp;"" ([\d]+)""))))=max(value(REGEXEXTRACT(F30,"" ([\d]+)"")),value(REGEXEXTRACT(F30,""([\d]+)$""))),""""))"),"")</f>
        <v/>
      </c>
    </row>
    <row r="31">
      <c r="A31" s="21">
        <v>105.0</v>
      </c>
      <c r="B31" s="81" t="s">
        <v>56</v>
      </c>
      <c r="C31" s="25" t="s">
        <v>130</v>
      </c>
      <c r="D31" s="58">
        <v>6.0</v>
      </c>
      <c r="E31" s="59">
        <v>6.0</v>
      </c>
      <c r="F31" s="82"/>
      <c r="G31" s="35"/>
      <c r="H31" s="35"/>
      <c r="I31" s="63"/>
      <c r="J31" s="64"/>
      <c r="K31" s="65"/>
      <c r="L31" s="65"/>
      <c r="M31" s="63"/>
      <c r="N31" s="65">
        <v>306.0</v>
      </c>
      <c r="O31" s="35">
        <v>285.0</v>
      </c>
      <c r="P31" s="35">
        <v>3.0</v>
      </c>
      <c r="Q31" s="35" t="b">
        <v>1</v>
      </c>
      <c r="R31" s="35">
        <v>100.0</v>
      </c>
      <c r="S31" s="54" t="str">
        <f t="array" ref="S31">vlookup(C31,{DraftTracker!F:F,DraftTracker!E:E},2,0)</f>
        <v>ACC</v>
      </c>
      <c r="T31" s="54" t="str">
        <f>VLOOKUP(S31,P5G5!A:B,2,0)</f>
        <v>Power 5</v>
      </c>
      <c r="U31" s="56" t="str">
        <f>IFERROR(__xludf.DUMMYFUNCTION("iferror(if(not(iserror(find(""FINAL"",G31))),max(arrayformula(value(REGEXEXTRACT(F31,""^""&amp;C31&amp;"" ([\d]+)|[^a-zA-Z] ""&amp;C31&amp;"" ([\d]+)""))))=max(value(REGEXEXTRACT(F31,"" ([\d]+)"")),value(REGEXEXTRACT(F31,""([\d]+)$""))),""""))"),"")</f>
        <v/>
      </c>
    </row>
    <row r="32">
      <c r="A32" s="21">
        <v>105.0</v>
      </c>
      <c r="B32" s="81" t="s">
        <v>56</v>
      </c>
      <c r="C32" s="25" t="s">
        <v>133</v>
      </c>
      <c r="D32" s="58">
        <v>4.0</v>
      </c>
      <c r="E32" s="59">
        <v>8.0</v>
      </c>
      <c r="F32" s="82"/>
      <c r="G32" s="35"/>
      <c r="H32" s="35"/>
      <c r="I32" s="63"/>
      <c r="J32" s="64"/>
      <c r="K32" s="65"/>
      <c r="L32" s="65"/>
      <c r="M32" s="63"/>
      <c r="N32" s="65">
        <v>285.0</v>
      </c>
      <c r="O32" s="35">
        <v>306.0</v>
      </c>
      <c r="P32" s="35">
        <v>3.0</v>
      </c>
      <c r="Q32" s="35" t="b">
        <v>1</v>
      </c>
      <c r="R32" s="35">
        <v>100.0</v>
      </c>
      <c r="S32" s="54" t="str">
        <f t="array" ref="S32">vlookup(C32,{DraftTracker!F:F,DraftTracker!E:E},2,0)</f>
        <v>AAC</v>
      </c>
      <c r="T32" s="54" t="str">
        <f>VLOOKUP(S32,P5G5!A:B,2,0)</f>
        <v>Group of 5</v>
      </c>
      <c r="U32" s="56" t="str">
        <f>IFERROR(__xludf.DUMMYFUNCTION("iferror(if(not(iserror(find(""FINAL"",G32))),max(arrayformula(value(REGEXEXTRACT(F32,""^""&amp;C32&amp;"" ([\d]+)|[^a-zA-Z] ""&amp;C32&amp;"" ([\d]+)""))))=max(value(REGEXEXTRACT(F32,"" ([\d]+)"")),value(REGEXEXTRACT(F32,""([\d]+)$""))),""""))"),"")</f>
        <v/>
      </c>
    </row>
    <row r="33">
      <c r="A33" s="21">
        <v>105.0</v>
      </c>
      <c r="B33" s="81" t="s">
        <v>56</v>
      </c>
      <c r="C33" s="25" t="s">
        <v>135</v>
      </c>
      <c r="D33" s="58">
        <v>10.0</v>
      </c>
      <c r="E33" s="59">
        <v>2.0</v>
      </c>
      <c r="F33" s="82"/>
      <c r="G33" s="35"/>
      <c r="H33" s="35"/>
      <c r="I33" s="63"/>
      <c r="J33" s="64"/>
      <c r="K33" s="65"/>
      <c r="L33" s="65"/>
      <c r="M33" s="63"/>
      <c r="N33" s="65">
        <v>446.0</v>
      </c>
      <c r="O33" s="35">
        <v>137.0</v>
      </c>
      <c r="P33" s="35">
        <v>3.0</v>
      </c>
      <c r="Q33" s="35" t="b">
        <v>1</v>
      </c>
      <c r="R33" s="35">
        <v>100.0</v>
      </c>
      <c r="S33" s="54" t="str">
        <f t="array" ref="S33">vlookup(C33,{DraftTracker!F:F,DraftTracker!E:E},2,0)</f>
        <v>Big Ten</v>
      </c>
      <c r="T33" s="54" t="str">
        <f>VLOOKUP(S33,P5G5!A:B,2,0)</f>
        <v>Power 5</v>
      </c>
      <c r="U33" s="56" t="str">
        <f>IFERROR(__xludf.DUMMYFUNCTION("iferror(if(not(iserror(find(""FINAL"",G33))),max(arrayformula(value(REGEXEXTRACT(F33,""^""&amp;C33&amp;"" ([\d]+)|[^a-zA-Z] ""&amp;C33&amp;"" ([\d]+)""))))=max(value(REGEXEXTRACT(F33,"" ([\d]+)"")),value(REGEXEXTRACT(F33,""([\d]+)$""))),""""))"),"")</f>
        <v/>
      </c>
    </row>
    <row r="34">
      <c r="A34" s="1">
        <v>106.0</v>
      </c>
      <c r="B34" s="1"/>
      <c r="C34" s="4"/>
      <c r="D34" s="4"/>
      <c r="E34" s="7"/>
      <c r="F34" s="9"/>
      <c r="G34" s="4"/>
      <c r="H34" s="4"/>
      <c r="I34" s="7"/>
      <c r="J34" s="9"/>
      <c r="K34" s="4"/>
      <c r="L34" s="4"/>
      <c r="M34" s="7"/>
      <c r="N34" s="4"/>
      <c r="O34" s="4"/>
      <c r="P34" s="4"/>
      <c r="Q34" s="4"/>
      <c r="R34" s="4"/>
      <c r="S34" s="95" t="str">
        <f t="array" ref="S34">vlookup(C34,{DraftTracker!F:F,DraftTracker!E:E},2,0)</f>
        <v>#N/A</v>
      </c>
      <c r="T34" s="95" t="str">
        <f>VLOOKUP(S34,P5G5!A:B,2,0)</f>
        <v>#N/A</v>
      </c>
      <c r="U34" s="54" t="str">
        <f>IFERROR(__xludf.DUMMYFUNCTION("iferror(if(not(iserror(find(""FINAL"",G34))),max(arrayformula(value(REGEXEXTRACT(F34,""^""&amp;C34&amp;"" ([\d]+)|[^a-zA-Z] ""&amp;C34&amp;"" ([\d]+)""))))=max(value(REGEXEXTRACT(F34,"" ([\d]+)"")),value(REGEXEXTRACT(F34,""([\d]+)$""))),""""))"),"")</f>
        <v/>
      </c>
    </row>
    <row r="35">
      <c r="A35" s="21">
        <v>107.0</v>
      </c>
      <c r="B35" s="24" t="s">
        <v>60</v>
      </c>
      <c r="C35" s="25" t="s">
        <v>137</v>
      </c>
      <c r="D35" s="97">
        <v>11.0</v>
      </c>
      <c r="E35" s="29">
        <v>1.0</v>
      </c>
      <c r="F35" s="98" t="s">
        <v>65</v>
      </c>
      <c r="G35" s="61">
        <v>45262.666666666664</v>
      </c>
      <c r="H35" s="99" t="s">
        <v>35</v>
      </c>
      <c r="I35" s="100"/>
      <c r="J35" s="64">
        <v>4.5</v>
      </c>
      <c r="K35" s="65">
        <v>6.5</v>
      </c>
      <c r="L35" s="65">
        <v>-220.0</v>
      </c>
      <c r="M35" s="63" t="s">
        <v>68</v>
      </c>
      <c r="N35" s="101">
        <v>429.0</v>
      </c>
      <c r="O35" s="31">
        <v>215.0</v>
      </c>
      <c r="P35" s="35">
        <v>1.0</v>
      </c>
      <c r="Q35" s="35" t="b">
        <v>0</v>
      </c>
      <c r="R35" s="35">
        <v>100.0</v>
      </c>
      <c r="S35" s="54" t="str">
        <f t="array" ref="S35">vlookup(C35,{DraftTracker!F:F,DraftTracker!E:E},2,0)</f>
        <v>SEC</v>
      </c>
      <c r="T35" s="54" t="str">
        <f>VLOOKUP(S35,P5G5!A:B,2,0)</f>
        <v>Power 5</v>
      </c>
      <c r="U35" s="56" t="str">
        <f>IFERROR(__xludf.DUMMYFUNCTION("iferror(if(not(iserror(find(""FINAL"",G35))),max(arrayformula(value(REGEXEXTRACT(F35,""^""&amp;C35&amp;"" ([\d]+)|[^a-zA-Z] ""&amp;C35&amp;"" ([\d]+)""))))=max(value(REGEXEXTRACT(F35,"" ([\d]+)"")),value(REGEXEXTRACT(F35,""([\d]+)$""))),""""))"),"")</f>
        <v/>
      </c>
    </row>
    <row r="36">
      <c r="A36" s="21">
        <v>107.0</v>
      </c>
      <c r="B36" s="81" t="s">
        <v>60</v>
      </c>
      <c r="C36" s="25" t="s">
        <v>139</v>
      </c>
      <c r="D36" s="58">
        <v>10.0</v>
      </c>
      <c r="E36" s="59">
        <v>2.0</v>
      </c>
      <c r="F36" s="60" t="s">
        <v>107</v>
      </c>
      <c r="G36" s="61">
        <v>45262.666666666664</v>
      </c>
      <c r="H36" s="62" t="s">
        <v>46</v>
      </c>
      <c r="I36" s="63"/>
      <c r="J36" s="64">
        <v>6</v>
      </c>
      <c r="K36" s="65">
        <v>3.5</v>
      </c>
      <c r="L36" s="65">
        <v>132</v>
      </c>
      <c r="M36" s="63" t="s">
        <v>151</v>
      </c>
      <c r="N36" s="65">
        <v>502.0</v>
      </c>
      <c r="O36" s="35">
        <v>212.0</v>
      </c>
      <c r="P36" s="35">
        <v>1.0</v>
      </c>
      <c r="Q36" s="35" t="b">
        <v>0</v>
      </c>
      <c r="R36" s="35">
        <v>100.0</v>
      </c>
      <c r="S36" s="54" t="str">
        <f t="array" ref="S36">vlookup(C36,{DraftTracker!F:F,DraftTracker!E:E},2,0)</f>
        <v>AAC</v>
      </c>
      <c r="T36" s="54" t="str">
        <f>VLOOKUP(S36,P5G5!A:B,2,0)</f>
        <v>Group of 5</v>
      </c>
      <c r="U36" s="56" t="str">
        <f>IFERROR(__xludf.DUMMYFUNCTION("iferror(if(not(iserror(find(""FINAL"",G36))),max(arrayformula(value(REGEXEXTRACT(F36,""^""&amp;C36&amp;"" ([\d]+)|[^a-zA-Z] ""&amp;C36&amp;"" ([\d]+)""))))=max(value(REGEXEXTRACT(F36,"" ([\d]+)"")),value(REGEXEXTRACT(F36,""([\d]+)$""))),""""))"),"")</f>
        <v/>
      </c>
    </row>
    <row r="37">
      <c r="A37" s="21">
        <v>107.0</v>
      </c>
      <c r="B37" s="81" t="s">
        <v>60</v>
      </c>
      <c r="C37" s="25" t="s">
        <v>164</v>
      </c>
      <c r="D37" s="58">
        <v>10.0</v>
      </c>
      <c r="E37" s="59">
        <v>2.0</v>
      </c>
      <c r="F37" s="82" t="s">
        <v>108</v>
      </c>
      <c r="G37" s="61">
        <v>45262.833333333336</v>
      </c>
      <c r="H37" s="62" t="s">
        <v>125</v>
      </c>
      <c r="I37" s="63" t="s">
        <v>82</v>
      </c>
      <c r="J37" s="64">
        <v>6.5</v>
      </c>
      <c r="K37" s="65">
        <v>2.5</v>
      </c>
      <c r="L37" s="65">
        <v>118</v>
      </c>
      <c r="M37" s="63" t="s">
        <v>151</v>
      </c>
      <c r="N37" s="65">
        <v>396.0</v>
      </c>
      <c r="O37" s="35">
        <v>240.0</v>
      </c>
      <c r="P37" s="35">
        <v>1.0</v>
      </c>
      <c r="Q37" s="35" t="b">
        <v>1</v>
      </c>
      <c r="R37" s="35">
        <v>100.0</v>
      </c>
      <c r="S37" s="54" t="str">
        <f t="array" ref="S37">vlookup(C37,{DraftTracker!F:F,DraftTracker!E:E},2,0)</f>
        <v>ACC</v>
      </c>
      <c r="T37" s="54" t="str">
        <f>VLOOKUP(S37,P5G5!A:B,2,0)</f>
        <v>Power 5</v>
      </c>
      <c r="U37" s="56" t="str">
        <f>IFERROR(__xludf.DUMMYFUNCTION("iferror(if(not(iserror(find(""FINAL"",G37))),max(arrayformula(value(REGEXEXTRACT(F37,""^""&amp;C37&amp;"" ([\d]+)|[^a-zA-Z] ""&amp;C37&amp;"" ([\d]+)""))))=max(value(REGEXEXTRACT(F37,"" ([\d]+)"")),value(REGEXEXTRACT(F37,""([\d]+)$""))),""""))"),"")</f>
        <v/>
      </c>
    </row>
    <row r="38">
      <c r="A38" s="21">
        <v>107.0</v>
      </c>
      <c r="B38" s="81" t="s">
        <v>60</v>
      </c>
      <c r="C38" s="25" t="s">
        <v>173</v>
      </c>
      <c r="D38" s="58">
        <v>5.0</v>
      </c>
      <c r="E38" s="59">
        <v>8.0</v>
      </c>
      <c r="F38" s="82"/>
      <c r="G38" s="35"/>
      <c r="H38" s="35"/>
      <c r="I38" s="63"/>
      <c r="J38" s="64"/>
      <c r="K38" s="65"/>
      <c r="L38" s="65"/>
      <c r="M38" s="63"/>
      <c r="N38" s="65">
        <v>278.0</v>
      </c>
      <c r="O38" s="35">
        <v>419.0</v>
      </c>
      <c r="P38" s="35">
        <v>3.0</v>
      </c>
      <c r="Q38" s="35" t="b">
        <v>1</v>
      </c>
      <c r="R38" s="35">
        <v>100.0</v>
      </c>
      <c r="S38" s="54" t="str">
        <f t="array" ref="S38">vlookup(C38,{DraftTracker!F:F,DraftTracker!E:E},2,0)</f>
        <v>MWC</v>
      </c>
      <c r="T38" s="54" t="str">
        <f>VLOOKUP(S38,P5G5!A:B,2,0)</f>
        <v>Group of 5</v>
      </c>
      <c r="U38" s="56" t="str">
        <f>IFERROR(__xludf.DUMMYFUNCTION("iferror(if(not(iserror(find(""FINAL"",G38))),max(arrayformula(value(REGEXEXTRACT(F38,""^""&amp;C38&amp;"" ([\d]+)|[^a-zA-Z] ""&amp;C38&amp;"" ([\d]+)""))))=max(value(REGEXEXTRACT(F38,"" ([\d]+)"")),value(REGEXEXTRACT(F38,""([\d]+)$""))),""""))"),"")</f>
        <v/>
      </c>
    </row>
    <row r="39">
      <c r="A39" s="21">
        <v>107.0</v>
      </c>
      <c r="B39" s="81" t="s">
        <v>60</v>
      </c>
      <c r="C39" s="25" t="s">
        <v>174</v>
      </c>
      <c r="D39" s="58">
        <v>3.0</v>
      </c>
      <c r="E39" s="59">
        <v>9.0</v>
      </c>
      <c r="F39" s="82"/>
      <c r="G39" s="35"/>
      <c r="H39" s="35"/>
      <c r="I39" s="63"/>
      <c r="J39" s="64"/>
      <c r="K39" s="65"/>
      <c r="L39" s="65"/>
      <c r="M39" s="63"/>
      <c r="N39" s="65">
        <v>213.0</v>
      </c>
      <c r="O39" s="35">
        <v>382.0</v>
      </c>
      <c r="P39" s="35">
        <v>3.0</v>
      </c>
      <c r="Q39" s="35" t="b">
        <v>1</v>
      </c>
      <c r="R39" s="35">
        <v>100.0</v>
      </c>
      <c r="S39" s="54" t="str">
        <f t="array" ref="S39">vlookup(C39,{DraftTracker!F:F,DraftTracker!E:E},2,0)</f>
        <v>Pac12</v>
      </c>
      <c r="T39" s="54" t="str">
        <f>VLOOKUP(S39,P5G5!A:B,2,0)</f>
        <v>Power 5</v>
      </c>
      <c r="U39" s="56" t="str">
        <f>IFERROR(__xludf.DUMMYFUNCTION("iferror(if(not(iserror(find(""FINAL"",G39))),max(arrayformula(value(REGEXEXTRACT(F39,""^""&amp;C39&amp;"" ([\d]+)|[^a-zA-Z] ""&amp;C39&amp;"" ([\d]+)""))))=max(value(REGEXEXTRACT(F39,"" ([\d]+)"")),value(REGEXEXTRACT(F39,""([\d]+)$""))),""""))"),"")</f>
        <v/>
      </c>
    </row>
    <row r="40">
      <c r="A40" s="21">
        <v>107.0</v>
      </c>
      <c r="B40" s="81" t="s">
        <v>60</v>
      </c>
      <c r="C40" s="25" t="s">
        <v>175</v>
      </c>
      <c r="D40" s="58">
        <v>6.0</v>
      </c>
      <c r="E40" s="59">
        <v>6.0</v>
      </c>
      <c r="F40" s="35"/>
      <c r="G40" s="35"/>
      <c r="H40" s="35"/>
      <c r="I40" s="63"/>
      <c r="J40" s="64"/>
      <c r="K40" s="65"/>
      <c r="L40" s="65"/>
      <c r="M40" s="63"/>
      <c r="N40" s="65">
        <v>387.0</v>
      </c>
      <c r="O40" s="35">
        <v>338.0</v>
      </c>
      <c r="P40" s="35">
        <v>3.0</v>
      </c>
      <c r="Q40" s="35" t="b">
        <v>1</v>
      </c>
      <c r="R40" s="35">
        <v>100.0</v>
      </c>
      <c r="S40" s="54" t="str">
        <f t="array" ref="S40">vlookup(C40,{DraftTracker!F:F,DraftTracker!E:E},2,0)</f>
        <v>Sun Belt</v>
      </c>
      <c r="T40" s="54" t="str">
        <f>VLOOKUP(S40,P5G5!A:B,2,0)</f>
        <v>Group of 5</v>
      </c>
      <c r="U40" s="56" t="str">
        <f>IFERROR(__xludf.DUMMYFUNCTION("iferror(if(not(iserror(find(""FINAL"",G40))),max(arrayformula(value(REGEXEXTRACT(F40,""^""&amp;C40&amp;"" ([\d]+)|[^a-zA-Z] ""&amp;C40&amp;"" ([\d]+)""))))=max(value(REGEXEXTRACT(F40,"" ([\d]+)"")),value(REGEXEXTRACT(F40,""([\d]+)$""))),""""))"),"")</f>
        <v/>
      </c>
    </row>
    <row r="41">
      <c r="A41" s="21">
        <v>107.0</v>
      </c>
      <c r="B41" s="81" t="s">
        <v>60</v>
      </c>
      <c r="C41" s="25" t="s">
        <v>176</v>
      </c>
      <c r="D41" s="58">
        <v>3.0</v>
      </c>
      <c r="E41" s="59">
        <v>9.0</v>
      </c>
      <c r="F41" s="82"/>
      <c r="G41" s="35"/>
      <c r="H41" s="35"/>
      <c r="I41" s="63"/>
      <c r="J41" s="64"/>
      <c r="K41" s="65"/>
      <c r="L41" s="65"/>
      <c r="M41" s="63"/>
      <c r="N41" s="65">
        <v>278.0</v>
      </c>
      <c r="O41" s="35">
        <v>454.0</v>
      </c>
      <c r="P41" s="35">
        <v>3.0</v>
      </c>
      <c r="Q41" s="35" t="b">
        <v>1</v>
      </c>
      <c r="R41" s="35">
        <v>100.0</v>
      </c>
      <c r="S41" s="54" t="str">
        <f t="array" ref="S41">vlookup(C41,{DraftTracker!F:F,DraftTracker!E:E},2,0)</f>
        <v>CUSA</v>
      </c>
      <c r="T41" s="54" t="str">
        <f>VLOOKUP(S41,P5G5!A:B,2,0)</f>
        <v>Group of 5</v>
      </c>
      <c r="U41" s="56" t="str">
        <f>IFERROR(__xludf.DUMMYFUNCTION("iferror(if(not(iserror(find(""FINAL"",G41))),max(arrayformula(value(REGEXEXTRACT(F41,""^""&amp;C41&amp;"" ([\d]+)|[^a-zA-Z] ""&amp;C41&amp;"" ([\d]+)""))))=max(value(REGEXEXTRACT(F41,"" ([\d]+)"")),value(REGEXEXTRACT(F41,""([\d]+)$""))),""""))"),"")</f>
        <v/>
      </c>
    </row>
    <row r="42">
      <c r="A42" s="21">
        <v>107.0</v>
      </c>
      <c r="B42" s="81" t="s">
        <v>60</v>
      </c>
      <c r="C42" s="25" t="s">
        <v>177</v>
      </c>
      <c r="D42" s="58">
        <v>4.0</v>
      </c>
      <c r="E42" s="59">
        <v>8.0</v>
      </c>
      <c r="F42" s="82"/>
      <c r="G42" s="35"/>
      <c r="H42" s="35"/>
      <c r="I42" s="63"/>
      <c r="J42" s="64"/>
      <c r="K42" s="65"/>
      <c r="L42" s="65"/>
      <c r="M42" s="63"/>
      <c r="N42" s="65">
        <v>219.0</v>
      </c>
      <c r="O42" s="35">
        <v>293.0</v>
      </c>
      <c r="P42" s="35">
        <v>3.0</v>
      </c>
      <c r="Q42" s="35" t="b">
        <v>1</v>
      </c>
      <c r="R42" s="35">
        <v>100.0</v>
      </c>
      <c r="S42" s="54" t="str">
        <f t="array" ref="S42">vlookup(C42,{DraftTracker!F:F,DraftTracker!E:E},2,0)</f>
        <v>MAC</v>
      </c>
      <c r="T42" s="54" t="str">
        <f>VLOOKUP(S42,P5G5!A:B,2,0)</f>
        <v>Group of 5</v>
      </c>
      <c r="U42" s="56" t="str">
        <f>IFERROR(__xludf.DUMMYFUNCTION("iferror(if(not(iserror(find(""FINAL"",G42))),max(arrayformula(value(REGEXEXTRACT(F42,""^""&amp;C42&amp;"" ([\d]+)|[^a-zA-Z] ""&amp;C42&amp;"" ([\d]+)""))))=max(value(REGEXEXTRACT(F42,"" ([\d]+)"")),value(REGEXEXTRACT(F42,""([\d]+)$""))),""""))"),"")</f>
        <v/>
      </c>
    </row>
    <row r="43">
      <c r="A43" s="21">
        <v>107.0</v>
      </c>
      <c r="B43" s="81" t="s">
        <v>60</v>
      </c>
      <c r="C43" s="25" t="s">
        <v>178</v>
      </c>
      <c r="D43" s="58">
        <v>4.0</v>
      </c>
      <c r="E43" s="59">
        <v>8.0</v>
      </c>
      <c r="F43" s="82"/>
      <c r="G43" s="35"/>
      <c r="H43" s="35"/>
      <c r="I43" s="63"/>
      <c r="J43" s="64"/>
      <c r="K43" s="65"/>
      <c r="L43" s="65"/>
      <c r="M43" s="63"/>
      <c r="N43" s="65">
        <v>191.0</v>
      </c>
      <c r="O43" s="35">
        <v>340.0</v>
      </c>
      <c r="P43" s="35">
        <v>3.0</v>
      </c>
      <c r="Q43" s="35" t="b">
        <v>1</v>
      </c>
      <c r="R43" s="35">
        <v>100.0</v>
      </c>
      <c r="S43" s="54" t="str">
        <f t="array" ref="S43">vlookup(C43,{DraftTracker!F:F,DraftTracker!E:E},2,0)</f>
        <v>Big Ten</v>
      </c>
      <c r="T43" s="54" t="str">
        <f>VLOOKUP(S43,P5G5!A:B,2,0)</f>
        <v>Power 5</v>
      </c>
      <c r="U43" s="56" t="str">
        <f>IFERROR(__xludf.DUMMYFUNCTION("iferror(if(not(iserror(find(""FINAL"",G43))),max(arrayformula(value(REGEXEXTRACT(F43,""^""&amp;C43&amp;"" ([\d]+)|[^a-zA-Z] ""&amp;C43&amp;"" ([\d]+)""))))=max(value(REGEXEXTRACT(F43,"" ([\d]+)"")),value(REGEXEXTRACT(F43,""([\d]+)$""))),""""))"),"")</f>
        <v/>
      </c>
    </row>
    <row r="44">
      <c r="A44" s="21">
        <v>107.0</v>
      </c>
      <c r="B44" s="81" t="s">
        <v>60</v>
      </c>
      <c r="C44" s="25" t="s">
        <v>179</v>
      </c>
      <c r="D44" s="58">
        <v>10.0</v>
      </c>
      <c r="E44" s="59">
        <v>2.0</v>
      </c>
      <c r="F44" s="82"/>
      <c r="G44" s="35"/>
      <c r="H44" s="35"/>
      <c r="I44" s="63"/>
      <c r="J44" s="64"/>
      <c r="K44" s="65"/>
      <c r="L44" s="65"/>
      <c r="M44" s="63"/>
      <c r="N44" s="65">
        <v>518.0</v>
      </c>
      <c r="O44" s="35">
        <v>267.0</v>
      </c>
      <c r="P44" s="35">
        <v>3.0</v>
      </c>
      <c r="Q44" s="35" t="b">
        <v>1</v>
      </c>
      <c r="R44" s="35">
        <v>100.0</v>
      </c>
      <c r="S44" s="54" t="str">
        <f t="array" ref="S44">vlookup(C44,{DraftTracker!F:F,DraftTracker!E:E},2,0)</f>
        <v>Big 12</v>
      </c>
      <c r="T44" s="54" t="str">
        <f>VLOOKUP(S44,P5G5!A:B,2,0)</f>
        <v>Power 5</v>
      </c>
      <c r="U44" s="56" t="str">
        <f>IFERROR(__xludf.DUMMYFUNCTION("iferror(if(not(iserror(find(""FINAL"",G44))),max(arrayformula(value(REGEXEXTRACT(F44,""^""&amp;C44&amp;"" ([\d]+)|[^a-zA-Z] ""&amp;C44&amp;"" ([\d]+)""))))=max(value(REGEXEXTRACT(F44,"" ([\d]+)"")),value(REGEXEXTRACT(F44,""([\d]+)$""))),""""))"),"")</f>
        <v/>
      </c>
    </row>
    <row r="45">
      <c r="A45" s="1">
        <v>108.0</v>
      </c>
      <c r="B45" s="1"/>
      <c r="C45" s="4"/>
      <c r="D45" s="4"/>
      <c r="E45" s="7"/>
      <c r="F45" s="9"/>
      <c r="G45" s="4"/>
      <c r="H45" s="4"/>
      <c r="I45" s="7"/>
      <c r="J45" s="9"/>
      <c r="K45" s="4"/>
      <c r="L45" s="4"/>
      <c r="M45" s="7"/>
      <c r="N45" s="4"/>
      <c r="O45" s="4"/>
      <c r="P45" s="4"/>
      <c r="Q45" s="4"/>
      <c r="R45" s="4"/>
      <c r="S45" s="95" t="str">
        <f t="array" ref="S45">vlookup(C45,{DraftTracker!F:F,DraftTracker!E:E},2,0)</f>
        <v>#N/A</v>
      </c>
      <c r="T45" s="95" t="str">
        <f>VLOOKUP(S45,P5G5!A:B,2,0)</f>
        <v>#N/A</v>
      </c>
      <c r="U45" s="54" t="str">
        <f>IFERROR(__xludf.DUMMYFUNCTION("iferror(if(not(iserror(find(""FINAL"",G45))),max(arrayformula(value(REGEXEXTRACT(F45,""^""&amp;C45&amp;"" ([\d]+)|[^a-zA-Z] ""&amp;C45&amp;"" ([\d]+)""))))=max(value(REGEXEXTRACT(F45,"" ([\d]+)"")),value(REGEXEXTRACT(F45,""([\d]+)$""))),""""))"),"")</f>
        <v/>
      </c>
    </row>
    <row r="46">
      <c r="A46" s="21">
        <v>109.0</v>
      </c>
      <c r="B46" s="24" t="s">
        <v>46</v>
      </c>
      <c r="C46" s="25" t="s">
        <v>180</v>
      </c>
      <c r="D46" s="97">
        <v>12.0</v>
      </c>
      <c r="E46" s="29">
        <v>0.0</v>
      </c>
      <c r="F46" s="98" t="s">
        <v>43</v>
      </c>
      <c r="G46" s="83">
        <v>45261.833333333336</v>
      </c>
      <c r="H46" s="99" t="s">
        <v>35</v>
      </c>
      <c r="I46" s="100" t="s">
        <v>82</v>
      </c>
      <c r="J46" s="64">
        <v>7.5</v>
      </c>
      <c r="K46" s="65">
        <v>9.5</v>
      </c>
      <c r="L46" s="65">
        <v>-345.0</v>
      </c>
      <c r="M46" s="63" t="s">
        <v>47</v>
      </c>
      <c r="N46" s="101">
        <v>456.0</v>
      </c>
      <c r="O46" s="31">
        <v>276.0</v>
      </c>
      <c r="P46" s="35">
        <v>1.0</v>
      </c>
      <c r="Q46" s="35" t="b">
        <v>1</v>
      </c>
      <c r="R46" s="35">
        <v>100.0</v>
      </c>
      <c r="S46" s="54" t="str">
        <f t="array" ref="S46">vlookup(C46,{DraftTracker!F:F,DraftTracker!E:E},2,0)</f>
        <v>Pac12</v>
      </c>
      <c r="T46" s="54" t="str">
        <f>VLOOKUP(S46,P5G5!A:B,2,0)</f>
        <v>Power 5</v>
      </c>
      <c r="U46" s="56" t="str">
        <f>IFERROR(__xludf.DUMMYFUNCTION("iferror(if(not(iserror(find(""FINAL"",G46))),max(arrayformula(value(REGEXEXTRACT(F46,""^""&amp;C46&amp;"" ([\d]+)|[^a-zA-Z] ""&amp;C46&amp;"" ([\d]+)""))))=max(value(REGEXEXTRACT(F46,"" ([\d]+)"")),value(REGEXEXTRACT(F46,""([\d]+)$""))),""""))"),"")</f>
        <v/>
      </c>
    </row>
    <row r="47">
      <c r="A47" s="21">
        <v>109.0</v>
      </c>
      <c r="B47" s="81" t="s">
        <v>46</v>
      </c>
      <c r="C47" s="25" t="s">
        <v>181</v>
      </c>
      <c r="D47" s="58">
        <v>10.0</v>
      </c>
      <c r="E47" s="59">
        <v>2.0</v>
      </c>
      <c r="F47" s="60" t="s">
        <v>72</v>
      </c>
      <c r="G47" s="61">
        <v>45262.666666666664</v>
      </c>
      <c r="H47" s="62" t="s">
        <v>35</v>
      </c>
      <c r="I47" s="63" t="s">
        <v>76</v>
      </c>
      <c r="J47" s="64">
        <v>-6.0</v>
      </c>
      <c r="K47" s="65">
        <v>-5.5</v>
      </c>
      <c r="L47" s="65">
        <v>198</v>
      </c>
      <c r="M47" s="63" t="s">
        <v>73</v>
      </c>
      <c r="N47" s="65">
        <v>356.0</v>
      </c>
      <c r="O47" s="35">
        <v>200.0</v>
      </c>
      <c r="P47" s="35">
        <v>1.0</v>
      </c>
      <c r="Q47" s="35" t="b">
        <v>1</v>
      </c>
      <c r="R47" s="35">
        <v>100.0</v>
      </c>
      <c r="S47" s="54" t="str">
        <f t="array" ref="S47">vlookup(C47,{DraftTracker!F:F,DraftTracker!E:E},2,0)</f>
        <v>Sun Belt</v>
      </c>
      <c r="T47" s="54" t="str">
        <f>VLOOKUP(S47,P5G5!A:B,2,0)</f>
        <v>Group of 5</v>
      </c>
      <c r="U47" s="56" t="str">
        <f>IFERROR(__xludf.DUMMYFUNCTION("iferror(if(not(iserror(find(""FINAL"",G47))),max(arrayformula(value(REGEXEXTRACT(F47,""^""&amp;C47&amp;"" ([\d]+)|[^a-zA-Z] ""&amp;C47&amp;"" ([\d]+)""))))=max(value(REGEXEXTRACT(F47,"" ([\d]+)"")),value(REGEXEXTRACT(F47,""([\d]+)$""))),""""))"),"")</f>
        <v/>
      </c>
    </row>
    <row r="48">
      <c r="A48" s="21">
        <v>109.0</v>
      </c>
      <c r="B48" s="81" t="s">
        <v>46</v>
      </c>
      <c r="C48" s="25" t="s">
        <v>182</v>
      </c>
      <c r="D48" s="58">
        <v>11.0</v>
      </c>
      <c r="E48" s="59">
        <v>1.0</v>
      </c>
      <c r="F48" s="82" t="s">
        <v>107</v>
      </c>
      <c r="G48" s="83">
        <v>45262.666666666664</v>
      </c>
      <c r="H48" s="62" t="s">
        <v>60</v>
      </c>
      <c r="I48" s="63" t="s">
        <v>82</v>
      </c>
      <c r="J48" s="64">
        <v>-6.0</v>
      </c>
      <c r="K48" s="65">
        <v>-3.5</v>
      </c>
      <c r="L48" s="65">
        <v>132</v>
      </c>
      <c r="M48" s="63" t="s">
        <v>151</v>
      </c>
      <c r="N48" s="65">
        <v>335.0</v>
      </c>
      <c r="O48" s="35">
        <v>220.0</v>
      </c>
      <c r="P48" s="35">
        <v>1.0</v>
      </c>
      <c r="Q48" s="35" t="b">
        <v>1</v>
      </c>
      <c r="R48" s="35">
        <v>100.0</v>
      </c>
      <c r="S48" s="54" t="str">
        <f t="array" ref="S48">vlookup(C48,{DraftTracker!F:F,DraftTracker!E:E},2,0)</f>
        <v>AAC</v>
      </c>
      <c r="T48" s="54" t="str">
        <f>VLOOKUP(S48,P5G5!A:B,2,0)</f>
        <v>Group of 5</v>
      </c>
      <c r="U48" s="56" t="str">
        <f>IFERROR(__xludf.DUMMYFUNCTION("iferror(if(not(iserror(find(""FINAL"",G48))),max(arrayformula(value(REGEXEXTRACT(F48,""^""&amp;C48&amp;"" ([\d]+)|[^a-zA-Z] ""&amp;C48&amp;"" ([\d]+)""))))=max(value(REGEXEXTRACT(F48,"" ([\d]+)"")),value(REGEXEXTRACT(F48,""([\d]+)$""))),""""))"),"")</f>
        <v/>
      </c>
    </row>
    <row r="49">
      <c r="A49" s="21">
        <v>109.0</v>
      </c>
      <c r="B49" s="81" t="s">
        <v>46</v>
      </c>
      <c r="C49" s="25" t="s">
        <v>183</v>
      </c>
      <c r="D49" s="58">
        <v>8.0</v>
      </c>
      <c r="E49" s="59">
        <v>4.0</v>
      </c>
      <c r="F49" s="82"/>
      <c r="G49" s="35"/>
      <c r="H49" s="35"/>
      <c r="I49" s="63"/>
      <c r="J49" s="64"/>
      <c r="K49" s="65"/>
      <c r="L49" s="65"/>
      <c r="M49" s="63"/>
      <c r="N49" s="65">
        <v>313.0</v>
      </c>
      <c r="O49" s="35">
        <v>275.0</v>
      </c>
      <c r="P49" s="35">
        <v>3.0</v>
      </c>
      <c r="Q49" s="35" t="b">
        <v>1</v>
      </c>
      <c r="R49" s="35">
        <v>100.0</v>
      </c>
      <c r="S49" s="54" t="str">
        <f t="array" ref="S49">vlookup(C49,{DraftTracker!F:F,DraftTracker!E:E},2,0)</f>
        <v>MWC</v>
      </c>
      <c r="T49" s="54" t="str">
        <f>VLOOKUP(S49,P5G5!A:B,2,0)</f>
        <v>Group of 5</v>
      </c>
      <c r="U49" s="56" t="str">
        <f>IFERROR(__xludf.DUMMYFUNCTION("iferror(if(not(iserror(find(""FINAL"",G49))),max(arrayformula(value(REGEXEXTRACT(F49,""^""&amp;C49&amp;"" ([\d]+)|[^a-zA-Z] ""&amp;C49&amp;"" ([\d]+)""))))=max(value(REGEXEXTRACT(F49,"" ([\d]+)"")),value(REGEXEXTRACT(F49,""([\d]+)$""))),""""))"),"")</f>
        <v/>
      </c>
    </row>
    <row r="50">
      <c r="A50" s="21">
        <v>109.0</v>
      </c>
      <c r="B50" s="81" t="s">
        <v>46</v>
      </c>
      <c r="C50" s="25" t="s">
        <v>184</v>
      </c>
      <c r="D50" s="58">
        <v>5.0</v>
      </c>
      <c r="E50" s="59">
        <v>7.0</v>
      </c>
      <c r="F50" s="82"/>
      <c r="G50" s="35"/>
      <c r="H50" s="35"/>
      <c r="I50" s="63"/>
      <c r="J50" s="64"/>
      <c r="K50" s="65"/>
      <c r="L50" s="65"/>
      <c r="M50" s="63"/>
      <c r="N50" s="65">
        <v>312.0</v>
      </c>
      <c r="O50" s="35">
        <v>316.0</v>
      </c>
      <c r="P50" s="35">
        <v>3.0</v>
      </c>
      <c r="Q50" s="35" t="b">
        <v>1</v>
      </c>
      <c r="R50" s="35">
        <v>100.0</v>
      </c>
      <c r="S50" s="54" t="str">
        <f t="array" ref="S50">vlookup(C50,{DraftTracker!F:F,DraftTracker!E:E},2,0)</f>
        <v>SEC</v>
      </c>
      <c r="T50" s="54" t="str">
        <f>VLOOKUP(S50,P5G5!A:B,2,0)</f>
        <v>Power 5</v>
      </c>
      <c r="U50" s="56" t="str">
        <f>IFERROR(__xludf.DUMMYFUNCTION("iferror(if(not(iserror(find(""FINAL"",G50))),max(arrayformula(value(REGEXEXTRACT(F50,""^""&amp;C50&amp;"" ([\d]+)|[^a-zA-Z] ""&amp;C50&amp;"" ([\d]+)""))))=max(value(REGEXEXTRACT(F50,"" ([\d]+)"")),value(REGEXEXTRACT(F50,""([\d]+)$""))),""""))"),"")</f>
        <v/>
      </c>
    </row>
    <row r="51">
      <c r="A51" s="21">
        <v>109.0</v>
      </c>
      <c r="B51" s="81" t="s">
        <v>46</v>
      </c>
      <c r="C51" s="25" t="s">
        <v>185</v>
      </c>
      <c r="D51" s="58">
        <v>6.0</v>
      </c>
      <c r="E51" s="59">
        <v>6.0</v>
      </c>
      <c r="F51" s="82"/>
      <c r="G51" s="35"/>
      <c r="H51" s="35"/>
      <c r="I51" s="63"/>
      <c r="J51" s="64"/>
      <c r="K51" s="65"/>
      <c r="L51" s="65"/>
      <c r="M51" s="63"/>
      <c r="N51" s="65">
        <v>271.0</v>
      </c>
      <c r="O51" s="35">
        <v>252.0</v>
      </c>
      <c r="P51" s="35">
        <v>3.0</v>
      </c>
      <c r="Q51" s="35" t="b">
        <v>1</v>
      </c>
      <c r="R51" s="35">
        <v>100.0</v>
      </c>
      <c r="S51" s="54" t="str">
        <f t="array" ref="S51">vlookup(C51,{DraftTracker!F:F,DraftTracker!E:E},2,0)</f>
        <v>CUSA</v>
      </c>
      <c r="T51" s="54" t="str">
        <f>VLOOKUP(S51,P5G5!A:B,2,0)</f>
        <v>Group of 5</v>
      </c>
      <c r="U51" s="56" t="str">
        <f>IFERROR(__xludf.DUMMYFUNCTION("iferror(if(not(iserror(find(""FINAL"",G51))),max(arrayformula(value(REGEXEXTRACT(F51,""^""&amp;C51&amp;"" ([\d]+)|[^a-zA-Z] ""&amp;C51&amp;"" ([\d]+)""))))=max(value(REGEXEXTRACT(F51,"" ([\d]+)"")),value(REGEXEXTRACT(F51,""([\d]+)$""))),""""))"),"")</f>
        <v/>
      </c>
    </row>
    <row r="52">
      <c r="A52" s="21">
        <v>109.0</v>
      </c>
      <c r="B52" s="81" t="s">
        <v>46</v>
      </c>
      <c r="C52" s="25" t="s">
        <v>186</v>
      </c>
      <c r="D52" s="58">
        <v>5.0</v>
      </c>
      <c r="E52" s="59">
        <v>7.0</v>
      </c>
      <c r="F52" s="82"/>
      <c r="G52" s="35"/>
      <c r="H52" s="35"/>
      <c r="I52" s="63"/>
      <c r="J52" s="64"/>
      <c r="K52" s="65"/>
      <c r="L52" s="65"/>
      <c r="M52" s="63"/>
      <c r="N52" s="65">
        <v>294.0</v>
      </c>
      <c r="O52" s="35">
        <v>353.0</v>
      </c>
      <c r="P52" s="35">
        <v>3.0</v>
      </c>
      <c r="Q52" s="35" t="b">
        <v>1</v>
      </c>
      <c r="R52" s="35">
        <v>100.0</v>
      </c>
      <c r="S52" s="54" t="str">
        <f t="array" ref="S52">vlookup(C52,{DraftTracker!F:F,DraftTracker!E:E},2,0)</f>
        <v>Big Ten</v>
      </c>
      <c r="T52" s="54" t="str">
        <f>VLOOKUP(S52,P5G5!A:B,2,0)</f>
        <v>Power 5</v>
      </c>
      <c r="U52" s="56" t="str">
        <f>IFERROR(__xludf.DUMMYFUNCTION("iferror(if(not(iserror(find(""FINAL"",G52))),max(arrayformula(value(REGEXEXTRACT(F52,""^""&amp;C52&amp;"" ([\d]+)|[^a-zA-Z] ""&amp;C52&amp;"" ([\d]+)""))))=max(value(REGEXEXTRACT(F52,"" ([\d]+)"")),value(REGEXEXTRACT(F52,""([\d]+)$""))),""""))"),"")</f>
        <v/>
      </c>
    </row>
    <row r="53">
      <c r="A53" s="21">
        <v>109.0</v>
      </c>
      <c r="B53" s="81" t="s">
        <v>46</v>
      </c>
      <c r="C53" s="25" t="s">
        <v>187</v>
      </c>
      <c r="D53" s="58">
        <v>7.0</v>
      </c>
      <c r="E53" s="59">
        <v>5.0</v>
      </c>
      <c r="F53" s="82"/>
      <c r="G53" s="35"/>
      <c r="H53" s="35"/>
      <c r="I53" s="63"/>
      <c r="J53" s="64"/>
      <c r="K53" s="65"/>
      <c r="L53" s="65"/>
      <c r="M53" s="63"/>
      <c r="N53" s="65">
        <v>333.0</v>
      </c>
      <c r="O53" s="35">
        <v>237.0</v>
      </c>
      <c r="P53" s="35">
        <v>3.0</v>
      </c>
      <c r="Q53" s="35" t="b">
        <v>1</v>
      </c>
      <c r="R53" s="35">
        <v>100.0</v>
      </c>
      <c r="S53" s="54" t="str">
        <f t="array" ref="S53">vlookup(C53,{DraftTracker!F:F,DraftTracker!E:E},2,0)</f>
        <v>ACC</v>
      </c>
      <c r="T53" s="54" t="str">
        <f>VLOOKUP(S53,P5G5!A:B,2,0)</f>
        <v>Power 5</v>
      </c>
      <c r="U53" s="56" t="str">
        <f>IFERROR(__xludf.DUMMYFUNCTION("iferror(if(not(iserror(find(""FINAL"",G53))),max(arrayformula(value(REGEXEXTRACT(F53,""^""&amp;C53&amp;"" ([\d]+)|[^a-zA-Z] ""&amp;C53&amp;"" ([\d]+)""))))=max(value(REGEXEXTRACT(F53,"" ([\d]+)"")),value(REGEXEXTRACT(F53,""([\d]+)$""))),""""))"),"")</f>
        <v/>
      </c>
    </row>
    <row r="54">
      <c r="A54" s="21">
        <v>109.0</v>
      </c>
      <c r="B54" s="81" t="s">
        <v>46</v>
      </c>
      <c r="C54" s="25" t="s">
        <v>188</v>
      </c>
      <c r="D54" s="58">
        <v>6.0</v>
      </c>
      <c r="E54" s="59">
        <v>6.0</v>
      </c>
      <c r="F54" s="82"/>
      <c r="G54" s="35"/>
      <c r="H54" s="35"/>
      <c r="I54" s="63"/>
      <c r="J54" s="64"/>
      <c r="K54" s="65"/>
      <c r="L54" s="65"/>
      <c r="M54" s="63"/>
      <c r="N54" s="65">
        <v>322.0</v>
      </c>
      <c r="O54" s="35">
        <v>324.0</v>
      </c>
      <c r="P54" s="35">
        <v>3.0</v>
      </c>
      <c r="Q54" s="35" t="b">
        <v>1</v>
      </c>
      <c r="R54" s="35">
        <v>100.0</v>
      </c>
      <c r="S54" s="54" t="str">
        <f t="array" ref="S54">vlookup(C54,{DraftTracker!F:F,DraftTracker!E:E},2,0)</f>
        <v>Big 12</v>
      </c>
      <c r="T54" s="54" t="str">
        <f>VLOOKUP(S54,P5G5!A:B,2,0)</f>
        <v>Power 5</v>
      </c>
      <c r="U54" s="56" t="str">
        <f>IFERROR(__xludf.DUMMYFUNCTION("iferror(if(not(iserror(find(""FINAL"",G54))),max(arrayformula(value(REGEXEXTRACT(F54,""^""&amp;C54&amp;"" ([\d]+)|[^a-zA-Z] ""&amp;C54&amp;"" ([\d]+)""))))=max(value(REGEXEXTRACT(F54,"" ([\d]+)"")),value(REGEXEXTRACT(F54,""([\d]+)$""))),""""))"),"")</f>
        <v/>
      </c>
    </row>
    <row r="55">
      <c r="A55" s="21">
        <v>109.0</v>
      </c>
      <c r="B55" s="81" t="s">
        <v>46</v>
      </c>
      <c r="C55" s="25" t="s">
        <v>189</v>
      </c>
      <c r="D55" s="58">
        <v>2.0</v>
      </c>
      <c r="E55" s="59">
        <v>10.0</v>
      </c>
      <c r="F55" s="82"/>
      <c r="G55" s="35"/>
      <c r="H55" s="35"/>
      <c r="I55" s="63"/>
      <c r="J55" s="64"/>
      <c r="K55" s="65"/>
      <c r="L55" s="65"/>
      <c r="M55" s="63"/>
      <c r="N55" s="65">
        <v>195.0</v>
      </c>
      <c r="O55" s="35">
        <v>336.0</v>
      </c>
      <c r="P55" s="35">
        <v>3.0</v>
      </c>
      <c r="Q55" s="35" t="b">
        <v>1</v>
      </c>
      <c r="R55" s="35">
        <v>100.0</v>
      </c>
      <c r="S55" s="54" t="str">
        <f t="array" ref="S55">vlookup(C55,{DraftTracker!F:F,DraftTracker!E:E},2,0)</f>
        <v>MAC</v>
      </c>
      <c r="T55" s="54" t="str">
        <f>VLOOKUP(S55,P5G5!A:B,2,0)</f>
        <v>Group of 5</v>
      </c>
      <c r="U55" s="56" t="str">
        <f>IFERROR(__xludf.DUMMYFUNCTION("iferror(if(not(iserror(find(""FINAL"",G55))),max(arrayformula(value(REGEXEXTRACT(F55,""^""&amp;C55&amp;"" ([\d]+)|[^a-zA-Z] ""&amp;C55&amp;"" ([\d]+)""))))=max(value(REGEXEXTRACT(F55,"" ([\d]+)"")),value(REGEXEXTRACT(F55,""([\d]+)$""))),""""))"),"")</f>
        <v/>
      </c>
    </row>
    <row r="56">
      <c r="A56" s="1">
        <v>110.0</v>
      </c>
      <c r="B56" s="1"/>
      <c r="C56" s="4"/>
      <c r="D56" s="4"/>
      <c r="E56" s="7"/>
      <c r="F56" s="9"/>
      <c r="G56" s="4"/>
      <c r="H56" s="4"/>
      <c r="I56" s="7"/>
      <c r="J56" s="9"/>
      <c r="K56" s="4"/>
      <c r="L56" s="4"/>
      <c r="M56" s="7"/>
      <c r="N56" s="4"/>
      <c r="O56" s="4"/>
      <c r="P56" s="4"/>
      <c r="Q56" s="4"/>
      <c r="R56" s="4"/>
      <c r="S56" s="95" t="str">
        <f t="array" ref="S56">vlookup(C56,{DraftTracker!F:F,DraftTracker!E:E},2,0)</f>
        <v>#N/A</v>
      </c>
      <c r="T56" s="95" t="str">
        <f>VLOOKUP(S56,P5G5!A:B,2,0)</f>
        <v>#N/A</v>
      </c>
      <c r="U56" s="54" t="str">
        <f>IFERROR(__xludf.DUMMYFUNCTION("iferror(if(not(iserror(find(""FINAL"",G56))),max(arrayformula(value(REGEXEXTRACT(F56,""^""&amp;C56&amp;"" ([\d]+)|[^a-zA-Z] ""&amp;C56&amp;"" ([\d]+)""))))=max(value(REGEXEXTRACT(F56,"" ([\d]+)"")),value(REGEXEXTRACT(F56,""([\d]+)$""))),""""))"),"")</f>
        <v/>
      </c>
    </row>
    <row r="57">
      <c r="A57" s="21">
        <v>111.0</v>
      </c>
      <c r="B57" s="24" t="s">
        <v>70</v>
      </c>
      <c r="C57" s="25" t="s">
        <v>190</v>
      </c>
      <c r="D57" s="97">
        <v>4.0</v>
      </c>
      <c r="E57" s="29">
        <v>8.0</v>
      </c>
      <c r="F57" s="98"/>
      <c r="G57" s="62"/>
      <c r="H57" s="99"/>
      <c r="I57" s="100"/>
      <c r="J57" s="64"/>
      <c r="K57" s="65"/>
      <c r="L57" s="65"/>
      <c r="M57" s="63"/>
      <c r="N57" s="101">
        <v>246.0</v>
      </c>
      <c r="O57" s="31">
        <v>321.0</v>
      </c>
      <c r="P57" s="35">
        <v>3.0</v>
      </c>
      <c r="Q57" s="35" t="b">
        <v>1</v>
      </c>
      <c r="R57" s="35">
        <v>100.0</v>
      </c>
      <c r="S57" s="54" t="str">
        <f t="array" ref="S57">vlookup(C57,{DraftTracker!F:F,DraftTracker!E:E},2,0)</f>
        <v>MWC</v>
      </c>
      <c r="T57" s="54" t="str">
        <f>VLOOKUP(S57,P5G5!A:B,2,0)</f>
        <v>Group of 5</v>
      </c>
      <c r="U57" s="56" t="str">
        <f>IFERROR(__xludf.DUMMYFUNCTION("iferror(if(not(iserror(find(""FINAL"",G57))),max(arrayformula(value(REGEXEXTRACT(F57,""^""&amp;C57&amp;"" ([\d]+)|[^a-zA-Z] ""&amp;C57&amp;"" ([\d]+)""))))=max(value(REGEXEXTRACT(F57,"" ([\d]+)"")),value(REGEXEXTRACT(F57,""([\d]+)$""))),""""))"),"")</f>
        <v/>
      </c>
    </row>
    <row r="58">
      <c r="A58" s="21">
        <v>111.0</v>
      </c>
      <c r="B58" s="81" t="s">
        <v>70</v>
      </c>
      <c r="C58" s="25" t="s">
        <v>191</v>
      </c>
      <c r="D58" s="58">
        <v>8.0</v>
      </c>
      <c r="E58" s="59">
        <v>4.0</v>
      </c>
      <c r="F58" s="60"/>
      <c r="G58" s="35"/>
      <c r="H58" s="62"/>
      <c r="I58" s="63"/>
      <c r="J58" s="64"/>
      <c r="K58" s="65"/>
      <c r="L58" s="65"/>
      <c r="M58" s="63"/>
      <c r="N58" s="65">
        <v>350.0</v>
      </c>
      <c r="O58" s="35">
        <v>239.0</v>
      </c>
      <c r="P58" s="35">
        <v>3.0</v>
      </c>
      <c r="Q58" s="35" t="b">
        <v>1</v>
      </c>
      <c r="R58" s="35">
        <v>100.0</v>
      </c>
      <c r="S58" s="54" t="str">
        <f t="array" ref="S58">vlookup(C58,{DraftTracker!F:F,DraftTracker!E:E},2,0)</f>
        <v>ACC</v>
      </c>
      <c r="T58" s="54" t="str">
        <f>VLOOKUP(S58,P5G5!A:B,2,0)</f>
        <v>Power 5</v>
      </c>
      <c r="U58" s="56" t="str">
        <f>IFERROR(__xludf.DUMMYFUNCTION("iferror(if(not(iserror(find(""FINAL"",G58))),max(arrayformula(value(REGEXEXTRACT(F58,""^""&amp;C58&amp;"" ([\d]+)|[^a-zA-Z] ""&amp;C58&amp;"" ([\d]+)""))))=max(value(REGEXEXTRACT(F58,"" ([\d]+)"")),value(REGEXEXTRACT(F58,""([\d]+)$""))),""""))"),"")</f>
        <v/>
      </c>
    </row>
    <row r="59">
      <c r="A59" s="21">
        <v>111.0</v>
      </c>
      <c r="B59" s="81" t="s">
        <v>70</v>
      </c>
      <c r="C59" s="25" t="s">
        <v>192</v>
      </c>
      <c r="D59" s="58">
        <v>8.0</v>
      </c>
      <c r="E59" s="59">
        <v>4.0</v>
      </c>
      <c r="F59" s="82"/>
      <c r="G59" s="62"/>
      <c r="H59" s="62"/>
      <c r="I59" s="63"/>
      <c r="J59" s="64"/>
      <c r="K59" s="65"/>
      <c r="L59" s="65"/>
      <c r="M59" s="63"/>
      <c r="N59" s="65">
        <v>403.0</v>
      </c>
      <c r="O59" s="35">
        <v>309.0</v>
      </c>
      <c r="P59" s="35">
        <v>3.0</v>
      </c>
      <c r="Q59" s="35" t="b">
        <v>1</v>
      </c>
      <c r="R59" s="35">
        <v>100.0</v>
      </c>
      <c r="S59" s="54" t="str">
        <f t="array" ref="S59">vlookup(C59,{DraftTracker!F:F,DraftTracker!E:E},2,0)</f>
        <v>Big 12</v>
      </c>
      <c r="T59" s="54" t="str">
        <f>VLOOKUP(S59,P5G5!A:B,2,0)</f>
        <v>Power 5</v>
      </c>
      <c r="U59" s="56" t="str">
        <f>IFERROR(__xludf.DUMMYFUNCTION("iferror(if(not(iserror(find(""FINAL"",G59))),max(arrayformula(value(REGEXEXTRACT(F59,""^""&amp;C59&amp;"" ([\d]+)|[^a-zA-Z] ""&amp;C59&amp;"" ([\d]+)""))))=max(value(REGEXEXTRACT(F59,"" ([\d]+)"")),value(REGEXEXTRACT(F59,""([\d]+)$""))),""""))"),"")</f>
        <v/>
      </c>
    </row>
    <row r="60">
      <c r="A60" s="21">
        <v>111.0</v>
      </c>
      <c r="B60" s="81" t="s">
        <v>70</v>
      </c>
      <c r="C60" s="25" t="s">
        <v>193</v>
      </c>
      <c r="D60" s="58">
        <v>3.0</v>
      </c>
      <c r="E60" s="59">
        <v>9.0</v>
      </c>
      <c r="F60" s="82"/>
      <c r="G60" s="35"/>
      <c r="H60" s="35"/>
      <c r="I60" s="63"/>
      <c r="J60" s="64"/>
      <c r="K60" s="65"/>
      <c r="L60" s="65"/>
      <c r="M60" s="63"/>
      <c r="N60" s="65">
        <v>247.0</v>
      </c>
      <c r="O60" s="35">
        <v>452.0</v>
      </c>
      <c r="P60" s="35">
        <v>3.0</v>
      </c>
      <c r="Q60" s="35" t="b">
        <v>1</v>
      </c>
      <c r="R60" s="35">
        <v>100.0</v>
      </c>
      <c r="S60" s="54" t="str">
        <f t="array" ref="S60">vlookup(C60,{DraftTracker!F:F,DraftTracker!E:E},2,0)</f>
        <v>Pac12</v>
      </c>
      <c r="T60" s="54" t="str">
        <f>VLOOKUP(S60,P5G5!A:B,2,0)</f>
        <v>Power 5</v>
      </c>
      <c r="U60" s="56" t="str">
        <f>IFERROR(__xludf.DUMMYFUNCTION("iferror(if(not(iserror(find(""FINAL"",G60))),max(arrayformula(value(REGEXEXTRACT(F60,""^""&amp;C60&amp;"" ([\d]+)|[^a-zA-Z] ""&amp;C60&amp;"" ([\d]+)""))))=max(value(REGEXEXTRACT(F60,"" ([\d]+)"")),value(REGEXEXTRACT(F60,""([\d]+)$""))),""""))"),"")</f>
        <v/>
      </c>
    </row>
    <row r="61">
      <c r="A61" s="21">
        <v>111.0</v>
      </c>
      <c r="B61" s="81" t="s">
        <v>70</v>
      </c>
      <c r="C61" s="25" t="s">
        <v>194</v>
      </c>
      <c r="D61" s="58">
        <v>3.0</v>
      </c>
      <c r="E61" s="59">
        <v>9.0</v>
      </c>
      <c r="F61" s="82"/>
      <c r="G61" s="35"/>
      <c r="H61" s="35"/>
      <c r="I61" s="63"/>
      <c r="J61" s="64"/>
      <c r="K61" s="65"/>
      <c r="L61" s="65"/>
      <c r="M61" s="63"/>
      <c r="N61" s="65">
        <v>239.0</v>
      </c>
      <c r="O61" s="35">
        <v>342.0</v>
      </c>
      <c r="P61" s="35">
        <v>3.0</v>
      </c>
      <c r="Q61" s="35" t="b">
        <v>1</v>
      </c>
      <c r="R61" s="35">
        <v>100.0</v>
      </c>
      <c r="S61" s="54" t="str">
        <f t="array" ref="S61">vlookup(C61,{DraftTracker!F:F,DraftTracker!E:E},2,0)</f>
        <v>CUSA</v>
      </c>
      <c r="T61" s="54" t="str">
        <f>VLOOKUP(S61,P5G5!A:B,2,0)</f>
        <v>Group of 5</v>
      </c>
      <c r="U61" s="56" t="str">
        <f>IFERROR(__xludf.DUMMYFUNCTION("iferror(if(not(iserror(find(""FINAL"",G61))),max(arrayformula(value(REGEXEXTRACT(F61,""^""&amp;C61&amp;"" ([\d]+)|[^a-zA-Z] ""&amp;C61&amp;"" ([\d]+)""))))=max(value(REGEXEXTRACT(F61,"" ([\d]+)"")),value(REGEXEXTRACT(F61,""([\d]+)$""))),""""))"),"")</f>
        <v/>
      </c>
    </row>
    <row r="62">
      <c r="A62" s="21">
        <v>111.0</v>
      </c>
      <c r="B62" s="81" t="s">
        <v>70</v>
      </c>
      <c r="C62" s="25" t="s">
        <v>195</v>
      </c>
      <c r="D62" s="58">
        <v>3.0</v>
      </c>
      <c r="E62" s="59">
        <v>9.0</v>
      </c>
      <c r="F62" s="82"/>
      <c r="G62" s="35"/>
      <c r="H62" s="35"/>
      <c r="I62" s="63"/>
      <c r="J62" s="64"/>
      <c r="K62" s="65"/>
      <c r="L62" s="65"/>
      <c r="M62" s="63"/>
      <c r="N62" s="65">
        <v>266.0</v>
      </c>
      <c r="O62" s="35">
        <v>359.0</v>
      </c>
      <c r="P62" s="35">
        <v>3.0</v>
      </c>
      <c r="Q62" s="35" t="b">
        <v>1</v>
      </c>
      <c r="R62" s="35">
        <v>100.0</v>
      </c>
      <c r="S62" s="54" t="str">
        <f t="array" ref="S62">vlookup(C62,{DraftTracker!F:F,DraftTracker!E:E},2,0)</f>
        <v>Big Ten</v>
      </c>
      <c r="T62" s="54" t="str">
        <f>VLOOKUP(S62,P5G5!A:B,2,0)</f>
        <v>Power 5</v>
      </c>
      <c r="U62" s="56" t="str">
        <f>IFERROR(__xludf.DUMMYFUNCTION("iferror(if(not(iserror(find(""FINAL"",G62))),max(arrayformula(value(REGEXEXTRACT(F62,""^""&amp;C62&amp;"" ([\d]+)|[^a-zA-Z] ""&amp;C62&amp;"" ([\d]+)""))))=max(value(REGEXEXTRACT(F62,"" ([\d]+)"")),value(REGEXEXTRACT(F62,""([\d]+)$""))),""""))"),"")</f>
        <v/>
      </c>
    </row>
    <row r="63">
      <c r="A63" s="21">
        <v>111.0</v>
      </c>
      <c r="B63" s="81" t="s">
        <v>70</v>
      </c>
      <c r="C63" s="25" t="s">
        <v>196</v>
      </c>
      <c r="D63" s="58">
        <v>7.0</v>
      </c>
      <c r="E63" s="59">
        <v>5.0</v>
      </c>
      <c r="F63" s="82"/>
      <c r="G63" s="35"/>
      <c r="H63" s="35"/>
      <c r="I63" s="63"/>
      <c r="J63" s="64"/>
      <c r="K63" s="65"/>
      <c r="L63" s="65"/>
      <c r="M63" s="63"/>
      <c r="N63" s="65">
        <v>343.0</v>
      </c>
      <c r="O63" s="35">
        <v>298.0</v>
      </c>
      <c r="P63" s="35">
        <v>3.0</v>
      </c>
      <c r="Q63" s="35" t="b">
        <v>1</v>
      </c>
      <c r="R63" s="35">
        <v>100.0</v>
      </c>
      <c r="S63" s="54" t="str">
        <f t="array" ref="S63">vlookup(C63,{DraftTracker!F:F,DraftTracker!E:E},2,0)</f>
        <v>SEC</v>
      </c>
      <c r="T63" s="54" t="str">
        <f>VLOOKUP(S63,P5G5!A:B,2,0)</f>
        <v>Power 5</v>
      </c>
      <c r="U63" s="56" t="str">
        <f>IFERROR(__xludf.DUMMYFUNCTION("iferror(if(not(iserror(find(""FINAL"",G63))),max(arrayformula(value(REGEXEXTRACT(F63,""^""&amp;C63&amp;"" ([\d]+)|[^a-zA-Z] ""&amp;C63&amp;"" ([\d]+)""))))=max(value(REGEXEXTRACT(F63,"" ([\d]+)"")),value(REGEXEXTRACT(F63,""([\d]+)$""))),""""))"),"")</f>
        <v/>
      </c>
    </row>
    <row r="64">
      <c r="A64" s="21">
        <v>111.0</v>
      </c>
      <c r="B64" s="81" t="s">
        <v>70</v>
      </c>
      <c r="C64" s="25" t="s">
        <v>197</v>
      </c>
      <c r="D64" s="58">
        <v>3.0</v>
      </c>
      <c r="E64" s="59">
        <v>9.0</v>
      </c>
      <c r="F64" s="82"/>
      <c r="G64" s="35"/>
      <c r="H64" s="35"/>
      <c r="I64" s="63"/>
      <c r="J64" s="64"/>
      <c r="K64" s="65"/>
      <c r="L64" s="65"/>
      <c r="M64" s="63"/>
      <c r="N64" s="65">
        <v>278.0</v>
      </c>
      <c r="O64" s="35">
        <v>429.0</v>
      </c>
      <c r="P64" s="35">
        <v>3.0</v>
      </c>
      <c r="Q64" s="35" t="b">
        <v>1</v>
      </c>
      <c r="R64" s="35">
        <v>100.0</v>
      </c>
      <c r="S64" s="54" t="str">
        <f t="array" ref="S64">vlookup(C64,{DraftTracker!F:F,DraftTracker!E:E},2,0)</f>
        <v>Sun Belt</v>
      </c>
      <c r="T64" s="54" t="str">
        <f>VLOOKUP(S64,P5G5!A:B,2,0)</f>
        <v>Group of 5</v>
      </c>
      <c r="U64" s="56" t="str">
        <f>IFERROR(__xludf.DUMMYFUNCTION("iferror(if(not(iserror(find(""FINAL"",G64))),max(arrayformula(value(REGEXEXTRACT(F64,""^""&amp;C64&amp;"" ([\d]+)|[^a-zA-Z] ""&amp;C64&amp;"" ([\d]+)""))))=max(value(REGEXEXTRACT(F64,"" ([\d]+)"")),value(REGEXEXTRACT(F64,""([\d]+)$""))),""""))"),"")</f>
        <v/>
      </c>
    </row>
    <row r="65">
      <c r="A65" s="21">
        <v>111.0</v>
      </c>
      <c r="B65" s="81" t="s">
        <v>70</v>
      </c>
      <c r="C65" s="25" t="s">
        <v>198</v>
      </c>
      <c r="D65" s="58">
        <v>8.0</v>
      </c>
      <c r="E65" s="59">
        <v>4.0</v>
      </c>
      <c r="F65" s="82"/>
      <c r="G65" s="35"/>
      <c r="H65" s="35"/>
      <c r="I65" s="63"/>
      <c r="J65" s="64"/>
      <c r="K65" s="65"/>
      <c r="L65" s="65"/>
      <c r="M65" s="63"/>
      <c r="N65" s="65">
        <v>380.0</v>
      </c>
      <c r="O65" s="35">
        <v>296.0</v>
      </c>
      <c r="P65" s="35">
        <v>3.0</v>
      </c>
      <c r="Q65" s="35" t="b">
        <v>1</v>
      </c>
      <c r="R65" s="35">
        <v>100.0</v>
      </c>
      <c r="S65" s="54" t="str">
        <f t="array" ref="S65">vlookup(C65,{DraftTracker!F:F,DraftTracker!E:E},2,0)</f>
        <v>AAC</v>
      </c>
      <c r="T65" s="54" t="str">
        <f>VLOOKUP(S65,P5G5!A:B,2,0)</f>
        <v>Group of 5</v>
      </c>
      <c r="U65" s="56" t="str">
        <f>IFERROR(__xludf.DUMMYFUNCTION("iferror(if(not(iserror(find(""FINAL"",G65))),max(arrayformula(value(REGEXEXTRACT(F65,""^""&amp;C65&amp;"" ([\d]+)|[^a-zA-Z] ""&amp;C65&amp;"" ([\d]+)""))))=max(value(REGEXEXTRACT(F65,"" ([\d]+)"")),value(REGEXEXTRACT(F65,""([\d]+)$""))),""""))"),"")</f>
        <v/>
      </c>
    </row>
    <row r="66">
      <c r="A66" s="21">
        <v>111.0</v>
      </c>
      <c r="B66" s="81" t="s">
        <v>70</v>
      </c>
      <c r="C66" s="25" t="s">
        <v>199</v>
      </c>
      <c r="D66" s="58">
        <v>3.0</v>
      </c>
      <c r="E66" s="59">
        <v>9.0</v>
      </c>
      <c r="F66" s="82"/>
      <c r="G66" s="35"/>
      <c r="H66" s="35"/>
      <c r="I66" s="63"/>
      <c r="J66" s="64"/>
      <c r="K66" s="65"/>
      <c r="L66" s="65"/>
      <c r="M66" s="63"/>
      <c r="N66" s="65">
        <v>251.0</v>
      </c>
      <c r="O66" s="35">
        <v>329.0</v>
      </c>
      <c r="P66" s="35">
        <v>3.0</v>
      </c>
      <c r="Q66" s="35" t="b">
        <v>1</v>
      </c>
      <c r="R66" s="35">
        <v>100.0</v>
      </c>
      <c r="S66" s="54" t="str">
        <f t="array" ref="S66">vlookup(C66,{DraftTracker!F:F,DraftTracker!E:E},2,0)</f>
        <v>MAC</v>
      </c>
      <c r="T66" s="54" t="str">
        <f>VLOOKUP(S66,P5G5!A:B,2,0)</f>
        <v>Group of 5</v>
      </c>
      <c r="U66" s="56" t="str">
        <f>IFERROR(__xludf.DUMMYFUNCTION("iferror(if(not(iserror(find(""FINAL"",G66))),max(arrayformula(value(REGEXEXTRACT(F66,""^""&amp;C66&amp;"" ([\d]+)|[^a-zA-Z] ""&amp;C66&amp;"" ([\d]+)""))))=max(value(REGEXEXTRACT(F66,"" ([\d]+)"")),value(REGEXEXTRACT(F66,""([\d]+)$""))),""""))"),"")</f>
        <v/>
      </c>
    </row>
    <row r="67">
      <c r="A67" s="1">
        <v>112.0</v>
      </c>
      <c r="B67" s="1"/>
      <c r="C67" s="4"/>
      <c r="D67" s="4"/>
      <c r="E67" s="7"/>
      <c r="F67" s="9"/>
      <c r="G67" s="4"/>
      <c r="H67" s="4"/>
      <c r="I67" s="7"/>
      <c r="J67" s="9"/>
      <c r="K67" s="4"/>
      <c r="L67" s="4"/>
      <c r="M67" s="7"/>
      <c r="N67" s="4"/>
      <c r="O67" s="4"/>
      <c r="P67" s="4"/>
      <c r="Q67" s="4"/>
      <c r="R67" s="4"/>
      <c r="S67" s="95" t="str">
        <f t="array" ref="S67">vlookup(C67,{DraftTracker!F:F,DraftTracker!E:E},2,0)</f>
        <v>#N/A</v>
      </c>
      <c r="T67" s="95" t="str">
        <f>VLOOKUP(S67,P5G5!A:B,2,0)</f>
        <v>#N/A</v>
      </c>
      <c r="U67" s="54" t="str">
        <f>IFERROR(__xludf.DUMMYFUNCTION("iferror(if(not(iserror(find(""FINAL"",G67))),max(arrayformula(value(REGEXEXTRACT(F67,""^""&amp;C67&amp;"" ([\d]+)|[^a-zA-Z] ""&amp;C67&amp;"" ([\d]+)""))))=max(value(REGEXEXTRACT(F67,"" ([\d]+)"")),value(REGEXEXTRACT(F67,""([\d]+)$""))),""""))"),"")</f>
        <v/>
      </c>
    </row>
    <row r="68">
      <c r="A68" s="21">
        <v>113.0</v>
      </c>
      <c r="B68" s="24" t="s">
        <v>57</v>
      </c>
      <c r="C68" s="25" t="s">
        <v>201</v>
      </c>
      <c r="D68" s="97">
        <v>10.0</v>
      </c>
      <c r="E68" s="29">
        <v>3.0</v>
      </c>
      <c r="F68" s="98" t="s">
        <v>103</v>
      </c>
      <c r="G68" s="61">
        <v>45261.791666666664</v>
      </c>
      <c r="H68" s="99" t="s">
        <v>58</v>
      </c>
      <c r="I68" s="100"/>
      <c r="J68" s="64">
        <v>13.5</v>
      </c>
      <c r="K68" s="65">
        <v>10.5</v>
      </c>
      <c r="L68" s="65">
        <v>340</v>
      </c>
      <c r="M68" s="63" t="s">
        <v>104</v>
      </c>
      <c r="N68" s="101">
        <v>367.0</v>
      </c>
      <c r="O68" s="31">
        <v>256.0</v>
      </c>
      <c r="P68" s="35">
        <v>1.0</v>
      </c>
      <c r="Q68" s="35" t="b">
        <v>0</v>
      </c>
      <c r="R68" s="35">
        <v>100.0</v>
      </c>
      <c r="S68" s="54" t="str">
        <f t="array" ref="S68">vlookup(C68,{DraftTracker!F:F,DraftTracker!E:E},2,0)</f>
        <v>CUSA</v>
      </c>
      <c r="T68" s="54" t="str">
        <f>VLOOKUP(S68,P5G5!A:B,2,0)</f>
        <v>Group of 5</v>
      </c>
      <c r="U68" s="56" t="str">
        <f>IFERROR(__xludf.DUMMYFUNCTION("iferror(if(not(iserror(find(""FINAL"",G68))),max(arrayformula(value(REGEXEXTRACT(F68,""^""&amp;C68&amp;"" ([\d]+)|[^a-zA-Z] ""&amp;C68&amp;"" ([\d]+)""))))=max(value(REGEXEXTRACT(F68,"" ([\d]+)"")),value(REGEXEXTRACT(F68,""([\d]+)$""))),""""))"),"")</f>
        <v/>
      </c>
    </row>
    <row r="69">
      <c r="A69" s="21">
        <v>113.0</v>
      </c>
      <c r="B69" s="81" t="s">
        <v>57</v>
      </c>
      <c r="C69" s="25" t="s">
        <v>202</v>
      </c>
      <c r="D69" s="58">
        <v>9.0</v>
      </c>
      <c r="E69" s="59">
        <v>3.0</v>
      </c>
      <c r="F69" s="60" t="s">
        <v>110</v>
      </c>
      <c r="G69" s="61">
        <v>45262.625</v>
      </c>
      <c r="H69" s="62" t="s">
        <v>59</v>
      </c>
      <c r="I69" s="63" t="s">
        <v>92</v>
      </c>
      <c r="J69" s="64">
        <v>3.5</v>
      </c>
      <c r="K69" s="65">
        <v>2.5</v>
      </c>
      <c r="L69" s="65">
        <v>-137.0</v>
      </c>
      <c r="M69" s="63" t="s">
        <v>203</v>
      </c>
      <c r="N69" s="65">
        <v>426.0</v>
      </c>
      <c r="O69" s="35">
        <v>307.0</v>
      </c>
      <c r="P69" s="35">
        <v>1.0</v>
      </c>
      <c r="Q69" s="35" t="b">
        <v>1</v>
      </c>
      <c r="R69" s="35">
        <v>100.0</v>
      </c>
      <c r="S69" s="54" t="str">
        <f t="array" ref="S69">vlookup(C69,{DraftTracker!F:F,DraftTracker!E:E},2,0)</f>
        <v>MWC</v>
      </c>
      <c r="T69" s="54" t="str">
        <f>VLOOKUP(S69,P5G5!A:B,2,0)</f>
        <v>Group of 5</v>
      </c>
      <c r="U69" s="56" t="str">
        <f>IFERROR(__xludf.DUMMYFUNCTION("iferror(if(not(iserror(find(""FINAL"",G69))),max(arrayformula(value(REGEXEXTRACT(F69,""^""&amp;C69&amp;"" ([\d]+)|[^a-zA-Z] ""&amp;C69&amp;"" ([\d]+)""))))=max(value(REGEXEXTRACT(F69,"" ([\d]+)"")),value(REGEXEXTRACT(F69,""([\d]+)$""))),""""))"),"")</f>
        <v/>
      </c>
    </row>
    <row r="70">
      <c r="A70" s="21">
        <v>113.0</v>
      </c>
      <c r="B70" s="81" t="s">
        <v>57</v>
      </c>
      <c r="C70" s="25" t="s">
        <v>204</v>
      </c>
      <c r="D70" s="58">
        <v>7.0</v>
      </c>
      <c r="E70" s="59">
        <v>5.0</v>
      </c>
      <c r="F70" s="82"/>
      <c r="G70" s="35"/>
      <c r="H70" s="62"/>
      <c r="I70" s="63"/>
      <c r="J70" s="64"/>
      <c r="K70" s="65"/>
      <c r="L70" s="65"/>
      <c r="M70" s="63"/>
      <c r="N70" s="65">
        <v>502.0</v>
      </c>
      <c r="O70" s="35">
        <v>419.0</v>
      </c>
      <c r="P70" s="35">
        <v>3.0</v>
      </c>
      <c r="Q70" s="35" t="b">
        <v>1</v>
      </c>
      <c r="R70" s="35">
        <v>100.0</v>
      </c>
      <c r="S70" s="54" t="str">
        <f t="array" ref="S70">vlookup(C70,{DraftTracker!F:F,DraftTracker!E:E},2,0)</f>
        <v>Pac12</v>
      </c>
      <c r="T70" s="54" t="str">
        <f>VLOOKUP(S70,P5G5!A:B,2,0)</f>
        <v>Power 5</v>
      </c>
      <c r="U70" s="56" t="str">
        <f>IFERROR(__xludf.DUMMYFUNCTION("iferror(if(not(iserror(find(""FINAL"",G70))),max(arrayformula(value(REGEXEXTRACT(F70,""^""&amp;C70&amp;"" ([\d]+)|[^a-zA-Z] ""&amp;C70&amp;"" ([\d]+)""))))=max(value(REGEXEXTRACT(F70,"" ([\d]+)"")),value(REGEXEXTRACT(F70,""([\d]+)$""))),""""))"),"")</f>
        <v/>
      </c>
    </row>
    <row r="71">
      <c r="A71" s="21">
        <v>113.0</v>
      </c>
      <c r="B71" s="81" t="s">
        <v>57</v>
      </c>
      <c r="C71" s="25" t="s">
        <v>206</v>
      </c>
      <c r="D71" s="58">
        <v>7.0</v>
      </c>
      <c r="E71" s="59">
        <v>5.0</v>
      </c>
      <c r="F71" s="82"/>
      <c r="G71" s="35"/>
      <c r="H71" s="35"/>
      <c r="I71" s="63"/>
      <c r="J71" s="64"/>
      <c r="K71" s="65"/>
      <c r="L71" s="65"/>
      <c r="M71" s="63"/>
      <c r="N71" s="65">
        <v>336.0</v>
      </c>
      <c r="O71" s="35">
        <v>296.0</v>
      </c>
      <c r="P71" s="35">
        <v>3.0</v>
      </c>
      <c r="Q71" s="35" t="b">
        <v>1</v>
      </c>
      <c r="R71" s="35">
        <v>100.0</v>
      </c>
      <c r="S71" s="54" t="str">
        <f t="array" ref="S71">vlookup(C71,{DraftTracker!F:F,DraftTracker!E:E},2,0)</f>
        <v>Sun Belt</v>
      </c>
      <c r="T71" s="54" t="str">
        <f>VLOOKUP(S71,P5G5!A:B,2,0)</f>
        <v>Group of 5</v>
      </c>
      <c r="U71" s="56" t="str">
        <f>IFERROR(__xludf.DUMMYFUNCTION("iferror(if(not(iserror(find(""FINAL"",G71))),max(arrayformula(value(REGEXEXTRACT(F71,""^""&amp;C71&amp;"" ([\d]+)|[^a-zA-Z] ""&amp;C71&amp;"" ([\d]+)""))))=max(value(REGEXEXTRACT(F71,"" ([\d]+)"")),value(REGEXEXTRACT(F71,""([\d]+)$""))),""""))"),"")</f>
        <v/>
      </c>
    </row>
    <row r="72">
      <c r="A72" s="21">
        <v>113.0</v>
      </c>
      <c r="B72" s="81" t="s">
        <v>57</v>
      </c>
      <c r="C72" s="25" t="s">
        <v>207</v>
      </c>
      <c r="D72" s="58">
        <v>4.0</v>
      </c>
      <c r="E72" s="59">
        <v>8.0</v>
      </c>
      <c r="F72" s="82"/>
      <c r="G72" s="35"/>
      <c r="H72" s="35"/>
      <c r="I72" s="63"/>
      <c r="J72" s="64"/>
      <c r="K72" s="65"/>
      <c r="L72" s="65"/>
      <c r="M72" s="63"/>
      <c r="N72" s="65">
        <v>281.0</v>
      </c>
      <c r="O72" s="35">
        <v>406.0</v>
      </c>
      <c r="P72" s="35">
        <v>3.0</v>
      </c>
      <c r="Q72" s="35" t="b">
        <v>1</v>
      </c>
      <c r="R72" s="35">
        <v>100.0</v>
      </c>
      <c r="S72" s="54" t="str">
        <f t="array" ref="S72">vlookup(C72,{DraftTracker!F:F,DraftTracker!E:E},2,0)</f>
        <v>AAC</v>
      </c>
      <c r="T72" s="54" t="str">
        <f>VLOOKUP(S72,P5G5!A:B,2,0)</f>
        <v>Group of 5</v>
      </c>
      <c r="U72" s="56" t="str">
        <f>IFERROR(__xludf.DUMMYFUNCTION("iferror(if(not(iserror(find(""FINAL"",G72))),max(arrayformula(value(REGEXEXTRACT(F72,""^""&amp;C72&amp;"" ([\d]+)|[^a-zA-Z] ""&amp;C72&amp;"" ([\d]+)""))))=max(value(REGEXEXTRACT(F72,"" ([\d]+)"")),value(REGEXEXTRACT(F72,""([\d]+)$""))),""""))"),"")</f>
        <v/>
      </c>
    </row>
    <row r="73">
      <c r="A73" s="21">
        <v>113.0</v>
      </c>
      <c r="B73" s="81" t="s">
        <v>57</v>
      </c>
      <c r="C73" s="25" t="s">
        <v>208</v>
      </c>
      <c r="D73" s="58">
        <v>4.0</v>
      </c>
      <c r="E73" s="59">
        <v>8.0</v>
      </c>
      <c r="F73" s="82"/>
      <c r="G73" s="35"/>
      <c r="H73" s="35"/>
      <c r="I73" s="63"/>
      <c r="J73" s="64"/>
      <c r="K73" s="65"/>
      <c r="L73" s="65"/>
      <c r="M73" s="63"/>
      <c r="N73" s="65">
        <v>243.0</v>
      </c>
      <c r="O73" s="35">
        <v>326.0</v>
      </c>
      <c r="P73" s="35">
        <v>3.0</v>
      </c>
      <c r="Q73" s="35" t="b">
        <v>1</v>
      </c>
      <c r="R73" s="35">
        <v>100.0</v>
      </c>
      <c r="S73" s="54" t="str">
        <f t="array" ref="S73">vlookup(C73,{DraftTracker!F:F,DraftTracker!E:E},2,0)</f>
        <v>ACC</v>
      </c>
      <c r="T73" s="54" t="str">
        <f>VLOOKUP(S73,P5G5!A:B,2,0)</f>
        <v>Power 5</v>
      </c>
      <c r="U73" s="56" t="str">
        <f>IFERROR(__xludf.DUMMYFUNCTION("iferror(if(not(iserror(find(""FINAL"",G73))),max(arrayformula(value(REGEXEXTRACT(F73,""^""&amp;C73&amp;"" ([\d]+)|[^a-zA-Z] ""&amp;C73&amp;"" ([\d]+)""))))=max(value(REGEXEXTRACT(F73,"" ([\d]+)"")),value(REGEXEXTRACT(F73,""([\d]+)$""))),""""))"),"")</f>
        <v/>
      </c>
    </row>
    <row r="74">
      <c r="A74" s="21">
        <v>113.0</v>
      </c>
      <c r="B74" s="81" t="s">
        <v>57</v>
      </c>
      <c r="C74" s="25" t="s">
        <v>200</v>
      </c>
      <c r="D74" s="58">
        <v>11.0</v>
      </c>
      <c r="E74" s="59">
        <v>1.0</v>
      </c>
      <c r="F74" s="82"/>
      <c r="G74" s="35"/>
      <c r="H74" s="35"/>
      <c r="I74" s="63"/>
      <c r="J74" s="64"/>
      <c r="K74" s="65"/>
      <c r="L74" s="65"/>
      <c r="M74" s="63"/>
      <c r="N74" s="65">
        <v>394.0</v>
      </c>
      <c r="O74" s="35">
        <v>132.0</v>
      </c>
      <c r="P74" s="35">
        <v>3.0</v>
      </c>
      <c r="Q74" s="35" t="b">
        <v>1</v>
      </c>
      <c r="R74" s="35">
        <v>100.0</v>
      </c>
      <c r="S74" s="54" t="str">
        <f t="array" ref="S74">vlookup(C74,{DraftTracker!F:F,DraftTracker!E:E},2,0)</f>
        <v>Big Ten</v>
      </c>
      <c r="T74" s="54" t="str">
        <f>VLOOKUP(S74,P5G5!A:B,2,0)</f>
        <v>Power 5</v>
      </c>
      <c r="U74" s="56" t="str">
        <f>IFERROR(__xludf.DUMMYFUNCTION("iferror(if(not(iserror(find(""FINAL"",G74))),max(arrayformula(value(REGEXEXTRACT(F74,""^""&amp;C74&amp;"" ([\d]+)|[^a-zA-Z] ""&amp;C74&amp;"" ([\d]+)""))))=max(value(REGEXEXTRACT(F74,"" ([\d]+)"")),value(REGEXEXTRACT(F74,""([\d]+)$""))),""""))"),"")</f>
        <v/>
      </c>
    </row>
    <row r="75">
      <c r="A75" s="21">
        <v>113.0</v>
      </c>
      <c r="B75" s="81" t="s">
        <v>57</v>
      </c>
      <c r="C75" s="25" t="s">
        <v>210</v>
      </c>
      <c r="D75" s="58">
        <v>4.0</v>
      </c>
      <c r="E75" s="59">
        <v>8.0</v>
      </c>
      <c r="F75" s="82"/>
      <c r="G75" s="35"/>
      <c r="H75" s="35"/>
      <c r="I75" s="63"/>
      <c r="J75" s="64"/>
      <c r="K75" s="65"/>
      <c r="L75" s="65"/>
      <c r="M75" s="63"/>
      <c r="N75" s="65">
        <v>284.0</v>
      </c>
      <c r="O75" s="35">
        <v>378.0</v>
      </c>
      <c r="P75" s="35">
        <v>3.0</v>
      </c>
      <c r="Q75" s="35" t="b">
        <v>1</v>
      </c>
      <c r="R75" s="35">
        <v>100.0</v>
      </c>
      <c r="S75" s="54" t="str">
        <f t="array" ref="S75">vlookup(C75,{DraftTracker!F:F,DraftTracker!E:E},2,0)</f>
        <v>Big 12</v>
      </c>
      <c r="T75" s="54" t="str">
        <f>VLOOKUP(S75,P5G5!A:B,2,0)</f>
        <v>Power 5</v>
      </c>
      <c r="U75" s="56" t="str">
        <f>IFERROR(__xludf.DUMMYFUNCTION("iferror(if(not(iserror(find(""FINAL"",G75))),max(arrayformula(value(REGEXEXTRACT(F75,""^""&amp;C75&amp;"" ([\d]+)|[^a-zA-Z] ""&amp;C75&amp;"" ([\d]+)""))))=max(value(REGEXEXTRACT(F75,"" ([\d]+)"")),value(REGEXEXTRACT(F75,""([\d]+)$""))),""""))"),"")</f>
        <v/>
      </c>
    </row>
    <row r="76">
      <c r="A76" s="21">
        <v>113.0</v>
      </c>
      <c r="B76" s="81" t="s">
        <v>57</v>
      </c>
      <c r="C76" s="25" t="s">
        <v>213</v>
      </c>
      <c r="D76" s="58">
        <v>4.0</v>
      </c>
      <c r="E76" s="59">
        <v>8.0</v>
      </c>
      <c r="F76" s="82"/>
      <c r="G76" s="35"/>
      <c r="H76" s="35"/>
      <c r="I76" s="63"/>
      <c r="J76" s="64"/>
      <c r="K76" s="65"/>
      <c r="L76" s="65"/>
      <c r="M76" s="63"/>
      <c r="N76" s="65">
        <v>319.0</v>
      </c>
      <c r="O76" s="35">
        <v>335.0</v>
      </c>
      <c r="P76" s="35">
        <v>3.0</v>
      </c>
      <c r="Q76" s="35" t="b">
        <v>1</v>
      </c>
      <c r="R76" s="35">
        <v>100.0</v>
      </c>
      <c r="S76" s="54" t="str">
        <f t="array" ref="S76">vlookup(C76,{DraftTracker!F:F,DraftTracker!E:E},2,0)</f>
        <v>SEC</v>
      </c>
      <c r="T76" s="54" t="str">
        <f>VLOOKUP(S76,P5G5!A:B,2,0)</f>
        <v>Power 5</v>
      </c>
      <c r="U76" s="56" t="str">
        <f>IFERROR(__xludf.DUMMYFUNCTION("iferror(if(not(iserror(find(""FINAL"",G76))),max(arrayformula(value(REGEXEXTRACT(F76,""^""&amp;C76&amp;"" ([\d]+)|[^a-zA-Z] ""&amp;C76&amp;"" ([\d]+)""))))=max(value(REGEXEXTRACT(F76,"" ([\d]+)"")),value(REGEXEXTRACT(F76,""([\d]+)$""))),""""))"),"")</f>
        <v/>
      </c>
    </row>
    <row r="77">
      <c r="A77" s="21">
        <v>113.0</v>
      </c>
      <c r="B77" s="81" t="s">
        <v>57</v>
      </c>
      <c r="C77" s="25" t="s">
        <v>214</v>
      </c>
      <c r="D77" s="58">
        <v>9.0</v>
      </c>
      <c r="E77" s="59">
        <v>3.0</v>
      </c>
      <c r="F77" s="82"/>
      <c r="G77" s="35"/>
      <c r="H77" s="35"/>
      <c r="I77" s="63"/>
      <c r="J77" s="64"/>
      <c r="K77" s="65"/>
      <c r="L77" s="65"/>
      <c r="M77" s="63"/>
      <c r="N77" s="65">
        <v>275.0</v>
      </c>
      <c r="O77" s="35">
        <v>185.0</v>
      </c>
      <c r="P77" s="35">
        <v>3.0</v>
      </c>
      <c r="Q77" s="35" t="b">
        <v>1</v>
      </c>
      <c r="R77" s="35">
        <v>100.0</v>
      </c>
      <c r="S77" s="54" t="str">
        <f t="array" ref="S77">vlookup(C77,{DraftTracker!F:F,DraftTracker!E:E},2,0)</f>
        <v>MAC</v>
      </c>
      <c r="T77" s="54" t="str">
        <f>VLOOKUP(S77,P5G5!A:B,2,0)</f>
        <v>Group of 5</v>
      </c>
      <c r="U77" s="56" t="str">
        <f>IFERROR(__xludf.DUMMYFUNCTION("iferror(if(not(iserror(find(""FINAL"",G77))),max(arrayformula(value(REGEXEXTRACT(F77,""^""&amp;C77&amp;"" ([\d]+)|[^a-zA-Z] ""&amp;C77&amp;"" ([\d]+)""))))=max(value(REGEXEXTRACT(F77,"" ([\d]+)"")),value(REGEXEXTRACT(F77,""([\d]+)$""))),""""))"),"")</f>
        <v/>
      </c>
    </row>
    <row r="78">
      <c r="A78" s="1">
        <v>114.0</v>
      </c>
      <c r="B78" s="1"/>
      <c r="C78" s="4"/>
      <c r="D78" s="4"/>
      <c r="E78" s="7"/>
      <c r="F78" s="9"/>
      <c r="G78" s="4"/>
      <c r="H78" s="4"/>
      <c r="I78" s="7"/>
      <c r="J78" s="9"/>
      <c r="K78" s="4"/>
      <c r="L78" s="4"/>
      <c r="M78" s="7"/>
      <c r="N78" s="4"/>
      <c r="O78" s="4"/>
      <c r="P78" s="4"/>
      <c r="Q78" s="4"/>
      <c r="R78" s="4"/>
      <c r="S78" s="95" t="str">
        <f t="array" ref="S78">vlookup(C78,{DraftTracker!F:F,DraftTracker!E:E},2,0)</f>
        <v>#N/A</v>
      </c>
      <c r="T78" s="95" t="str">
        <f>VLOOKUP(S78,P5G5!A:B,2,0)</f>
        <v>#N/A</v>
      </c>
      <c r="U78" s="54" t="str">
        <f>IFERROR(__xludf.DUMMYFUNCTION("iferror(if(not(iserror(find(""FINAL"",G78))),max(arrayformula(value(REGEXEXTRACT(F78,""^""&amp;C78&amp;"" ([\d]+)|[^a-zA-Z] ""&amp;C78&amp;"" ([\d]+)""))))=max(value(REGEXEXTRACT(F78,"" ([\d]+)"")),value(REGEXEXTRACT(F78,""([\d]+)$""))),""""))"),"")</f>
        <v/>
      </c>
    </row>
    <row r="79">
      <c r="A79" s="21">
        <v>115.0</v>
      </c>
      <c r="B79" s="24" t="s">
        <v>67</v>
      </c>
      <c r="C79" s="25" t="s">
        <v>216</v>
      </c>
      <c r="D79" s="97">
        <v>8.0</v>
      </c>
      <c r="E79" s="29">
        <v>4.0</v>
      </c>
      <c r="F79" s="98"/>
      <c r="G79" s="62"/>
      <c r="H79" s="99"/>
      <c r="I79" s="100"/>
      <c r="J79" s="64"/>
      <c r="K79" s="65"/>
      <c r="L79" s="65"/>
      <c r="M79" s="63"/>
      <c r="N79" s="101">
        <v>439.0</v>
      </c>
      <c r="O79" s="31">
        <v>325.0</v>
      </c>
      <c r="P79" s="35">
        <v>3.0</v>
      </c>
      <c r="Q79" s="35" t="b">
        <v>1</v>
      </c>
      <c r="R79" s="35">
        <v>100.0</v>
      </c>
      <c r="S79" s="54" t="str">
        <f t="array" ref="S79">vlookup(C79,{DraftTracker!F:F,DraftTracker!E:E},2,0)</f>
        <v>ACC</v>
      </c>
      <c r="T79" s="54" t="str">
        <f>VLOOKUP(S79,P5G5!A:B,2,0)</f>
        <v>Power 5</v>
      </c>
      <c r="U79" s="56" t="str">
        <f>IFERROR(__xludf.DUMMYFUNCTION("iferror(if(not(iserror(find(""FINAL"",G79))),max(arrayformula(value(REGEXEXTRACT(F79,""^""&amp;C79&amp;"" ([\d]+)|[^a-zA-Z] ""&amp;C79&amp;"" ([\d]+)""))))=max(value(REGEXEXTRACT(F79,"" ([\d]+)"")),value(REGEXEXTRACT(F79,""([\d]+)$""))),""""))"),"")</f>
        <v/>
      </c>
    </row>
    <row r="80">
      <c r="A80" s="21">
        <v>115.0</v>
      </c>
      <c r="B80" s="81" t="s">
        <v>67</v>
      </c>
      <c r="C80" s="25" t="s">
        <v>205</v>
      </c>
      <c r="D80" s="58">
        <v>6.0</v>
      </c>
      <c r="E80" s="59">
        <v>6.0</v>
      </c>
      <c r="F80" s="60"/>
      <c r="G80" s="35"/>
      <c r="H80" s="62"/>
      <c r="I80" s="63"/>
      <c r="J80" s="64"/>
      <c r="K80" s="65"/>
      <c r="L80" s="65"/>
      <c r="M80" s="63"/>
      <c r="N80" s="65">
        <v>371.0</v>
      </c>
      <c r="O80" s="35">
        <v>263.0</v>
      </c>
      <c r="P80" s="35">
        <v>3.0</v>
      </c>
      <c r="Q80" s="35" t="b">
        <v>1</v>
      </c>
      <c r="R80" s="35">
        <v>100.0</v>
      </c>
      <c r="S80" s="54" t="str">
        <f t="array" ref="S80">vlookup(C80,{DraftTracker!F:F,DraftTracker!E:E},2,0)</f>
        <v>Sun Belt</v>
      </c>
      <c r="T80" s="54" t="str">
        <f>VLOOKUP(S80,P5G5!A:B,2,0)</f>
        <v>Group of 5</v>
      </c>
      <c r="U80" s="56" t="str">
        <f>IFERROR(__xludf.DUMMYFUNCTION("iferror(if(not(iserror(find(""FINAL"",G80))),max(arrayformula(value(REGEXEXTRACT(F80,""^""&amp;C80&amp;"" ([\d]+)|[^a-zA-Z] ""&amp;C80&amp;"" ([\d]+)""))))=max(value(REGEXEXTRACT(F80,"" ([\d]+)"")),value(REGEXEXTRACT(F80,""([\d]+)$""))),""""))"),"")</f>
        <v/>
      </c>
    </row>
    <row r="81">
      <c r="A81" s="21">
        <v>115.0</v>
      </c>
      <c r="B81" s="81" t="s">
        <v>67</v>
      </c>
      <c r="C81" s="25" t="s">
        <v>217</v>
      </c>
      <c r="D81" s="58">
        <v>9.0</v>
      </c>
      <c r="E81" s="59">
        <v>3.0</v>
      </c>
      <c r="F81" s="82"/>
      <c r="G81" s="62"/>
      <c r="H81" s="62"/>
      <c r="I81" s="63"/>
      <c r="J81" s="64"/>
      <c r="K81" s="65"/>
      <c r="L81" s="65"/>
      <c r="M81" s="63"/>
      <c r="N81" s="65">
        <v>412.0</v>
      </c>
      <c r="O81" s="35">
        <v>250.0</v>
      </c>
      <c r="P81" s="35">
        <v>3.0</v>
      </c>
      <c r="Q81" s="35" t="b">
        <v>1</v>
      </c>
      <c r="R81" s="35">
        <v>100.0</v>
      </c>
      <c r="S81" s="54" t="str">
        <f t="array" ref="S81">vlookup(C81,{DraftTracker!F:F,DraftTracker!E:E},2,0)</f>
        <v>Pac12</v>
      </c>
      <c r="T81" s="54" t="str">
        <f>VLOOKUP(S81,P5G5!A:B,2,0)</f>
        <v>Power 5</v>
      </c>
      <c r="U81" s="56" t="str">
        <f>IFERROR(__xludf.DUMMYFUNCTION("iferror(if(not(iserror(find(""FINAL"",G81))),max(arrayformula(value(REGEXEXTRACT(F81,""^""&amp;C81&amp;"" ([\d]+)|[^a-zA-Z] ""&amp;C81&amp;"" ([\d]+)""))))=max(value(REGEXEXTRACT(F81,"" ([\d]+)"")),value(REGEXEXTRACT(F81,""([\d]+)$""))),""""))"),"")</f>
        <v/>
      </c>
    </row>
    <row r="82">
      <c r="A82" s="21">
        <v>115.0</v>
      </c>
      <c r="B82" s="81" t="s">
        <v>67</v>
      </c>
      <c r="C82" s="25" t="s">
        <v>218</v>
      </c>
      <c r="D82" s="58">
        <v>2.0</v>
      </c>
      <c r="E82" s="59">
        <v>10.0</v>
      </c>
      <c r="F82" s="82"/>
      <c r="G82" s="35"/>
      <c r="H82" s="35"/>
      <c r="I82" s="63"/>
      <c r="J82" s="64"/>
      <c r="K82" s="65"/>
      <c r="L82" s="65"/>
      <c r="M82" s="63"/>
      <c r="N82" s="65">
        <v>208.0</v>
      </c>
      <c r="O82" s="35">
        <v>419.0</v>
      </c>
      <c r="P82" s="35">
        <v>3.0</v>
      </c>
      <c r="Q82" s="35" t="b">
        <v>1</v>
      </c>
      <c r="R82" s="35">
        <v>100.0</v>
      </c>
      <c r="S82" s="54" t="str">
        <f t="array" ref="S82">vlookup(C82,{DraftTracker!F:F,DraftTracker!E:E},2,0)</f>
        <v>MWC</v>
      </c>
      <c r="T82" s="54" t="str">
        <f>VLOOKUP(S82,P5G5!A:B,2,0)</f>
        <v>Group of 5</v>
      </c>
      <c r="U82" s="56" t="str">
        <f>IFERROR(__xludf.DUMMYFUNCTION("iferror(if(not(iserror(find(""FINAL"",G82))),max(arrayformula(value(REGEXEXTRACT(F82,""^""&amp;C82&amp;"" ([\d]+)|[^a-zA-Z] ""&amp;C82&amp;"" ([\d]+)""))))=max(value(REGEXEXTRACT(F82,"" ([\d]+)"")),value(REGEXEXTRACT(F82,""([\d]+)$""))),""""))"),"")</f>
        <v/>
      </c>
    </row>
    <row r="83">
      <c r="A83" s="21">
        <v>115.0</v>
      </c>
      <c r="B83" s="81" t="s">
        <v>67</v>
      </c>
      <c r="C83" s="25" t="s">
        <v>220</v>
      </c>
      <c r="D83" s="58">
        <v>4.0</v>
      </c>
      <c r="E83" s="59">
        <v>8.0</v>
      </c>
      <c r="F83" s="82"/>
      <c r="G83" s="35"/>
      <c r="H83" s="35"/>
      <c r="I83" s="63"/>
      <c r="J83" s="64"/>
      <c r="K83" s="65"/>
      <c r="L83" s="65"/>
      <c r="M83" s="63"/>
      <c r="N83" s="65">
        <v>241.0</v>
      </c>
      <c r="O83" s="35">
        <v>382.0</v>
      </c>
      <c r="P83" s="35">
        <v>3.0</v>
      </c>
      <c r="Q83" s="35" t="b">
        <v>1</v>
      </c>
      <c r="R83" s="35">
        <v>100.0</v>
      </c>
      <c r="S83" s="54" t="str">
        <f t="array" ref="S83">vlookup(C83,{DraftTracker!F:F,DraftTracker!E:E},2,0)</f>
        <v>CUSA</v>
      </c>
      <c r="T83" s="54" t="str">
        <f>VLOOKUP(S83,P5G5!A:B,2,0)</f>
        <v>Group of 5</v>
      </c>
      <c r="U83" s="56" t="str">
        <f>IFERROR(__xludf.DUMMYFUNCTION("iferror(if(not(iserror(find(""FINAL"",G83))),max(arrayformula(value(REGEXEXTRACT(F83,""^""&amp;C83&amp;"" ([\d]+)|[^a-zA-Z] ""&amp;C83&amp;"" ([\d]+)""))))=max(value(REGEXEXTRACT(F83,"" ([\d]+)"")),value(REGEXEXTRACT(F83,""([\d]+)$""))),""""))"),"")</f>
        <v/>
      </c>
    </row>
    <row r="84">
      <c r="A84" s="21">
        <v>115.0</v>
      </c>
      <c r="B84" s="81" t="s">
        <v>67</v>
      </c>
      <c r="C84" s="25" t="s">
        <v>221</v>
      </c>
      <c r="D84" s="58">
        <v>5.0</v>
      </c>
      <c r="E84" s="59">
        <v>7.0</v>
      </c>
      <c r="F84" s="82"/>
      <c r="G84" s="35"/>
      <c r="H84" s="35"/>
      <c r="I84" s="63"/>
      <c r="J84" s="64"/>
      <c r="K84" s="65"/>
      <c r="L84" s="65"/>
      <c r="M84" s="63"/>
      <c r="N84" s="65">
        <v>414.0</v>
      </c>
      <c r="O84" s="35">
        <v>445.0</v>
      </c>
      <c r="P84" s="35">
        <v>3.0</v>
      </c>
      <c r="Q84" s="35" t="b">
        <v>1</v>
      </c>
      <c r="R84" s="35">
        <v>100.0</v>
      </c>
      <c r="S84" s="54" t="str">
        <f t="array" ref="S84">vlookup(C84,{DraftTracker!F:F,DraftTracker!E:E},2,0)</f>
        <v>AAC</v>
      </c>
      <c r="T84" s="54" t="str">
        <f>VLOOKUP(S84,P5G5!A:B,2,0)</f>
        <v>Group of 5</v>
      </c>
      <c r="U84" s="56" t="str">
        <f>IFERROR(__xludf.DUMMYFUNCTION("iferror(if(not(iserror(find(""FINAL"",G84))),max(arrayformula(value(REGEXEXTRACT(F84,""^""&amp;C84&amp;"" ([\d]+)|[^a-zA-Z] ""&amp;C84&amp;"" ([\d]+)""))))=max(value(REGEXEXTRACT(F84,"" ([\d]+)"")),value(REGEXEXTRACT(F84,""([\d]+)$""))),""""))"),"")</f>
        <v/>
      </c>
    </row>
    <row r="85">
      <c r="A85" s="21">
        <v>115.0</v>
      </c>
      <c r="B85" s="81" t="s">
        <v>67</v>
      </c>
      <c r="C85" s="25" t="s">
        <v>222</v>
      </c>
      <c r="D85" s="58">
        <v>4.0</v>
      </c>
      <c r="E85" s="59">
        <v>8.0</v>
      </c>
      <c r="F85" s="82"/>
      <c r="G85" s="35"/>
      <c r="H85" s="35"/>
      <c r="I85" s="63"/>
      <c r="J85" s="64"/>
      <c r="K85" s="65"/>
      <c r="L85" s="65"/>
      <c r="M85" s="63"/>
      <c r="N85" s="65">
        <v>287.0</v>
      </c>
      <c r="O85" s="35">
        <v>365.0</v>
      </c>
      <c r="P85" s="35">
        <v>3.0</v>
      </c>
      <c r="Q85" s="35" t="b">
        <v>1</v>
      </c>
      <c r="R85" s="35">
        <v>100.0</v>
      </c>
      <c r="S85" s="54" t="str">
        <f t="array" ref="S85">vlookup(C85,{DraftTracker!F:F,DraftTracker!E:E},2,0)</f>
        <v>Big Ten</v>
      </c>
      <c r="T85" s="54" t="str">
        <f>VLOOKUP(S85,P5G5!A:B,2,0)</f>
        <v>Power 5</v>
      </c>
      <c r="U85" s="56" t="str">
        <f>IFERROR(__xludf.DUMMYFUNCTION("iferror(if(not(iserror(find(""FINAL"",G85))),max(arrayformula(value(REGEXEXTRACT(F85,""^""&amp;C85&amp;"" ([\d]+)|[^a-zA-Z] ""&amp;C85&amp;"" ([\d]+)""))))=max(value(REGEXEXTRACT(F85,"" ([\d]+)"")),value(REGEXEXTRACT(F85,""([\d]+)$""))),""""))"),"")</f>
        <v/>
      </c>
    </row>
    <row r="86">
      <c r="A86" s="21">
        <v>115.0</v>
      </c>
      <c r="B86" s="81" t="s">
        <v>67</v>
      </c>
      <c r="C86" s="25" t="s">
        <v>223</v>
      </c>
      <c r="D86" s="58">
        <v>5.0</v>
      </c>
      <c r="E86" s="59">
        <v>7.0</v>
      </c>
      <c r="F86" s="82"/>
      <c r="G86" s="35"/>
      <c r="H86" s="35"/>
      <c r="I86" s="63"/>
      <c r="J86" s="64"/>
      <c r="K86" s="65"/>
      <c r="L86" s="65"/>
      <c r="M86" s="63"/>
      <c r="N86" s="65">
        <v>376.0</v>
      </c>
      <c r="O86" s="35">
        <v>334.0</v>
      </c>
      <c r="P86" s="35">
        <v>3.0</v>
      </c>
      <c r="Q86" s="35" t="b">
        <v>1</v>
      </c>
      <c r="R86" s="35">
        <v>100.0</v>
      </c>
      <c r="S86" s="54" t="str">
        <f t="array" ref="S86">vlookup(C86,{DraftTracker!F:F,DraftTracker!E:E},2,0)</f>
        <v>Big 12</v>
      </c>
      <c r="T86" s="54" t="str">
        <f>VLOOKUP(S86,P5G5!A:B,2,0)</f>
        <v>Power 5</v>
      </c>
      <c r="U86" s="56" t="str">
        <f>IFERROR(__xludf.DUMMYFUNCTION("iferror(if(not(iserror(find(""FINAL"",G86))),max(arrayformula(value(REGEXEXTRACT(F86,""^""&amp;C86&amp;"" ([\d]+)|[^a-zA-Z] ""&amp;C86&amp;"" ([\d]+)""))))=max(value(REGEXEXTRACT(F86,"" ([\d]+)"")),value(REGEXEXTRACT(F86,""([\d]+)$""))),""""))"),"")</f>
        <v/>
      </c>
    </row>
    <row r="87">
      <c r="A87" s="21">
        <v>115.0</v>
      </c>
      <c r="B87" s="81" t="s">
        <v>67</v>
      </c>
      <c r="C87" s="25" t="s">
        <v>225</v>
      </c>
      <c r="D87" s="58">
        <v>10.0</v>
      </c>
      <c r="E87" s="59">
        <v>2.0</v>
      </c>
      <c r="F87" s="82"/>
      <c r="G87" s="35"/>
      <c r="H87" s="35"/>
      <c r="I87" s="63"/>
      <c r="J87" s="64"/>
      <c r="K87" s="65"/>
      <c r="L87" s="65"/>
      <c r="M87" s="63"/>
      <c r="N87" s="65">
        <v>418.0</v>
      </c>
      <c r="O87" s="35">
        <v>268.0</v>
      </c>
      <c r="P87" s="35">
        <v>3.0</v>
      </c>
      <c r="Q87" s="35" t="b">
        <v>1</v>
      </c>
      <c r="R87" s="35">
        <v>100.0</v>
      </c>
      <c r="S87" s="54" t="str">
        <f t="array" ref="S87">vlookup(C87,{DraftTracker!F:F,DraftTracker!E:E},2,0)</f>
        <v>SEC</v>
      </c>
      <c r="T87" s="54" t="str">
        <f>VLOOKUP(S87,P5G5!A:B,2,0)</f>
        <v>Power 5</v>
      </c>
      <c r="U87" s="56" t="str">
        <f>IFERROR(__xludf.DUMMYFUNCTION("iferror(if(not(iserror(find(""FINAL"",G87))),max(arrayformula(value(REGEXEXTRACT(F87,""^""&amp;C87&amp;"" ([\d]+)|[^a-zA-Z] ""&amp;C87&amp;"" ([\d]+)""))))=max(value(REGEXEXTRACT(F87,"" ([\d]+)"")),value(REGEXEXTRACT(F87,""([\d]+)$""))),""""))"),"")</f>
        <v/>
      </c>
    </row>
    <row r="88">
      <c r="A88" s="21">
        <v>115.0</v>
      </c>
      <c r="B88" s="81" t="s">
        <v>67</v>
      </c>
      <c r="C88" s="25" t="s">
        <v>226</v>
      </c>
      <c r="D88" s="58">
        <v>7.0</v>
      </c>
      <c r="E88" s="59">
        <v>5.0</v>
      </c>
      <c r="F88" s="82"/>
      <c r="G88" s="35"/>
      <c r="H88" s="35"/>
      <c r="I88" s="63"/>
      <c r="J88" s="64"/>
      <c r="K88" s="65"/>
      <c r="L88" s="65"/>
      <c r="M88" s="63"/>
      <c r="N88" s="65">
        <v>316.0</v>
      </c>
      <c r="O88" s="35">
        <v>282.0</v>
      </c>
      <c r="P88" s="35">
        <v>3.0</v>
      </c>
      <c r="Q88" s="35" t="b">
        <v>1</v>
      </c>
      <c r="R88" s="35">
        <v>100.0</v>
      </c>
      <c r="S88" s="54" t="str">
        <f t="array" ref="S88">vlookup(C88,{DraftTracker!F:F,DraftTracker!E:E},2,0)</f>
        <v>MAC</v>
      </c>
      <c r="T88" s="54" t="str">
        <f>VLOOKUP(S88,P5G5!A:B,2,0)</f>
        <v>Group of 5</v>
      </c>
      <c r="U88" s="56" t="str">
        <f>IFERROR(__xludf.DUMMYFUNCTION("iferror(if(not(iserror(find(""FINAL"",G88))),max(arrayformula(value(REGEXEXTRACT(F88,""^""&amp;C88&amp;"" ([\d]+)|[^a-zA-Z] ""&amp;C88&amp;"" ([\d]+)""))))=max(value(REGEXEXTRACT(F88,"" ([\d]+)"")),value(REGEXEXTRACT(F88,""([\d]+)$""))),""""))"),"")</f>
        <v/>
      </c>
    </row>
    <row r="89">
      <c r="A89" s="1">
        <v>116.0</v>
      </c>
      <c r="B89" s="1"/>
      <c r="C89" s="4"/>
      <c r="D89" s="4"/>
      <c r="E89" s="7"/>
      <c r="F89" s="9"/>
      <c r="G89" s="4"/>
      <c r="H89" s="4"/>
      <c r="I89" s="7"/>
      <c r="J89" s="9"/>
      <c r="K89" s="4"/>
      <c r="L89" s="4"/>
      <c r="M89" s="7"/>
      <c r="N89" s="4"/>
      <c r="O89" s="4"/>
      <c r="P89" s="4"/>
      <c r="Q89" s="4"/>
      <c r="R89" s="4"/>
      <c r="S89" s="95" t="str">
        <f t="array" ref="S89">vlookup(C89,{DraftTracker!F:F,DraftTracker!E:E},2,0)</f>
        <v>#N/A</v>
      </c>
      <c r="T89" s="95" t="str">
        <f>VLOOKUP(S89,P5G5!A:B,2,0)</f>
        <v>#N/A</v>
      </c>
      <c r="U89" s="54" t="str">
        <f>IFERROR(__xludf.DUMMYFUNCTION("iferror(if(not(iserror(find(""FINAL"",G89))),max(arrayformula(value(REGEXEXTRACT(F89,""^""&amp;C89&amp;"" ([\d]+)|[^a-zA-Z] ""&amp;C89&amp;"" ([\d]+)""))))=max(value(REGEXEXTRACT(F89,"" ([\d]+)"")),value(REGEXEXTRACT(F89,""([\d]+)$""))),""""))"),"")</f>
        <v/>
      </c>
    </row>
    <row r="90">
      <c r="A90" s="21">
        <v>117.0</v>
      </c>
      <c r="B90" s="24" t="s">
        <v>59</v>
      </c>
      <c r="C90" s="25" t="s">
        <v>227</v>
      </c>
      <c r="D90" s="97">
        <v>7.0</v>
      </c>
      <c r="E90" s="29">
        <v>5.0</v>
      </c>
      <c r="F90" s="98" t="s">
        <v>110</v>
      </c>
      <c r="G90" s="61">
        <v>45262.625</v>
      </c>
      <c r="H90" s="99" t="s">
        <v>57</v>
      </c>
      <c r="I90" s="100"/>
      <c r="J90" s="64">
        <v>-3.5</v>
      </c>
      <c r="K90" s="65">
        <v>-2.5</v>
      </c>
      <c r="L90" s="65">
        <v>-137.0</v>
      </c>
      <c r="M90" s="63" t="s">
        <v>203</v>
      </c>
      <c r="N90" s="101">
        <v>384.0</v>
      </c>
      <c r="O90" s="31">
        <v>303.0</v>
      </c>
      <c r="P90" s="35">
        <v>1.0</v>
      </c>
      <c r="Q90" s="35" t="b">
        <v>0</v>
      </c>
      <c r="R90" s="35">
        <v>100.0</v>
      </c>
      <c r="S90" s="54" t="str">
        <f t="array" ref="S90">vlookup(C90,{DraftTracker!F:F,DraftTracker!E:E},2,0)</f>
        <v>MWC</v>
      </c>
      <c r="T90" s="54" t="str">
        <f>VLOOKUP(S90,P5G5!A:B,2,0)</f>
        <v>Group of 5</v>
      </c>
      <c r="U90" s="56" t="str">
        <f>IFERROR(__xludf.DUMMYFUNCTION("iferror(if(not(iserror(find(""FINAL"",G90))),max(arrayformula(value(REGEXEXTRACT(F90,""^""&amp;C90&amp;"" ([\d]+)|[^a-zA-Z] ""&amp;C90&amp;"" ([\d]+)""))))=max(value(REGEXEXTRACT(F90,"" ([\d]+)"")),value(REGEXEXTRACT(F90,""([\d]+)$""))),""""))"),"")</f>
        <v/>
      </c>
    </row>
    <row r="91">
      <c r="A91" s="21">
        <v>117.0</v>
      </c>
      <c r="B91" s="81" t="s">
        <v>59</v>
      </c>
      <c r="C91" s="25" t="s">
        <v>209</v>
      </c>
      <c r="D91" s="58">
        <v>12.0</v>
      </c>
      <c r="E91" s="59">
        <v>0.0</v>
      </c>
      <c r="F91" s="60" t="s">
        <v>211</v>
      </c>
      <c r="G91" s="61">
        <v>45262.833333333336</v>
      </c>
      <c r="H91" s="62" t="s">
        <v>61</v>
      </c>
      <c r="I91" s="63" t="s">
        <v>92</v>
      </c>
      <c r="J91" s="64">
        <v>-21.5</v>
      </c>
      <c r="K91" s="65">
        <v>-22.5</v>
      </c>
      <c r="L91" s="65">
        <v>-4000.0</v>
      </c>
      <c r="M91" s="63" t="s">
        <v>212</v>
      </c>
      <c r="N91" s="65">
        <v>451.0</v>
      </c>
      <c r="O91" s="35">
        <v>123.0</v>
      </c>
      <c r="P91" s="35">
        <v>1.0</v>
      </c>
      <c r="Q91" s="35" t="b">
        <v>1</v>
      </c>
      <c r="R91" s="35">
        <v>100.0</v>
      </c>
      <c r="S91" s="54" t="str">
        <f t="array" ref="S91">vlookup(C91,{DraftTracker!F:F,DraftTracker!E:E},2,0)</f>
        <v>Big Ten</v>
      </c>
      <c r="T91" s="54" t="str">
        <f>VLOOKUP(S91,P5G5!A:B,2,0)</f>
        <v>Power 5</v>
      </c>
      <c r="U91" s="56" t="str">
        <f>IFERROR(__xludf.DUMMYFUNCTION("iferror(if(not(iserror(find(""FINAL"",G91))),max(arrayformula(value(REGEXEXTRACT(F91,""^""&amp;C91&amp;"" ([\d]+)|[^a-zA-Z] ""&amp;C91&amp;"" ([\d]+)""))))=max(value(REGEXEXTRACT(F91,"" ([\d]+)"")),value(REGEXEXTRACT(F91,""([\d]+)$""))),""""))"),"")</f>
        <v/>
      </c>
    </row>
    <row r="92">
      <c r="A92" s="21">
        <v>117.0</v>
      </c>
      <c r="B92" s="81" t="s">
        <v>59</v>
      </c>
      <c r="C92" s="25" t="s">
        <v>229</v>
      </c>
      <c r="D92" s="58">
        <v>6.0</v>
      </c>
      <c r="E92" s="59">
        <v>6.0</v>
      </c>
      <c r="F92" s="82"/>
      <c r="G92" s="62"/>
      <c r="H92" s="62"/>
      <c r="I92" s="63"/>
      <c r="J92" s="64"/>
      <c r="K92" s="65"/>
      <c r="L92" s="65"/>
      <c r="M92" s="63"/>
      <c r="N92" s="65">
        <v>374.0</v>
      </c>
      <c r="O92" s="35">
        <v>366.0</v>
      </c>
      <c r="P92" s="35">
        <v>3.0</v>
      </c>
      <c r="Q92" s="35" t="b">
        <v>1</v>
      </c>
      <c r="R92" s="35">
        <v>100.0</v>
      </c>
      <c r="S92" s="54" t="str">
        <f t="array" ref="S92">vlookup(C92,{DraftTracker!F:F,DraftTracker!E:E},2,0)</f>
        <v>ACC</v>
      </c>
      <c r="T92" s="54" t="str">
        <f>VLOOKUP(S92,P5G5!A:B,2,0)</f>
        <v>Power 5</v>
      </c>
      <c r="U92" s="56" t="str">
        <f>IFERROR(__xludf.DUMMYFUNCTION("iferror(if(not(iserror(find(""FINAL"",G92))),max(arrayformula(value(REGEXEXTRACT(F92,""^""&amp;C92&amp;"" ([\d]+)|[^a-zA-Z] ""&amp;C92&amp;"" ([\d]+)""))))=max(value(REGEXEXTRACT(F92,"" ([\d]+)"")),value(REGEXEXTRACT(F92,""([\d]+)$""))),""""))"),"")</f>
        <v/>
      </c>
    </row>
    <row r="93">
      <c r="A93" s="21">
        <v>117.0</v>
      </c>
      <c r="B93" s="81" t="s">
        <v>59</v>
      </c>
      <c r="C93" s="25" t="s">
        <v>230</v>
      </c>
      <c r="D93" s="58">
        <v>3.0</v>
      </c>
      <c r="E93" s="59">
        <v>9.0</v>
      </c>
      <c r="F93" s="82"/>
      <c r="G93" s="35"/>
      <c r="H93" s="35"/>
      <c r="I93" s="63"/>
      <c r="J93" s="64">
        <v>7.0</v>
      </c>
      <c r="K93" s="65">
        <v>11.5</v>
      </c>
      <c r="L93" s="65">
        <v>-430.0</v>
      </c>
      <c r="M93" s="63" t="s">
        <v>68</v>
      </c>
      <c r="N93" s="65">
        <v>277.0</v>
      </c>
      <c r="O93" s="35">
        <v>400.0</v>
      </c>
      <c r="P93" s="35">
        <v>3.0</v>
      </c>
      <c r="Q93" s="35" t="b">
        <v>1</v>
      </c>
      <c r="R93" s="35">
        <v>100.0</v>
      </c>
      <c r="S93" s="54" t="str">
        <f t="array" ref="S93">vlookup(C93,{DraftTracker!F:F,DraftTracker!E:E},2,0)</f>
        <v>Big 12</v>
      </c>
      <c r="T93" s="54" t="str">
        <f>VLOOKUP(S93,P5G5!A:B,2,0)</f>
        <v>Power 5</v>
      </c>
      <c r="U93" s="56" t="str">
        <f>IFERROR(__xludf.DUMMYFUNCTION("iferror(if(not(iserror(find(""FINAL"",G93))),max(arrayformula(value(REGEXEXTRACT(F93,""^""&amp;C93&amp;"" ([\d]+)|[^a-zA-Z] ""&amp;C93&amp;"" ([\d]+)""))))=max(value(REGEXEXTRACT(F93,"" ([\d]+)"")),value(REGEXEXTRACT(F93,""([\d]+)$""))),""""))"),"")</f>
        <v/>
      </c>
    </row>
    <row r="94">
      <c r="A94" s="21">
        <v>117.0</v>
      </c>
      <c r="B94" s="81" t="s">
        <v>59</v>
      </c>
      <c r="C94" s="25" t="s">
        <v>231</v>
      </c>
      <c r="D94" s="58">
        <v>8.0</v>
      </c>
      <c r="E94" s="59">
        <v>4.0</v>
      </c>
      <c r="F94" s="82"/>
      <c r="G94" s="35"/>
      <c r="H94" s="35"/>
      <c r="I94" s="63"/>
      <c r="J94" s="64"/>
      <c r="K94" s="65"/>
      <c r="L94" s="65"/>
      <c r="M94" s="63"/>
      <c r="N94" s="65">
        <v>294.0</v>
      </c>
      <c r="O94" s="35">
        <v>237.0</v>
      </c>
      <c r="P94" s="35">
        <v>3.0</v>
      </c>
      <c r="Q94" s="35" t="b">
        <v>1</v>
      </c>
      <c r="R94" s="35">
        <v>100.0</v>
      </c>
      <c r="S94" s="54" t="str">
        <f t="array" ref="S94">vlookup(C94,{DraftTracker!F:F,DraftTracker!E:E},2,0)</f>
        <v>Pac12</v>
      </c>
      <c r="T94" s="54" t="str">
        <f>VLOOKUP(S94,P5G5!A:B,2,0)</f>
        <v>Power 5</v>
      </c>
      <c r="U94" s="56" t="str">
        <f>IFERROR(__xludf.DUMMYFUNCTION("iferror(if(not(iserror(find(""FINAL"",G94))),max(arrayformula(value(REGEXEXTRACT(F94,""^""&amp;C94&amp;"" ([\d]+)|[^a-zA-Z] ""&amp;C94&amp;"" ([\d]+)""))))=max(value(REGEXEXTRACT(F94,"" ([\d]+)"")),value(REGEXEXTRACT(F94,""([\d]+)$""))),""""))"),"")</f>
        <v/>
      </c>
    </row>
    <row r="95">
      <c r="A95" s="21">
        <v>117.0</v>
      </c>
      <c r="B95" s="81" t="s">
        <v>59</v>
      </c>
      <c r="C95" s="25" t="s">
        <v>232</v>
      </c>
      <c r="D95" s="58">
        <v>6.0</v>
      </c>
      <c r="E95" s="59">
        <v>6.0</v>
      </c>
      <c r="F95" s="82"/>
      <c r="G95" s="35"/>
      <c r="H95" s="35"/>
      <c r="I95" s="63"/>
      <c r="J95" s="64"/>
      <c r="K95" s="65"/>
      <c r="L95" s="65"/>
      <c r="M95" s="63"/>
      <c r="N95" s="65">
        <v>309.0</v>
      </c>
      <c r="O95" s="35">
        <v>369.0</v>
      </c>
      <c r="P95" s="35">
        <v>3.0</v>
      </c>
      <c r="Q95" s="35" t="b">
        <v>1</v>
      </c>
      <c r="R95" s="35">
        <v>100.0</v>
      </c>
      <c r="S95" s="54" t="str">
        <f t="array" ref="S95">vlookup(C95,{DraftTracker!F:F,DraftTracker!E:E},2,0)</f>
        <v>Sun Belt</v>
      </c>
      <c r="T95" s="54" t="str">
        <f>VLOOKUP(S95,P5G5!A:B,2,0)</f>
        <v>Group of 5</v>
      </c>
      <c r="U95" s="56" t="str">
        <f>IFERROR(__xludf.DUMMYFUNCTION("iferror(if(not(iserror(find(""FINAL"",G95))),max(arrayformula(value(REGEXEXTRACT(F95,""^""&amp;C95&amp;"" ([\d]+)|[^a-zA-Z] ""&amp;C95&amp;"" ([\d]+)""))))=max(value(REGEXEXTRACT(F95,"" ([\d]+)"")),value(REGEXEXTRACT(F95,""([\d]+)$""))),""""))"),"")</f>
        <v/>
      </c>
    </row>
    <row r="96">
      <c r="A96" s="21">
        <v>117.0</v>
      </c>
      <c r="B96" s="81" t="s">
        <v>59</v>
      </c>
      <c r="C96" s="25" t="s">
        <v>234</v>
      </c>
      <c r="D96" s="58">
        <v>5.0</v>
      </c>
      <c r="E96" s="59">
        <v>7.0</v>
      </c>
      <c r="F96" s="82"/>
      <c r="G96" s="35"/>
      <c r="H96" s="35"/>
      <c r="I96" s="63"/>
      <c r="J96" s="64"/>
      <c r="K96" s="65"/>
      <c r="L96" s="65"/>
      <c r="M96" s="63"/>
      <c r="N96" s="65">
        <v>201.0</v>
      </c>
      <c r="O96" s="35">
        <v>252.0</v>
      </c>
      <c r="P96" s="35">
        <v>3.0</v>
      </c>
      <c r="Q96" s="35" t="b">
        <v>1</v>
      </c>
      <c r="R96" s="35">
        <v>100.0</v>
      </c>
      <c r="S96" s="54" t="str">
        <f t="array" ref="S96">vlookup(C96,{DraftTracker!F:F,DraftTracker!E:E},2,0)</f>
        <v>AAC</v>
      </c>
      <c r="T96" s="54" t="str">
        <f>VLOOKUP(S96,P5G5!A:B,2,0)</f>
        <v>Group of 5</v>
      </c>
      <c r="U96" s="56" t="str">
        <f>IFERROR(__xludf.DUMMYFUNCTION("iferror(if(not(iserror(find(""FINAL"",G96))),max(arrayformula(value(REGEXEXTRACT(F96,""^""&amp;C96&amp;"" ([\d]+)|[^a-zA-Z] ""&amp;C96&amp;"" ([\d]+)""))))=max(value(REGEXEXTRACT(F96,"" ([\d]+)"")),value(REGEXEXTRACT(F96,""([\d]+)$""))),""""))"),"")</f>
        <v/>
      </c>
    </row>
    <row r="97">
      <c r="A97" s="21">
        <v>117.0</v>
      </c>
      <c r="B97" s="81" t="s">
        <v>59</v>
      </c>
      <c r="C97" s="25" t="s">
        <v>236</v>
      </c>
      <c r="D97" s="58">
        <v>3.0</v>
      </c>
      <c r="E97" s="59">
        <v>9.0</v>
      </c>
      <c r="F97" s="82"/>
      <c r="G97" s="35"/>
      <c r="H97" s="35"/>
      <c r="I97" s="63"/>
      <c r="J97" s="64"/>
      <c r="K97" s="65"/>
      <c r="L97" s="65"/>
      <c r="M97" s="63"/>
      <c r="N97" s="65">
        <v>229.0</v>
      </c>
      <c r="O97" s="35">
        <v>358.0</v>
      </c>
      <c r="P97" s="35">
        <v>3.0</v>
      </c>
      <c r="Q97" s="35" t="b">
        <v>1</v>
      </c>
      <c r="R97" s="35">
        <v>100.0</v>
      </c>
      <c r="S97" s="54" t="str">
        <f t="array" ref="S97">vlookup(C97,{DraftTracker!F:F,DraftTracker!E:E},2,0)</f>
        <v>CUSA</v>
      </c>
      <c r="T97" s="54" t="str">
        <f>VLOOKUP(S97,P5G5!A:B,2,0)</f>
        <v>Group of 5</v>
      </c>
      <c r="U97" s="56" t="str">
        <f>IFERROR(__xludf.DUMMYFUNCTION("iferror(if(not(iserror(find(""FINAL"",G97))),max(arrayformula(value(REGEXEXTRACT(F97,""^""&amp;C97&amp;"" ([\d]+)|[^a-zA-Z] ""&amp;C97&amp;"" ([\d]+)""))))=max(value(REGEXEXTRACT(F97,"" ([\d]+)"")),value(REGEXEXTRACT(F97,""([\d]+)$""))),""""))"),"")</f>
        <v/>
      </c>
    </row>
    <row r="98">
      <c r="A98" s="21">
        <v>117.0</v>
      </c>
      <c r="B98" s="81" t="s">
        <v>59</v>
      </c>
      <c r="C98" s="25" t="s">
        <v>237</v>
      </c>
      <c r="D98" s="58">
        <v>10.0</v>
      </c>
      <c r="E98" s="59">
        <v>2.0</v>
      </c>
      <c r="F98" s="82"/>
      <c r="G98" s="35"/>
      <c r="H98" s="35"/>
      <c r="I98" s="63"/>
      <c r="J98" s="64"/>
      <c r="K98" s="65"/>
      <c r="L98" s="65"/>
      <c r="M98" s="63"/>
      <c r="N98" s="65">
        <v>409.0</v>
      </c>
      <c r="O98" s="35">
        <v>268.0</v>
      </c>
      <c r="P98" s="35">
        <v>3.0</v>
      </c>
      <c r="Q98" s="35" t="b">
        <v>1</v>
      </c>
      <c r="R98" s="35">
        <v>100.0</v>
      </c>
      <c r="S98" s="54" t="str">
        <f t="array" ref="S98">vlookup(C98,{DraftTracker!F:F,DraftTracker!E:E},2,0)</f>
        <v>SEC</v>
      </c>
      <c r="T98" s="54" t="str">
        <f>VLOOKUP(S98,P5G5!A:B,2,0)</f>
        <v>Power 5</v>
      </c>
      <c r="U98" s="56" t="str">
        <f>IFERROR(__xludf.DUMMYFUNCTION("iferror(if(not(iserror(find(""FINAL"",G98))),max(arrayformula(value(REGEXEXTRACT(F98,""^""&amp;C98&amp;"" ([\d]+)|[^a-zA-Z] ""&amp;C98&amp;"" ([\d]+)""))))=max(value(REGEXEXTRACT(F98,"" ([\d]+)"")),value(REGEXEXTRACT(F98,""([\d]+)$""))),""""))"),"")</f>
        <v/>
      </c>
    </row>
    <row r="99">
      <c r="A99" s="21">
        <v>117.0</v>
      </c>
      <c r="B99" s="81" t="s">
        <v>59</v>
      </c>
      <c r="C99" s="25" t="s">
        <v>238</v>
      </c>
      <c r="D99" s="58">
        <v>6.0</v>
      </c>
      <c r="E99" s="59">
        <v>6.0</v>
      </c>
      <c r="F99" s="82"/>
      <c r="G99" s="35"/>
      <c r="H99" s="35"/>
      <c r="I99" s="63"/>
      <c r="J99" s="64"/>
      <c r="K99" s="65"/>
      <c r="L99" s="65"/>
      <c r="M99" s="63"/>
      <c r="N99" s="65">
        <v>244.0</v>
      </c>
      <c r="O99" s="35">
        <v>288.0</v>
      </c>
      <c r="P99" s="35">
        <v>3.0</v>
      </c>
      <c r="Q99" s="35" t="b">
        <v>1</v>
      </c>
      <c r="R99" s="35">
        <v>100.0</v>
      </c>
      <c r="S99" s="54" t="str">
        <f t="array" ref="S99">vlookup(C99,{DraftTracker!F:F,DraftTracker!E:E},2,0)</f>
        <v>MAC</v>
      </c>
      <c r="T99" s="54" t="str">
        <f>VLOOKUP(S99,P5G5!A:B,2,0)</f>
        <v>Group of 5</v>
      </c>
      <c r="U99" s="56" t="str">
        <f>IFERROR(__xludf.DUMMYFUNCTION("iferror(if(not(iserror(find(""FINAL"",G99))),max(arrayformula(value(REGEXEXTRACT(F99,""^""&amp;C99&amp;"" ([\d]+)|[^a-zA-Z] ""&amp;C99&amp;"" ([\d]+)""))))=max(value(REGEXEXTRACT(F99,"" ([\d]+)"")),value(REGEXEXTRACT(F99,""([\d]+)$""))),""""))"),"")</f>
        <v/>
      </c>
    </row>
    <row r="100">
      <c r="A100" s="1">
        <v>118.0</v>
      </c>
      <c r="B100" s="1"/>
      <c r="C100" s="4"/>
      <c r="D100" s="4"/>
      <c r="E100" s="7"/>
      <c r="F100" s="9"/>
      <c r="G100" s="4"/>
      <c r="H100" s="4"/>
      <c r="I100" s="7"/>
      <c r="J100" s="9"/>
      <c r="K100" s="4"/>
      <c r="L100" s="4"/>
      <c r="M100" s="7"/>
      <c r="N100" s="4"/>
      <c r="O100" s="4"/>
      <c r="P100" s="4"/>
      <c r="Q100" s="4"/>
      <c r="R100" s="4"/>
      <c r="S100" s="95" t="str">
        <f t="array" ref="S100">vlookup(C100,{DraftTracker!F:F,DraftTracker!E:E},2,0)</f>
        <v>#N/A</v>
      </c>
      <c r="T100" s="95" t="str">
        <f>VLOOKUP(S100,P5G5!A:B,2,0)</f>
        <v>#N/A</v>
      </c>
      <c r="U100" s="54" t="str">
        <f>IFERROR(__xludf.DUMMYFUNCTION("iferror(if(not(iserror(find(""FINAL"",G100))),max(arrayformula(value(REGEXEXTRACT(F100,""^""&amp;C100&amp;"" ([\d]+)|[^a-zA-Z] ""&amp;C100&amp;"" ([\d]+)""))))=max(value(REGEXEXTRACT(F100,"" ([\d]+)"")),value(REGEXEXTRACT(F100,""([\d]+)$""))),""""))"),"")</f>
        <v/>
      </c>
    </row>
    <row r="101">
      <c r="A101" s="21">
        <v>119.0</v>
      </c>
      <c r="B101" s="24" t="s">
        <v>62</v>
      </c>
      <c r="C101" s="25" t="s">
        <v>240</v>
      </c>
      <c r="D101" s="97">
        <v>10.0</v>
      </c>
      <c r="E101" s="29">
        <v>2.0</v>
      </c>
      <c r="F101" s="98" t="s">
        <v>121</v>
      </c>
      <c r="G101" s="146">
        <v>45262.5</v>
      </c>
      <c r="H101" s="99" t="s">
        <v>56</v>
      </c>
      <c r="I101" s="100"/>
      <c r="J101" s="64"/>
      <c r="K101" s="65"/>
      <c r="L101" s="65"/>
      <c r="M101" s="63"/>
      <c r="N101" s="101">
        <v>327.0</v>
      </c>
      <c r="O101" s="31">
        <v>196.0</v>
      </c>
      <c r="P101" s="35">
        <v>1.0</v>
      </c>
      <c r="Q101" s="35" t="b">
        <v>0</v>
      </c>
      <c r="R101" s="35">
        <v>100.0</v>
      </c>
      <c r="S101" s="54" t="str">
        <f t="array" ref="S101">vlookup(C101,{DraftTracker!F:F,DraftTracker!E:E},2,0)</f>
        <v>MAC</v>
      </c>
      <c r="T101" s="54" t="str">
        <f>VLOOKUP(S101,P5G5!A:B,2,0)</f>
        <v>Group of 5</v>
      </c>
      <c r="U101" s="56" t="str">
        <f>IFERROR(__xludf.DUMMYFUNCTION("iferror(if(not(iserror(find(""FINAL"",G101))),max(arrayformula(value(REGEXEXTRACT(F101,""^""&amp;C101&amp;"" ([\d]+)|[^a-zA-Z] ""&amp;C101&amp;"" ([\d]+)""))))=max(value(REGEXEXTRACT(F101,"" ([\d]+)"")),value(REGEXEXTRACT(F101,""([\d]+)$""))),""""))"),"")</f>
        <v/>
      </c>
    </row>
    <row r="102">
      <c r="A102" s="21">
        <v>119.0</v>
      </c>
      <c r="B102" s="81" t="s">
        <v>62</v>
      </c>
      <c r="C102" s="25" t="s">
        <v>241</v>
      </c>
      <c r="D102" s="58">
        <v>8.0</v>
      </c>
      <c r="E102" s="59">
        <v>4.0</v>
      </c>
      <c r="F102" s="60"/>
      <c r="G102" s="62"/>
      <c r="H102" s="62"/>
      <c r="I102" s="63"/>
      <c r="J102" s="64"/>
      <c r="K102" s="65"/>
      <c r="L102" s="65"/>
      <c r="M102" s="63"/>
      <c r="N102" s="65">
        <v>359.0</v>
      </c>
      <c r="O102" s="35">
        <v>295.0</v>
      </c>
      <c r="P102" s="35">
        <v>3.0</v>
      </c>
      <c r="Q102" s="35" t="b">
        <v>1</v>
      </c>
      <c r="R102" s="35">
        <v>100.0</v>
      </c>
      <c r="S102" s="54" t="str">
        <f t="array" ref="S102">vlookup(C102,{DraftTracker!F:F,DraftTracker!E:E},2,0)</f>
        <v>MWC</v>
      </c>
      <c r="T102" s="54" t="str">
        <f>VLOOKUP(S102,P5G5!A:B,2,0)</f>
        <v>Group of 5</v>
      </c>
      <c r="U102" s="56" t="str">
        <f>IFERROR(__xludf.DUMMYFUNCTION("iferror(if(not(iserror(find(""FINAL"",G102))),max(arrayformula(value(REGEXEXTRACT(F102,""^""&amp;C102&amp;"" ([\d]+)|[^a-zA-Z] ""&amp;C102&amp;"" ([\d]+)""))))=max(value(REGEXEXTRACT(F102,"" ([\d]+)"")),value(REGEXEXTRACT(F102,""([\d]+)$""))),""""))"),"")</f>
        <v/>
      </c>
    </row>
    <row r="103">
      <c r="A103" s="21">
        <v>119.0</v>
      </c>
      <c r="B103" s="81" t="s">
        <v>62</v>
      </c>
      <c r="C103" s="25" t="s">
        <v>242</v>
      </c>
      <c r="D103" s="58">
        <v>3.0</v>
      </c>
      <c r="E103" s="59">
        <v>9.0</v>
      </c>
      <c r="F103" s="82"/>
      <c r="G103" s="62"/>
      <c r="H103" s="62"/>
      <c r="I103" s="63"/>
      <c r="J103" s="64"/>
      <c r="K103" s="65"/>
      <c r="L103" s="65"/>
      <c r="M103" s="63"/>
      <c r="N103" s="65">
        <v>289.0</v>
      </c>
      <c r="O103" s="35">
        <v>360.0</v>
      </c>
      <c r="P103" s="35">
        <v>3.0</v>
      </c>
      <c r="Q103" s="35" t="b">
        <v>1</v>
      </c>
      <c r="R103" s="35">
        <v>100.0</v>
      </c>
      <c r="S103" s="54" t="str">
        <f t="array" ref="S103">vlookup(C103,{DraftTracker!F:F,DraftTracker!E:E},2,0)</f>
        <v>Big 12</v>
      </c>
      <c r="T103" s="54" t="str">
        <f>VLOOKUP(S103,P5G5!A:B,2,0)</f>
        <v>Power 5</v>
      </c>
      <c r="U103" s="56" t="str">
        <f>IFERROR(__xludf.DUMMYFUNCTION("iferror(if(not(iserror(find(""FINAL"",G103))),max(arrayformula(value(REGEXEXTRACT(F103,""^""&amp;C103&amp;"" ([\d]+)|[^a-zA-Z] ""&amp;C103&amp;"" ([\d]+)""))))=max(value(REGEXEXTRACT(F103,"" ([\d]+)"")),value(REGEXEXTRACT(F103,""([\d]+)$""))),""""))"),"")</f>
        <v/>
      </c>
    </row>
    <row r="104">
      <c r="A104" s="21">
        <v>119.0</v>
      </c>
      <c r="B104" s="81" t="s">
        <v>62</v>
      </c>
      <c r="C104" s="25" t="s">
        <v>244</v>
      </c>
      <c r="D104" s="58">
        <v>7.0</v>
      </c>
      <c r="E104" s="59">
        <v>5.0</v>
      </c>
      <c r="F104" s="82"/>
      <c r="G104" s="35"/>
      <c r="H104" s="35"/>
      <c r="I104" s="63"/>
      <c r="J104" s="64"/>
      <c r="K104" s="65"/>
      <c r="L104" s="65"/>
      <c r="M104" s="63"/>
      <c r="N104" s="65">
        <v>355.0</v>
      </c>
      <c r="O104" s="35">
        <v>279.0</v>
      </c>
      <c r="P104" s="35">
        <v>3.0</v>
      </c>
      <c r="Q104" s="35" t="b">
        <v>1</v>
      </c>
      <c r="R104" s="35">
        <v>100.0</v>
      </c>
      <c r="S104" s="54" t="str">
        <f t="array" ref="S104">vlookup(C104,{DraftTracker!F:F,DraftTracker!E:E},2,0)</f>
        <v>Big Ten</v>
      </c>
      <c r="T104" s="54" t="str">
        <f>VLOOKUP(S104,P5G5!A:B,2,0)</f>
        <v>Power 5</v>
      </c>
      <c r="U104" s="56" t="str">
        <f>IFERROR(__xludf.DUMMYFUNCTION("iferror(if(not(iserror(find(""FINAL"",G104))),max(arrayformula(value(REGEXEXTRACT(F104,""^""&amp;C104&amp;"" ([\d]+)|[^a-zA-Z] ""&amp;C104&amp;"" ([\d]+)""))))=max(value(REGEXEXTRACT(F104,"" ([\d]+)"")),value(REGEXEXTRACT(F104,""([\d]+)$""))),""""))"),"")</f>
        <v/>
      </c>
    </row>
    <row r="105">
      <c r="A105" s="21">
        <v>119.0</v>
      </c>
      <c r="B105" s="81" t="s">
        <v>62</v>
      </c>
      <c r="C105" s="25" t="s">
        <v>245</v>
      </c>
      <c r="D105" s="58">
        <v>6.0</v>
      </c>
      <c r="E105" s="59">
        <v>6.0</v>
      </c>
      <c r="F105" s="82"/>
      <c r="G105" s="35"/>
      <c r="H105" s="35"/>
      <c r="I105" s="63"/>
      <c r="J105" s="64"/>
      <c r="K105" s="65"/>
      <c r="L105" s="65"/>
      <c r="M105" s="63"/>
      <c r="N105" s="65">
        <v>371.0</v>
      </c>
      <c r="O105" s="35">
        <v>355.0</v>
      </c>
      <c r="P105" s="35">
        <v>3.0</v>
      </c>
      <c r="Q105" s="35" t="b">
        <v>1</v>
      </c>
      <c r="R105" s="35">
        <v>100.0</v>
      </c>
      <c r="S105" s="54" t="str">
        <f t="array" ref="S105">vlookup(C105,{DraftTracker!F:F,DraftTracker!E:E},2,0)</f>
        <v>Sun Belt</v>
      </c>
      <c r="T105" s="54" t="str">
        <f>VLOOKUP(S105,P5G5!A:B,2,0)</f>
        <v>Group of 5</v>
      </c>
      <c r="U105" s="56" t="str">
        <f>IFERROR(__xludf.DUMMYFUNCTION("iferror(if(not(iserror(find(""FINAL"",G105))),max(arrayformula(value(REGEXEXTRACT(F105,""^""&amp;C105&amp;"" ([\d]+)|[^a-zA-Z] ""&amp;C105&amp;"" ([\d]+)""))))=max(value(REGEXEXTRACT(F105,"" ([\d]+)"")),value(REGEXEXTRACT(F105,""([\d]+)$""))),""""))"),"")</f>
        <v/>
      </c>
    </row>
    <row r="106">
      <c r="A106" s="21">
        <v>119.0</v>
      </c>
      <c r="B106" s="81" t="s">
        <v>62</v>
      </c>
      <c r="C106" s="25" t="s">
        <v>215</v>
      </c>
      <c r="D106" s="58">
        <v>7.0</v>
      </c>
      <c r="E106" s="59">
        <v>5.0</v>
      </c>
      <c r="F106" s="82"/>
      <c r="G106" s="35"/>
      <c r="H106" s="35"/>
      <c r="I106" s="63"/>
      <c r="J106" s="64"/>
      <c r="K106" s="65"/>
      <c r="L106" s="65"/>
      <c r="M106" s="63"/>
      <c r="N106" s="65">
        <v>358.0</v>
      </c>
      <c r="O106" s="35">
        <v>338.0</v>
      </c>
      <c r="P106" s="35">
        <v>3.0</v>
      </c>
      <c r="Q106" s="35" t="b">
        <v>1</v>
      </c>
      <c r="R106" s="35">
        <v>100.0</v>
      </c>
      <c r="S106" s="54" t="str">
        <f t="array" ref="S106">vlookup(C106,{DraftTracker!F:F,DraftTracker!E:E},2,0)</f>
        <v>CUSA</v>
      </c>
      <c r="T106" s="54" t="str">
        <f>VLOOKUP(S106,P5G5!A:B,2,0)</f>
        <v>Group of 5</v>
      </c>
      <c r="U106" s="56" t="str">
        <f>IFERROR(__xludf.DUMMYFUNCTION("iferror(if(not(iserror(find(""FINAL"",G106))),max(arrayformula(value(REGEXEXTRACT(F106,""^""&amp;C106&amp;"" ([\d]+)|[^a-zA-Z] ""&amp;C106&amp;"" ([\d]+)""))))=max(value(REGEXEXTRACT(F106,"" ([\d]+)"")),value(REGEXEXTRACT(F106,""([\d]+)$""))),""""))"),"")</f>
        <v/>
      </c>
    </row>
    <row r="107">
      <c r="A107" s="21">
        <v>119.0</v>
      </c>
      <c r="B107" s="81" t="s">
        <v>62</v>
      </c>
      <c r="C107" s="25" t="s">
        <v>246</v>
      </c>
      <c r="D107" s="58">
        <v>2.0</v>
      </c>
      <c r="E107" s="59">
        <v>10.0</v>
      </c>
      <c r="F107" s="82"/>
      <c r="G107" s="35"/>
      <c r="H107" s="35"/>
      <c r="I107" s="63"/>
      <c r="J107" s="64"/>
      <c r="K107" s="65"/>
      <c r="L107" s="65"/>
      <c r="M107" s="63"/>
      <c r="N107" s="65">
        <v>208.0</v>
      </c>
      <c r="O107" s="35">
        <v>269.0</v>
      </c>
      <c r="P107" s="35">
        <v>3.0</v>
      </c>
      <c r="Q107" s="35" t="b">
        <v>1</v>
      </c>
      <c r="R107" s="35">
        <v>100.0</v>
      </c>
      <c r="S107" s="54" t="str">
        <f t="array" ref="S107">vlookup(C107,{DraftTracker!F:F,DraftTracker!E:E},2,0)</f>
        <v>AAC</v>
      </c>
      <c r="T107" s="54" t="str">
        <f>VLOOKUP(S107,P5G5!A:B,2,0)</f>
        <v>Group of 5</v>
      </c>
      <c r="U107" s="56" t="str">
        <f>IFERROR(__xludf.DUMMYFUNCTION("iferror(if(not(iserror(find(""FINAL"",G107))),max(arrayformula(value(REGEXEXTRACT(F107,""^""&amp;C107&amp;"" ([\d]+)|[^a-zA-Z] ""&amp;C107&amp;"" ([\d]+)""))))=max(value(REGEXEXTRACT(F107,"" ([\d]+)"")),value(REGEXEXTRACT(F107,""([\d]+)$""))),""""))"),"")</f>
        <v/>
      </c>
    </row>
    <row r="108">
      <c r="A108" s="21">
        <v>119.0</v>
      </c>
      <c r="B108" s="81" t="s">
        <v>62</v>
      </c>
      <c r="C108" s="25" t="s">
        <v>247</v>
      </c>
      <c r="D108" s="58">
        <v>8.0</v>
      </c>
      <c r="E108" s="59">
        <v>4.0</v>
      </c>
      <c r="F108" s="82"/>
      <c r="G108" s="35"/>
      <c r="H108" s="35"/>
      <c r="I108" s="63"/>
      <c r="J108" s="64"/>
      <c r="K108" s="65"/>
      <c r="L108" s="65"/>
      <c r="M108" s="63"/>
      <c r="N108" s="65">
        <v>406.0</v>
      </c>
      <c r="O108" s="35">
        <v>258.0</v>
      </c>
      <c r="P108" s="35">
        <v>3.0</v>
      </c>
      <c r="Q108" s="35" t="b">
        <v>1</v>
      </c>
      <c r="R108" s="35">
        <v>100.0</v>
      </c>
      <c r="S108" s="54" t="str">
        <f t="array" ref="S108">vlookup(C108,{DraftTracker!F:F,DraftTracker!E:E},2,0)</f>
        <v>Pac12</v>
      </c>
      <c r="T108" s="54" t="str">
        <f>VLOOKUP(S108,P5G5!A:B,2,0)</f>
        <v>Power 5</v>
      </c>
      <c r="U108" s="56" t="str">
        <f>IFERROR(__xludf.DUMMYFUNCTION("iferror(if(not(iserror(find(""FINAL"",G108))),max(arrayformula(value(REGEXEXTRACT(F108,""^""&amp;C108&amp;"" ([\d]+)|[^a-zA-Z] ""&amp;C108&amp;"" ([\d]+)""))))=max(value(REGEXEXTRACT(F108,"" ([\d]+)"")),value(REGEXEXTRACT(F108,""([\d]+)$""))),""""))"),"")</f>
        <v/>
      </c>
    </row>
    <row r="109">
      <c r="A109" s="21">
        <v>119.0</v>
      </c>
      <c r="B109" s="81" t="s">
        <v>62</v>
      </c>
      <c r="C109" s="25" t="s">
        <v>248</v>
      </c>
      <c r="D109" s="58">
        <v>6.0</v>
      </c>
      <c r="E109" s="59">
        <v>6.0</v>
      </c>
      <c r="F109" s="82"/>
      <c r="G109" s="35"/>
      <c r="H109" s="35"/>
      <c r="I109" s="63"/>
      <c r="J109" s="64"/>
      <c r="K109" s="65"/>
      <c r="L109" s="65"/>
      <c r="M109" s="63"/>
      <c r="N109" s="65">
        <v>300.0</v>
      </c>
      <c r="O109" s="35">
        <v>354.0</v>
      </c>
      <c r="P109" s="35">
        <v>3.0</v>
      </c>
      <c r="Q109" s="35" t="b">
        <v>1</v>
      </c>
      <c r="R109" s="35">
        <v>100.0</v>
      </c>
      <c r="S109" s="54" t="str">
        <f t="array" ref="S109">vlookup(C109,{DraftTracker!F:F,DraftTracker!E:E},2,0)</f>
        <v>ACC</v>
      </c>
      <c r="T109" s="54" t="str">
        <f>VLOOKUP(S109,P5G5!A:B,2,0)</f>
        <v>Power 5</v>
      </c>
      <c r="U109" s="56" t="str">
        <f>IFERROR(__xludf.DUMMYFUNCTION("iferror(if(not(iserror(find(""FINAL"",G109))),max(arrayformula(value(REGEXEXTRACT(F109,""^""&amp;C109&amp;"" ([\d]+)|[^a-zA-Z] ""&amp;C109&amp;"" ([\d]+)""))))=max(value(REGEXEXTRACT(F109,"" ([\d]+)"")),value(REGEXEXTRACT(F109,""([\d]+)$""))),""""))"),"")</f>
        <v/>
      </c>
    </row>
    <row r="110">
      <c r="A110" s="21">
        <v>119.0</v>
      </c>
      <c r="B110" s="81" t="s">
        <v>62</v>
      </c>
      <c r="C110" s="25" t="s">
        <v>249</v>
      </c>
      <c r="D110" s="58">
        <v>5.0</v>
      </c>
      <c r="E110" s="59">
        <v>7.0</v>
      </c>
      <c r="F110" s="82"/>
      <c r="G110" s="35"/>
      <c r="H110" s="35"/>
      <c r="I110" s="63"/>
      <c r="J110" s="64"/>
      <c r="K110" s="65"/>
      <c r="L110" s="65"/>
      <c r="M110" s="63"/>
      <c r="N110" s="65">
        <v>262.0</v>
      </c>
      <c r="O110" s="35">
        <v>319.0</v>
      </c>
      <c r="P110" s="35">
        <v>3.0</v>
      </c>
      <c r="Q110" s="35" t="b">
        <v>1</v>
      </c>
      <c r="R110" s="35">
        <v>100.0</v>
      </c>
      <c r="S110" s="54" t="str">
        <f t="array" ref="S110">vlookup(C110,{DraftTracker!F:F,DraftTracker!E:E},2,0)</f>
        <v>SEC</v>
      </c>
      <c r="T110" s="54" t="str">
        <f>VLOOKUP(S110,P5G5!A:B,2,0)</f>
        <v>Power 5</v>
      </c>
      <c r="U110" s="56" t="str">
        <f>IFERROR(__xludf.DUMMYFUNCTION("iferror(if(not(iserror(find(""FINAL"",G110))),max(arrayformula(value(REGEXEXTRACT(F110,""^""&amp;C110&amp;"" ([\d]+)|[^a-zA-Z] ""&amp;C110&amp;"" ([\d]+)""))))=max(value(REGEXEXTRACT(F110,"" ([\d]+)"")),value(REGEXEXTRACT(F110,""([\d]+)$""))),""""))"),"")</f>
        <v/>
      </c>
    </row>
    <row r="111">
      <c r="A111" s="1">
        <v>120.0</v>
      </c>
      <c r="B111" s="1"/>
      <c r="C111" s="4"/>
      <c r="D111" s="4"/>
      <c r="E111" s="7"/>
      <c r="F111" s="9"/>
      <c r="G111" s="4"/>
      <c r="H111" s="4"/>
      <c r="I111" s="7"/>
      <c r="J111" s="9"/>
      <c r="K111" s="4"/>
      <c r="L111" s="4"/>
      <c r="M111" s="7"/>
      <c r="N111" s="4"/>
      <c r="O111" s="4"/>
      <c r="P111" s="4"/>
      <c r="Q111" s="4"/>
      <c r="R111" s="4"/>
      <c r="S111" s="95" t="str">
        <f t="array" ref="S111">vlookup(C111,{DraftTracker!F:F,DraftTracker!E:E},2,0)</f>
        <v>#N/A</v>
      </c>
      <c r="T111" s="95" t="str">
        <f>VLOOKUP(S111,P5G5!A:B,2,0)</f>
        <v>#N/A</v>
      </c>
      <c r="U111" s="54" t="str">
        <f>IFERROR(__xludf.DUMMYFUNCTION("iferror(if(not(iserror(find(""FINAL"",G111))),max(arrayformula(value(REGEXEXTRACT(F111,""^""&amp;C111&amp;"" ([\d]+)|[^a-zA-Z] ""&amp;C111&amp;"" ([\d]+)""))))=max(value(REGEXEXTRACT(F111,"" ([\d]+)"")),value(REGEXEXTRACT(F111,""([\d]+)$""))),""""))"),"")</f>
        <v/>
      </c>
    </row>
    <row r="112">
      <c r="A112" s="21">
        <v>121.0</v>
      </c>
      <c r="B112" s="24" t="s">
        <v>69</v>
      </c>
      <c r="C112" s="25" t="s">
        <v>250</v>
      </c>
      <c r="D112" s="97">
        <v>3.0</v>
      </c>
      <c r="E112" s="29">
        <v>9.0</v>
      </c>
      <c r="F112" s="98"/>
      <c r="G112" s="35"/>
      <c r="H112" s="99"/>
      <c r="I112" s="100"/>
      <c r="J112" s="64"/>
      <c r="K112" s="65"/>
      <c r="L112" s="65"/>
      <c r="M112" s="63"/>
      <c r="N112" s="101">
        <v>311.0</v>
      </c>
      <c r="O112" s="31">
        <v>401.0</v>
      </c>
      <c r="P112" s="35">
        <v>3.0</v>
      </c>
      <c r="Q112" s="35" t="b">
        <v>1</v>
      </c>
      <c r="R112" s="35">
        <v>100.0</v>
      </c>
      <c r="S112" s="54" t="str">
        <f t="array" ref="S112">vlookup(C112,{DraftTracker!F:F,DraftTracker!E:E},2,0)</f>
        <v>CUSA</v>
      </c>
      <c r="T112" s="54" t="str">
        <f>VLOOKUP(S112,P5G5!A:B,2,0)</f>
        <v>Group of 5</v>
      </c>
      <c r="U112" s="56" t="str">
        <f>IFERROR(__xludf.DUMMYFUNCTION("iferror(if(not(iserror(find(""FINAL"",G112))),max(arrayformula(value(REGEXEXTRACT(F112,""^""&amp;C112&amp;"" ([\d]+)|[^a-zA-Z] ""&amp;C112&amp;"" ([\d]+)""))))=max(value(REGEXEXTRACT(F112,"" ([\d]+)"")),value(REGEXEXTRACT(F112,""([\d]+)$""))),""""))"),"")</f>
        <v/>
      </c>
    </row>
    <row r="113">
      <c r="A113" s="21">
        <v>121.0</v>
      </c>
      <c r="B113" s="81" t="s">
        <v>69</v>
      </c>
      <c r="C113" s="25" t="s">
        <v>251</v>
      </c>
      <c r="D113" s="58">
        <v>6.0</v>
      </c>
      <c r="E113" s="59">
        <v>6.0</v>
      </c>
      <c r="F113" s="60"/>
      <c r="G113" s="35"/>
      <c r="H113" s="62"/>
      <c r="I113" s="63"/>
      <c r="J113" s="64"/>
      <c r="K113" s="65"/>
      <c r="L113" s="65"/>
      <c r="M113" s="63"/>
      <c r="N113" s="65">
        <v>379.0</v>
      </c>
      <c r="O113" s="35">
        <v>392.0</v>
      </c>
      <c r="P113" s="35">
        <v>3.0</v>
      </c>
      <c r="Q113" s="35" t="b">
        <v>1</v>
      </c>
      <c r="R113" s="35">
        <v>100.0</v>
      </c>
      <c r="S113" s="54" t="str">
        <f t="array" ref="S113">vlookup(C113,{DraftTracker!F:F,DraftTracker!E:E},2,0)</f>
        <v>Pac12</v>
      </c>
      <c r="T113" s="54" t="str">
        <f>VLOOKUP(S113,P5G5!A:B,2,0)</f>
        <v>Power 5</v>
      </c>
      <c r="U113" s="56" t="str">
        <f>IFERROR(__xludf.DUMMYFUNCTION("iferror(if(not(iserror(find(""FINAL"",G113))),max(arrayformula(value(REGEXEXTRACT(F113,""^""&amp;C113&amp;"" ([\d]+)|[^a-zA-Z] ""&amp;C113&amp;"" ([\d]+)""))))=max(value(REGEXEXTRACT(F113,"" ([\d]+)"")),value(REGEXEXTRACT(F113,""([\d]+)$""))),""""))"),"")</f>
        <v/>
      </c>
    </row>
    <row r="114">
      <c r="A114" s="21">
        <v>121.0</v>
      </c>
      <c r="B114" s="81" t="s">
        <v>69</v>
      </c>
      <c r="C114" s="25" t="s">
        <v>252</v>
      </c>
      <c r="D114" s="58">
        <v>3.0</v>
      </c>
      <c r="E114" s="59">
        <v>9.0</v>
      </c>
      <c r="F114" s="82"/>
      <c r="G114" s="62"/>
      <c r="H114" s="62"/>
      <c r="I114" s="63"/>
      <c r="J114" s="64"/>
      <c r="K114" s="65"/>
      <c r="L114" s="65"/>
      <c r="M114" s="63"/>
      <c r="N114" s="65">
        <v>210.0</v>
      </c>
      <c r="O114" s="35">
        <v>343.0</v>
      </c>
      <c r="P114" s="35">
        <v>3.0</v>
      </c>
      <c r="Q114" s="35" t="b">
        <v>1</v>
      </c>
      <c r="R114" s="35">
        <v>100.0</v>
      </c>
      <c r="S114" s="54" t="str">
        <f t="array" ref="S114">vlookup(C114,{DraftTracker!F:F,DraftTracker!E:E},2,0)</f>
        <v>MAC</v>
      </c>
      <c r="T114" s="54" t="str">
        <f>VLOOKUP(S114,P5G5!A:B,2,0)</f>
        <v>Group of 5</v>
      </c>
      <c r="U114" s="56" t="str">
        <f>IFERROR(__xludf.DUMMYFUNCTION("iferror(if(not(iserror(find(""FINAL"",G114))),max(arrayformula(value(REGEXEXTRACT(F114,""^""&amp;C114&amp;"" ([\d]+)|[^a-zA-Z] ""&amp;C114&amp;"" ([\d]+)""))))=max(value(REGEXEXTRACT(F114,"" ([\d]+)"")),value(REGEXEXTRACT(F114,""([\d]+)$""))),""""))"),"")</f>
        <v/>
      </c>
    </row>
    <row r="115">
      <c r="A115" s="21">
        <v>121.0</v>
      </c>
      <c r="B115" s="81" t="s">
        <v>69</v>
      </c>
      <c r="C115" s="25" t="s">
        <v>253</v>
      </c>
      <c r="D115" s="58">
        <v>6.0</v>
      </c>
      <c r="E115" s="59">
        <v>6.0</v>
      </c>
      <c r="F115" s="82"/>
      <c r="G115" s="35"/>
      <c r="H115" s="35"/>
      <c r="I115" s="63"/>
      <c r="J115" s="64"/>
      <c r="K115" s="65"/>
      <c r="L115" s="65"/>
      <c r="M115" s="65"/>
      <c r="N115" s="65">
        <v>370.0</v>
      </c>
      <c r="O115" s="35">
        <v>419.0</v>
      </c>
      <c r="P115" s="35">
        <v>3.0</v>
      </c>
      <c r="Q115" s="35" t="b">
        <v>1</v>
      </c>
      <c r="R115" s="35">
        <v>100.0</v>
      </c>
      <c r="S115" s="54" t="str">
        <f t="array" ref="S115">vlookup(C115,{DraftTracker!F:F,DraftTracker!E:E},2,0)</f>
        <v>AAC</v>
      </c>
      <c r="T115" s="54" t="str">
        <f>VLOOKUP(S115,P5G5!A:B,2,0)</f>
        <v>Group of 5</v>
      </c>
      <c r="U115" s="56" t="str">
        <f>IFERROR(__xludf.DUMMYFUNCTION("iferror(if(not(iserror(find(""FINAL"",G115))),max(arrayformula(value(REGEXEXTRACT(F115,""^""&amp;C115&amp;"" ([\d]+)|[^a-zA-Z] ""&amp;C115&amp;"" ([\d]+)""))))=max(value(REGEXEXTRACT(F115,"" ([\d]+)"")),value(REGEXEXTRACT(F115,""([\d]+)$""))),""""))"),"")</f>
        <v/>
      </c>
    </row>
    <row r="116">
      <c r="A116" s="21">
        <v>121.0</v>
      </c>
      <c r="B116" s="81" t="s">
        <v>69</v>
      </c>
      <c r="C116" s="25" t="s">
        <v>254</v>
      </c>
      <c r="D116" s="58">
        <v>6.0</v>
      </c>
      <c r="E116" s="59">
        <v>6.0</v>
      </c>
      <c r="F116" s="82"/>
      <c r="G116" s="35"/>
      <c r="H116" s="35"/>
      <c r="I116" s="63"/>
      <c r="J116" s="64"/>
      <c r="K116" s="65"/>
      <c r="L116" s="65"/>
      <c r="M116" s="63"/>
      <c r="N116" s="65">
        <v>333.0</v>
      </c>
      <c r="O116" s="35">
        <v>374.0</v>
      </c>
      <c r="P116" s="35">
        <v>3.0</v>
      </c>
      <c r="Q116" s="35" t="b">
        <v>1</v>
      </c>
      <c r="R116" s="35">
        <v>100.0</v>
      </c>
      <c r="S116" s="54" t="str">
        <f t="array" ref="S116">vlookup(C116,{DraftTracker!F:F,DraftTracker!E:E},2,0)</f>
        <v>Sun Belt</v>
      </c>
      <c r="T116" s="54" t="str">
        <f>VLOOKUP(S116,P5G5!A:B,2,0)</f>
        <v>Group of 5</v>
      </c>
      <c r="U116" s="56" t="str">
        <f>IFERROR(__xludf.DUMMYFUNCTION("iferror(if(not(iserror(find(""FINAL"",G116))),max(arrayformula(value(REGEXEXTRACT(F116,""^""&amp;C116&amp;"" ([\d]+)|[^a-zA-Z] ""&amp;C116&amp;"" ([\d]+)""))))=max(value(REGEXEXTRACT(F116,"" ([\d]+)"")),value(REGEXEXTRACT(F116,""([\d]+)$""))),""""))"),"")</f>
        <v/>
      </c>
    </row>
    <row r="117">
      <c r="A117" s="21">
        <v>121.0</v>
      </c>
      <c r="B117" s="81" t="s">
        <v>69</v>
      </c>
      <c r="C117" s="25" t="s">
        <v>255</v>
      </c>
      <c r="D117" s="58">
        <v>7.0</v>
      </c>
      <c r="E117" s="59">
        <v>5.0</v>
      </c>
      <c r="F117" s="82"/>
      <c r="G117" s="35"/>
      <c r="H117" s="35"/>
      <c r="I117" s="63"/>
      <c r="J117" s="64"/>
      <c r="K117" s="65"/>
      <c r="L117" s="65"/>
      <c r="M117" s="63"/>
      <c r="N117" s="65">
        <v>274.0</v>
      </c>
      <c r="O117" s="35">
        <v>227.0</v>
      </c>
      <c r="P117" s="35">
        <v>3.0</v>
      </c>
      <c r="Q117" s="35" t="b">
        <v>1</v>
      </c>
      <c r="R117" s="35">
        <v>100.0</v>
      </c>
      <c r="S117" s="54" t="str">
        <f t="array" ref="S117">vlookup(C117,{DraftTracker!F:F,DraftTracker!E:E},2,0)</f>
        <v>Big Ten</v>
      </c>
      <c r="T117" s="54" t="str">
        <f>VLOOKUP(S117,P5G5!A:B,2,0)</f>
        <v>Power 5</v>
      </c>
      <c r="U117" s="56" t="str">
        <f>IFERROR(__xludf.DUMMYFUNCTION("iferror(if(not(iserror(find(""FINAL"",G117))),max(arrayformula(value(REGEXEXTRACT(F117,""^""&amp;C117&amp;"" ([\d]+)|[^a-zA-Z] ""&amp;C117&amp;"" ([\d]+)""))))=max(value(REGEXEXTRACT(F117,"" ([\d]+)"")),value(REGEXEXTRACT(F117,""([\d]+)$""))),""""))"),"")</f>
        <v/>
      </c>
    </row>
    <row r="118">
      <c r="A118" s="21">
        <v>121.0</v>
      </c>
      <c r="B118" s="81" t="s">
        <v>69</v>
      </c>
      <c r="C118" s="25" t="s">
        <v>256</v>
      </c>
      <c r="D118" s="58">
        <v>3.0</v>
      </c>
      <c r="E118" s="59">
        <v>9.0</v>
      </c>
      <c r="F118" s="82"/>
      <c r="G118" s="35"/>
      <c r="H118" s="35"/>
      <c r="I118" s="63"/>
      <c r="J118" s="64"/>
      <c r="K118" s="65"/>
      <c r="L118" s="65"/>
      <c r="M118" s="63"/>
      <c r="N118" s="65">
        <v>242.0</v>
      </c>
      <c r="O118" s="35">
        <v>328.0</v>
      </c>
      <c r="P118" s="35">
        <v>3.0</v>
      </c>
      <c r="Q118" s="35" t="b">
        <v>1</v>
      </c>
      <c r="R118" s="35">
        <v>100.0</v>
      </c>
      <c r="S118" s="54" t="str">
        <f t="array" ref="S118">vlookup(C118,{DraftTracker!F:F,DraftTracker!E:E},2,0)</f>
        <v>ACC</v>
      </c>
      <c r="T118" s="54" t="str">
        <f>VLOOKUP(S118,P5G5!A:B,2,0)</f>
        <v>Power 5</v>
      </c>
      <c r="U118" s="56" t="str">
        <f>IFERROR(__xludf.DUMMYFUNCTION("iferror(if(not(iserror(find(""FINAL"",G118))),max(arrayformula(value(REGEXEXTRACT(F118,""^""&amp;C118&amp;"" ([\d]+)|[^a-zA-Z] ""&amp;C118&amp;"" ([\d]+)""))))=max(value(REGEXEXTRACT(F118,"" ([\d]+)"")),value(REGEXEXTRACT(F118,""([\d]+)$""))),""""))"),"")</f>
        <v/>
      </c>
    </row>
    <row r="119">
      <c r="A119" s="21">
        <v>121.0</v>
      </c>
      <c r="B119" s="81" t="s">
        <v>69</v>
      </c>
      <c r="C119" s="25" t="s">
        <v>219</v>
      </c>
      <c r="D119" s="58">
        <v>9.0</v>
      </c>
      <c r="E119" s="59">
        <v>3.0</v>
      </c>
      <c r="F119" s="82"/>
      <c r="G119" s="35"/>
      <c r="H119" s="35"/>
      <c r="I119" s="63"/>
      <c r="J119" s="64"/>
      <c r="K119" s="65"/>
      <c r="L119" s="65"/>
      <c r="M119" s="63"/>
      <c r="N119" s="65">
        <v>557.0</v>
      </c>
      <c r="O119" s="35">
        <v>333.0</v>
      </c>
      <c r="P119" s="35">
        <v>3.0</v>
      </c>
      <c r="Q119" s="35" t="b">
        <v>1</v>
      </c>
      <c r="R119" s="35">
        <v>100.0</v>
      </c>
      <c r="S119" s="54" t="str">
        <f t="array" ref="S119">vlookup(C119,{DraftTracker!F:F,DraftTracker!E:E},2,0)</f>
        <v>SEC</v>
      </c>
      <c r="T119" s="54" t="str">
        <f>VLOOKUP(S119,P5G5!A:B,2,0)</f>
        <v>Power 5</v>
      </c>
      <c r="U119" s="56" t="str">
        <f>IFERROR(__xludf.DUMMYFUNCTION("iferror(if(not(iserror(find(""FINAL"",G119))),max(arrayformula(value(REGEXEXTRACT(F119,""^""&amp;C119&amp;"" ([\d]+)|[^a-zA-Z] ""&amp;C119&amp;"" ([\d]+)""))))=max(value(REGEXEXTRACT(F119,"" ([\d]+)"")),value(REGEXEXTRACT(F119,""([\d]+)$""))),""""))"),"")</f>
        <v/>
      </c>
    </row>
    <row r="120">
      <c r="A120" s="21">
        <v>121.0</v>
      </c>
      <c r="B120" s="81" t="s">
        <v>69</v>
      </c>
      <c r="C120" s="25" t="s">
        <v>257</v>
      </c>
      <c r="D120" s="58">
        <v>6.0</v>
      </c>
      <c r="E120" s="59">
        <v>6.0</v>
      </c>
      <c r="F120" s="82"/>
      <c r="G120" s="35"/>
      <c r="H120" s="35"/>
      <c r="I120" s="63"/>
      <c r="J120" s="64"/>
      <c r="K120" s="65"/>
      <c r="L120" s="65"/>
      <c r="M120" s="63"/>
      <c r="N120" s="65">
        <v>390.0</v>
      </c>
      <c r="O120" s="35">
        <v>305.0</v>
      </c>
      <c r="P120" s="35">
        <v>3.0</v>
      </c>
      <c r="Q120" s="35" t="b">
        <v>1</v>
      </c>
      <c r="R120" s="35">
        <v>100.0</v>
      </c>
      <c r="S120" s="54" t="str">
        <f t="array" ref="S120">vlookup(C120,{DraftTracker!F:F,DraftTracker!E:E},2,0)</f>
        <v>Big 12</v>
      </c>
      <c r="T120" s="54" t="str">
        <f>VLOOKUP(S120,P5G5!A:B,2,0)</f>
        <v>Power 5</v>
      </c>
      <c r="U120" s="56" t="str">
        <f>IFERROR(__xludf.DUMMYFUNCTION("iferror(if(not(iserror(find(""FINAL"",G120))),max(arrayformula(value(REGEXEXTRACT(F120,""^""&amp;C120&amp;"" ([\d]+)|[^a-zA-Z] ""&amp;C120&amp;"" ([\d]+)""))))=max(value(REGEXEXTRACT(F120,"" ([\d]+)"")),value(REGEXEXTRACT(F120,""([\d]+)$""))),""""))"),"")</f>
        <v/>
      </c>
    </row>
    <row r="121">
      <c r="A121" s="21">
        <v>121.0</v>
      </c>
      <c r="B121" s="81" t="s">
        <v>69</v>
      </c>
      <c r="C121" s="25" t="s">
        <v>243</v>
      </c>
      <c r="D121" s="58">
        <v>8.0</v>
      </c>
      <c r="E121" s="59">
        <v>4.0</v>
      </c>
      <c r="F121" s="82"/>
      <c r="G121" s="35"/>
      <c r="H121" s="35"/>
      <c r="I121" s="63"/>
      <c r="J121" s="64"/>
      <c r="K121" s="65"/>
      <c r="L121" s="65"/>
      <c r="M121" s="63"/>
      <c r="N121" s="65">
        <v>331.0</v>
      </c>
      <c r="O121" s="35">
        <v>215.0</v>
      </c>
      <c r="P121" s="35">
        <v>3.0</v>
      </c>
      <c r="Q121" s="35" t="b">
        <v>1</v>
      </c>
      <c r="R121" s="35">
        <v>100.0</v>
      </c>
      <c r="S121" s="54" t="str">
        <f t="array" ref="S121">vlookup(C121,{DraftTracker!F:F,DraftTracker!E:E},2,0)</f>
        <v>MWC</v>
      </c>
      <c r="T121" s="54" t="str">
        <f>VLOOKUP(S121,P5G5!A:B,2,0)</f>
        <v>Group of 5</v>
      </c>
      <c r="U121" s="56" t="str">
        <f>IFERROR(__xludf.DUMMYFUNCTION("iferror(if(not(iserror(find(""FINAL"",G121))),max(arrayformula(value(REGEXEXTRACT(F121,""^""&amp;C121&amp;"" ([\d]+)|[^a-zA-Z] ""&amp;C121&amp;"" ([\d]+)""))))=max(value(REGEXEXTRACT(F121,"" ([\d]+)"")),value(REGEXEXTRACT(F121,""([\d]+)$""))),""""))"),"")</f>
        <v/>
      </c>
    </row>
    <row r="122">
      <c r="A122" s="1">
        <v>122.0</v>
      </c>
      <c r="B122" s="4"/>
      <c r="C122" s="4"/>
      <c r="D122" s="4"/>
      <c r="E122" s="7"/>
      <c r="F122" s="9"/>
      <c r="G122" s="4"/>
      <c r="H122" s="4"/>
      <c r="I122" s="7"/>
      <c r="J122" s="9"/>
      <c r="K122" s="4"/>
      <c r="L122" s="4"/>
      <c r="M122" s="7"/>
      <c r="N122" s="4"/>
      <c r="O122" s="4"/>
      <c r="P122" s="4"/>
      <c r="Q122" s="4"/>
      <c r="R122" s="4"/>
      <c r="S122" s="95" t="str">
        <f t="array" ref="S122">vlookup(C122,{DraftTracker!F:F,DraftTracker!E:E},2,0)</f>
        <v>#N/A</v>
      </c>
      <c r="T122" s="95" t="str">
        <f>VLOOKUP(S122,P5G5!A:B,2,0)</f>
        <v>#N/A</v>
      </c>
      <c r="U122" s="54" t="str">
        <f>IFERROR(__xludf.DUMMYFUNCTION("iferror(if(not(iserror(find(""FINAL"",G122))),max(arrayformula(value(REGEXEXTRACT(F122,""^""&amp;C122&amp;"" ([\d]+)|[^a-zA-Z] ""&amp;C122&amp;"" ([\d]+)""))))=max(value(REGEXEXTRACT(F122,"" ([\d]+)"")),value(REGEXEXTRACT(F122,""([\d]+)$""))),""""))"),"")</f>
        <v/>
      </c>
    </row>
    <row r="123">
      <c r="A123" s="21">
        <v>123.0</v>
      </c>
      <c r="B123" s="81" t="s">
        <v>125</v>
      </c>
      <c r="C123" s="25" t="s">
        <v>224</v>
      </c>
      <c r="D123" s="58">
        <v>12.0</v>
      </c>
      <c r="E123" s="59">
        <v>0.0</v>
      </c>
      <c r="F123" s="60" t="s">
        <v>108</v>
      </c>
      <c r="G123" s="61">
        <v>45262.833333333336</v>
      </c>
      <c r="H123" s="62" t="s">
        <v>60</v>
      </c>
      <c r="I123" s="63"/>
      <c r="J123" s="64">
        <v>-6.5</v>
      </c>
      <c r="K123" s="65">
        <v>-2.5</v>
      </c>
      <c r="L123" s="65">
        <v>118</v>
      </c>
      <c r="M123" s="63" t="s">
        <v>151</v>
      </c>
      <c r="N123" s="65">
        <v>465.0</v>
      </c>
      <c r="O123" s="35">
        <v>201.0</v>
      </c>
      <c r="P123" s="35">
        <v>1.0</v>
      </c>
      <c r="Q123" s="35" t="b">
        <v>0</v>
      </c>
      <c r="R123" s="35">
        <v>100.0</v>
      </c>
      <c r="S123" s="54" t="str">
        <f t="array" ref="S123">vlookup(C123,{DraftTracker!F:F,DraftTracker!E:E},2,0)</f>
        <v>ACC</v>
      </c>
      <c r="T123" s="54" t="str">
        <f>VLOOKUP(S123,P5G5!A:B,2,0)</f>
        <v>Power 5</v>
      </c>
      <c r="U123" s="54" t="str">
        <f>IFERROR(__xludf.DUMMYFUNCTION("iferror(if(not(iserror(find(""FINAL"",G123))),max(arrayformula(value(REGEXEXTRACT(F123,""^""&amp;C123&amp;"" ([\d]+)|[^a-zA-Z] ""&amp;C123&amp;"" ([\d]+)""))))=max(value(REGEXEXTRACT(F123,"" ([\d]+)"")),value(REGEXEXTRACT(F123,""([\d]+)$""))),""""))"),"")</f>
        <v/>
      </c>
    </row>
    <row r="124">
      <c r="A124" s="21">
        <v>123.0</v>
      </c>
      <c r="B124" s="81" t="s">
        <v>125</v>
      </c>
      <c r="C124" s="25" t="s">
        <v>239</v>
      </c>
      <c r="D124" s="58">
        <v>11.0</v>
      </c>
      <c r="E124" s="59">
        <v>1.0</v>
      </c>
      <c r="F124" s="82" t="s">
        <v>106</v>
      </c>
      <c r="G124" s="61">
        <v>45262.5</v>
      </c>
      <c r="H124" s="62" t="s">
        <v>61</v>
      </c>
      <c r="I124" s="63" t="s">
        <v>82</v>
      </c>
      <c r="J124" s="64">
        <v>-10.5</v>
      </c>
      <c r="K124" s="65">
        <v>-14.5</v>
      </c>
      <c r="L124" s="65">
        <v>500</v>
      </c>
      <c r="M124" s="63" t="s">
        <v>68</v>
      </c>
      <c r="N124" s="65">
        <v>421.0</v>
      </c>
      <c r="O124" s="35">
        <v>207.0</v>
      </c>
      <c r="P124" s="35">
        <v>1.0</v>
      </c>
      <c r="Q124" s="35" t="b">
        <v>1</v>
      </c>
      <c r="R124" s="35">
        <v>100.0</v>
      </c>
      <c r="S124" s="54" t="str">
        <f t="array" ref="S124">vlookup(C124,{DraftTracker!F:F,DraftTracker!E:E},2,0)</f>
        <v>Big 12</v>
      </c>
      <c r="T124" s="54" t="str">
        <f>VLOOKUP(S124,P5G5!A:B,2,0)</f>
        <v>Power 5</v>
      </c>
      <c r="U124" s="56" t="str">
        <f>IFERROR(__xludf.DUMMYFUNCTION("iferror(if(not(iserror(find(""FINAL"",G124))),max(arrayformula(value(REGEXEXTRACT(F124,""^""&amp;C124&amp;"" ([\d]+)|[^a-zA-Z] ""&amp;C124&amp;"" ([\d]+)""))))=max(value(REGEXEXTRACT(F124,"" ([\d]+)"")),value(REGEXEXTRACT(F124,""([\d]+)$""))),""""))"),"")</f>
        <v/>
      </c>
    </row>
    <row r="125">
      <c r="A125" s="21">
        <v>123.0</v>
      </c>
      <c r="B125" s="81" t="s">
        <v>125</v>
      </c>
      <c r="C125" s="25" t="s">
        <v>258</v>
      </c>
      <c r="D125" s="58">
        <v>2.0</v>
      </c>
      <c r="E125" s="59">
        <v>10.0</v>
      </c>
      <c r="F125" s="82"/>
      <c r="G125" s="35"/>
      <c r="H125" s="35"/>
      <c r="I125" s="63"/>
      <c r="J125" s="64"/>
      <c r="K125" s="65"/>
      <c r="L125" s="65"/>
      <c r="M125" s="63"/>
      <c r="N125" s="65">
        <v>208.0</v>
      </c>
      <c r="O125" s="35">
        <v>401.0</v>
      </c>
      <c r="P125" s="35">
        <v>3.0</v>
      </c>
      <c r="Q125" s="35" t="b">
        <v>1</v>
      </c>
      <c r="R125" s="35">
        <v>100.0</v>
      </c>
      <c r="S125" s="54" t="str">
        <f t="array" ref="S125">vlookup(C125,{DraftTracker!F:F,DraftTracker!E:E},2,0)</f>
        <v>MWC</v>
      </c>
      <c r="T125" s="54" t="str">
        <f>VLOOKUP(S125,P5G5!A:B,2,0)</f>
        <v>Group of 5</v>
      </c>
      <c r="U125" s="56" t="str">
        <f>IFERROR(__xludf.DUMMYFUNCTION("iferror(if(not(iserror(find(""FINAL"",G125))),max(arrayformula(value(REGEXEXTRACT(F125,""^""&amp;C125&amp;"" ([\d]+)|[^a-zA-Z] ""&amp;C125&amp;"" ([\d]+)""))))=max(value(REGEXEXTRACT(F125,"" ([\d]+)"")),value(REGEXEXTRACT(F125,""([\d]+)$""))),""""))"),"")</f>
        <v/>
      </c>
    </row>
    <row r="126">
      <c r="A126" s="21">
        <v>123.0</v>
      </c>
      <c r="B126" s="81" t="s">
        <v>125</v>
      </c>
      <c r="C126" s="25" t="s">
        <v>259</v>
      </c>
      <c r="D126" s="58">
        <v>5.0</v>
      </c>
      <c r="E126" s="59">
        <v>7.0</v>
      </c>
      <c r="F126" s="82"/>
      <c r="G126" s="35"/>
      <c r="H126" s="35"/>
      <c r="I126" s="63"/>
      <c r="J126" s="64"/>
      <c r="K126" s="65"/>
      <c r="L126" s="65"/>
      <c r="M126" s="63"/>
      <c r="N126" s="65">
        <v>380.0</v>
      </c>
      <c r="O126" s="35">
        <v>337.0</v>
      </c>
      <c r="P126" s="35">
        <v>3.0</v>
      </c>
      <c r="Q126" s="35" t="b">
        <v>1</v>
      </c>
      <c r="R126" s="35">
        <v>100.0</v>
      </c>
      <c r="S126" s="54" t="str">
        <f t="array" ref="S126">vlookup(C126,{DraftTracker!F:F,DraftTracker!E:E},2,0)</f>
        <v>Pac12</v>
      </c>
      <c r="T126" s="54" t="str">
        <f>VLOOKUP(S126,P5G5!A:B,2,0)</f>
        <v>Power 5</v>
      </c>
      <c r="U126" s="56" t="str">
        <f>IFERROR(__xludf.DUMMYFUNCTION("iferror(if(not(iserror(find(""FINAL"",G126))),max(arrayformula(value(REGEXEXTRACT(F126,""^""&amp;C126&amp;"" ([\d]+)|[^a-zA-Z] ""&amp;C126&amp;"" ([\d]+)""))))=max(value(REGEXEXTRACT(F126,"" ([\d]+)"")),value(REGEXEXTRACT(F126,""([\d]+)$""))),""""))"),"")</f>
        <v/>
      </c>
    </row>
    <row r="127">
      <c r="A127" s="21">
        <v>123.0</v>
      </c>
      <c r="B127" s="81" t="s">
        <v>125</v>
      </c>
      <c r="C127" s="25" t="s">
        <v>260</v>
      </c>
      <c r="D127" s="58">
        <v>8.0</v>
      </c>
      <c r="E127" s="59">
        <v>4.0</v>
      </c>
      <c r="F127" s="82"/>
      <c r="G127" s="35"/>
      <c r="H127" s="35"/>
      <c r="I127" s="63"/>
      <c r="J127" s="64"/>
      <c r="K127" s="65"/>
      <c r="L127" s="65"/>
      <c r="M127" s="63"/>
      <c r="N127" s="65">
        <v>358.0</v>
      </c>
      <c r="O127" s="35">
        <v>244.0</v>
      </c>
      <c r="P127" s="35">
        <v>3.0</v>
      </c>
      <c r="Q127" s="35" t="b">
        <v>1</v>
      </c>
      <c r="R127" s="35">
        <v>100.0</v>
      </c>
      <c r="S127" s="54" t="str">
        <f t="array" ref="S127">vlookup(C127,{DraftTracker!F:F,DraftTracker!E:E},2,0)</f>
        <v>CUSA</v>
      </c>
      <c r="T127" s="54" t="str">
        <f>VLOOKUP(S127,P5G5!A:B,2,0)</f>
        <v>Group of 5</v>
      </c>
      <c r="U127" s="56" t="str">
        <f>IFERROR(__xludf.DUMMYFUNCTION("iferror(if(not(iserror(find(""FINAL"",G127))),max(arrayformula(value(REGEXEXTRACT(F127,""^""&amp;C127&amp;"" ([\d]+)|[^a-zA-Z] ""&amp;C127&amp;"" ([\d]+)""))))=max(value(REGEXEXTRACT(F127,"" ([\d]+)"")),value(REGEXEXTRACT(F127,""([\d]+)$""))),""""))"),"")</f>
        <v/>
      </c>
    </row>
    <row r="128">
      <c r="A128" s="21">
        <v>123.0</v>
      </c>
      <c r="B128" s="81" t="s">
        <v>125</v>
      </c>
      <c r="C128" s="25" t="s">
        <v>261</v>
      </c>
      <c r="D128" s="58">
        <v>7.0</v>
      </c>
      <c r="E128" s="59">
        <v>5.0</v>
      </c>
      <c r="F128" s="82"/>
      <c r="G128" s="35"/>
      <c r="H128" s="35"/>
      <c r="I128" s="63"/>
      <c r="J128" s="64"/>
      <c r="K128" s="65"/>
      <c r="L128" s="65"/>
      <c r="M128" s="63"/>
      <c r="N128" s="65">
        <v>273.0</v>
      </c>
      <c r="O128" s="35">
        <v>286.0</v>
      </c>
      <c r="P128" s="35">
        <v>3.0</v>
      </c>
      <c r="Q128" s="35" t="b">
        <v>1</v>
      </c>
      <c r="R128" s="35">
        <v>100.0</v>
      </c>
      <c r="S128" s="54" t="str">
        <f t="array" ref="S128">vlookup(C128,{DraftTracker!F:F,DraftTracker!E:E},2,0)</f>
        <v>Big Ten</v>
      </c>
      <c r="T128" s="54" t="str">
        <f>VLOOKUP(S128,P5G5!A:B,2,0)</f>
        <v>Power 5</v>
      </c>
      <c r="U128" s="56" t="str">
        <f>IFERROR(__xludf.DUMMYFUNCTION("iferror(if(not(iserror(find(""FINAL"",G128))),max(arrayformula(value(REGEXEXTRACT(F128,""^""&amp;C128&amp;"" ([\d]+)|[^a-zA-Z] ""&amp;C128&amp;"" ([\d]+)""))))=max(value(REGEXEXTRACT(F128,"" ([\d]+)"")),value(REGEXEXTRACT(F128,""([\d]+)$""))),""""))"),"")</f>
        <v/>
      </c>
    </row>
    <row r="129">
      <c r="A129" s="21">
        <v>123.0</v>
      </c>
      <c r="B129" s="81" t="s">
        <v>125</v>
      </c>
      <c r="C129" s="25" t="s">
        <v>262</v>
      </c>
      <c r="D129" s="58">
        <v>11.0</v>
      </c>
      <c r="E129" s="59">
        <v>1.0</v>
      </c>
      <c r="F129" s="82"/>
      <c r="G129" s="35"/>
      <c r="H129" s="35"/>
      <c r="I129" s="63"/>
      <c r="J129" s="64"/>
      <c r="K129" s="65"/>
      <c r="L129" s="65"/>
      <c r="M129" s="63"/>
      <c r="N129" s="65">
        <v>422.0</v>
      </c>
      <c r="O129" s="35">
        <v>222.0</v>
      </c>
      <c r="P129" s="35">
        <v>3.0</v>
      </c>
      <c r="Q129" s="35" t="b">
        <v>1</v>
      </c>
      <c r="R129" s="35">
        <v>100.0</v>
      </c>
      <c r="S129" s="54" t="str">
        <f t="array" ref="S129">vlookup(C129,{DraftTracker!F:F,DraftTracker!E:E},2,0)</f>
        <v>Sun Belt</v>
      </c>
      <c r="T129" s="54" t="str">
        <f>VLOOKUP(S129,P5G5!A:B,2,0)</f>
        <v>Group of 5</v>
      </c>
      <c r="U129" s="56" t="str">
        <f>IFERROR(__xludf.DUMMYFUNCTION("iferror(if(not(iserror(find(""FINAL"",G129))),max(arrayformula(value(REGEXEXTRACT(F129,""^""&amp;C129&amp;"" ([\d]+)|[^a-zA-Z] ""&amp;C129&amp;"" ([\d]+)""))))=max(value(REGEXEXTRACT(F129,"" ([\d]+)"")),value(REGEXEXTRACT(F129,""([\d]+)$""))),""""))"),"")</f>
        <v/>
      </c>
    </row>
    <row r="130">
      <c r="A130" s="21">
        <v>123.0</v>
      </c>
      <c r="B130" s="81" t="s">
        <v>125</v>
      </c>
      <c r="C130" s="25" t="s">
        <v>263</v>
      </c>
      <c r="D130" s="58">
        <v>6.0</v>
      </c>
      <c r="E130" s="59">
        <v>6.0</v>
      </c>
      <c r="F130" s="82"/>
      <c r="G130" s="35"/>
      <c r="H130" s="35"/>
      <c r="I130" s="63"/>
      <c r="J130" s="64"/>
      <c r="K130" s="65"/>
      <c r="L130" s="65"/>
      <c r="M130" s="63"/>
      <c r="N130" s="65">
        <v>363.0</v>
      </c>
      <c r="O130" s="35">
        <v>320.0</v>
      </c>
      <c r="P130" s="35">
        <v>3.0</v>
      </c>
      <c r="Q130" s="35" t="b">
        <v>1</v>
      </c>
      <c r="R130" s="35">
        <v>100.0</v>
      </c>
      <c r="S130" s="54" t="str">
        <f t="array" ref="S130">vlookup(C130,{DraftTracker!F:F,DraftTracker!E:E},2,0)</f>
        <v>AAC</v>
      </c>
      <c r="T130" s="54" t="str">
        <f>VLOOKUP(S130,P5G5!A:B,2,0)</f>
        <v>Group of 5</v>
      </c>
      <c r="U130" s="56" t="str">
        <f>IFERROR(__xludf.DUMMYFUNCTION("iferror(if(not(iserror(find(""FINAL"",G130))),max(arrayformula(value(REGEXEXTRACT(F130,""^""&amp;C130&amp;"" ([\d]+)|[^a-zA-Z] ""&amp;C130&amp;"" ([\d]+)""))))=max(value(REGEXEXTRACT(F130,"" ([\d]+)"")),value(REGEXEXTRACT(F130,""([\d]+)$""))),""""))"),"")</f>
        <v/>
      </c>
    </row>
    <row r="131">
      <c r="A131" s="21">
        <v>123.0</v>
      </c>
      <c r="B131" s="81" t="s">
        <v>125</v>
      </c>
      <c r="C131" s="25" t="s">
        <v>264</v>
      </c>
      <c r="D131" s="58">
        <v>7.0</v>
      </c>
      <c r="E131" s="59">
        <v>5.0</v>
      </c>
      <c r="F131" s="82"/>
      <c r="G131" s="35"/>
      <c r="H131" s="35"/>
      <c r="I131" s="63"/>
      <c r="J131" s="64"/>
      <c r="K131" s="65"/>
      <c r="L131" s="65"/>
      <c r="M131" s="63"/>
      <c r="N131" s="65">
        <v>410.0</v>
      </c>
      <c r="O131" s="35">
        <v>256.0</v>
      </c>
      <c r="P131" s="35">
        <v>3.0</v>
      </c>
      <c r="Q131" s="35" t="b">
        <v>1</v>
      </c>
      <c r="R131" s="35">
        <v>100.0</v>
      </c>
      <c r="S131" s="54" t="str">
        <f t="array" ref="S131">vlookup(C131,{DraftTracker!F:F,DraftTracker!E:E},2,0)</f>
        <v>SEC</v>
      </c>
      <c r="T131" s="54" t="str">
        <f>VLOOKUP(S131,P5G5!A:B,2,0)</f>
        <v>Power 5</v>
      </c>
      <c r="U131" s="56" t="str">
        <f>IFERROR(__xludf.DUMMYFUNCTION("iferror(if(not(iserror(find(""FINAL"",G131))),max(arrayformula(value(REGEXEXTRACT(F131,""^""&amp;C131&amp;"" ([\d]+)|[^a-zA-Z] ""&amp;C131&amp;"" ([\d]+)""))))=max(value(REGEXEXTRACT(F131,"" ([\d]+)"")),value(REGEXEXTRACT(F131,""([\d]+)$""))),""""))"),"")</f>
        <v/>
      </c>
    </row>
    <row r="132">
      <c r="A132" s="21">
        <v>123.0</v>
      </c>
      <c r="B132" s="81" t="s">
        <v>125</v>
      </c>
      <c r="C132" s="25" t="s">
        <v>265</v>
      </c>
      <c r="D132" s="58">
        <v>5.0</v>
      </c>
      <c r="E132" s="59">
        <v>7.0</v>
      </c>
      <c r="F132" s="82"/>
      <c r="G132" s="35"/>
      <c r="H132" s="35"/>
      <c r="I132" s="63"/>
      <c r="J132" s="64"/>
      <c r="K132" s="65"/>
      <c r="L132" s="65"/>
      <c r="M132" s="63"/>
      <c r="N132" s="65">
        <v>278.0</v>
      </c>
      <c r="O132" s="35">
        <v>373.0</v>
      </c>
      <c r="P132" s="35">
        <v>3.0</v>
      </c>
      <c r="Q132" s="35" t="b">
        <v>1</v>
      </c>
      <c r="R132" s="35">
        <v>100.0</v>
      </c>
      <c r="S132" s="54" t="str">
        <f t="array" ref="S132">vlookup(C132,{DraftTracker!F:F,DraftTracker!E:E},2,0)</f>
        <v>MAC</v>
      </c>
      <c r="T132" s="54" t="str">
        <f>VLOOKUP(S132,P5G5!A:B,2,0)</f>
        <v>Group of 5</v>
      </c>
      <c r="U132" s="56" t="str">
        <f>IFERROR(__xludf.DUMMYFUNCTION("iferror(if(not(iserror(find(""FINAL"",G132))),max(arrayformula(value(REGEXEXTRACT(F132,""^""&amp;C132&amp;"" ([\d]+)|[^a-zA-Z] ""&amp;C132&amp;"" ([\d]+)""))))=max(value(REGEXEXTRACT(F132,"" ([\d]+)"")),value(REGEXEXTRACT(F132,""([\d]+)$""))),""""))"),"")</f>
        <v/>
      </c>
    </row>
    <row r="133">
      <c r="A133" s="1">
        <v>124.0</v>
      </c>
      <c r="B133" s="1"/>
      <c r="C133" s="4"/>
      <c r="D133" s="4"/>
      <c r="E133" s="7"/>
      <c r="F133" s="9"/>
      <c r="G133" s="4"/>
      <c r="H133" s="4"/>
      <c r="I133" s="7"/>
      <c r="J133" s="9"/>
      <c r="K133" s="4"/>
      <c r="L133" s="4"/>
      <c r="M133" s="7"/>
      <c r="N133" s="4"/>
      <c r="O133" s="4"/>
      <c r="P133" s="4"/>
      <c r="Q133" s="4"/>
      <c r="R133" s="4"/>
      <c r="S133" s="95" t="str">
        <f t="array" ref="S133">vlookup(C133,{DraftTracker!F:F,DraftTracker!E:E},2,0)</f>
        <v>#N/A</v>
      </c>
      <c r="T133" s="95" t="str">
        <f>VLOOKUP(S133,P5G5!A:B,2,0)</f>
        <v>#N/A</v>
      </c>
      <c r="U133" s="54" t="str">
        <f>IFERROR(__xludf.DUMMYFUNCTION("iferror(if(not(iserror(find(""FINAL"",G133))),max(arrayformula(value(REGEXEXTRACT(F133,""^""&amp;C133&amp;"" ([\d]+)|[^a-zA-Z] ""&amp;C133&amp;"" ([\d]+)""))))=max(value(REGEXEXTRACT(F133,"" ([\d]+)"")),value(REGEXEXTRACT(F133,""([\d]+)$""))),""""))"),"")</f>
        <v/>
      </c>
    </row>
    <row r="134">
      <c r="A134" s="21">
        <v>125.0</v>
      </c>
      <c r="B134" s="148" t="s">
        <v>61</v>
      </c>
      <c r="C134" s="25" t="s">
        <v>266</v>
      </c>
      <c r="D134" s="97">
        <v>10.0</v>
      </c>
      <c r="E134" s="29">
        <v>2.0</v>
      </c>
      <c r="F134" s="98" t="s">
        <v>211</v>
      </c>
      <c r="G134" s="61">
        <v>45262.833333333336</v>
      </c>
      <c r="H134" s="99" t="s">
        <v>59</v>
      </c>
      <c r="I134" s="100"/>
      <c r="J134" s="64">
        <v>21.5</v>
      </c>
      <c r="K134" s="65">
        <v>22.5</v>
      </c>
      <c r="L134" s="65">
        <v>-4000.0</v>
      </c>
      <c r="M134" s="63" t="s">
        <v>212</v>
      </c>
      <c r="N134" s="101">
        <v>216.0</v>
      </c>
      <c r="O134" s="31">
        <v>146.0</v>
      </c>
      <c r="P134" s="35">
        <v>1.0</v>
      </c>
      <c r="Q134" s="35" t="b">
        <v>0</v>
      </c>
      <c r="R134" s="35">
        <v>100.0</v>
      </c>
      <c r="S134" s="54" t="str">
        <f t="array" ref="S134">vlookup(C134,{DraftTracker!F:F,DraftTracker!E:E},2,0)</f>
        <v>Big Ten</v>
      </c>
      <c r="T134" s="54" t="str">
        <f>VLOOKUP(S134,P5G5!A:B,2,0)</f>
        <v>Power 5</v>
      </c>
      <c r="U134" s="56" t="str">
        <f>IFERROR(__xludf.DUMMYFUNCTION("iferror(if(not(iserror(find(""FINAL"",G134))),max(arrayformula(value(REGEXEXTRACT(F134,""^""&amp;C134&amp;"" ([\d]+)|[^a-zA-Z] ""&amp;C134&amp;"" ([\d]+)""))))=max(value(REGEXEXTRACT(F134,"" ([\d]+)"")),value(REGEXEXTRACT(F134,""([\d]+)$""))),""""))"),"")</f>
        <v/>
      </c>
    </row>
    <row r="135">
      <c r="A135" s="21">
        <v>125.0</v>
      </c>
      <c r="B135" s="81" t="s">
        <v>61</v>
      </c>
      <c r="C135" s="25" t="s">
        <v>267</v>
      </c>
      <c r="D135" s="58">
        <v>9.0</v>
      </c>
      <c r="E135" s="59">
        <v>3.0</v>
      </c>
      <c r="F135" s="60" t="s">
        <v>106</v>
      </c>
      <c r="G135" s="83">
        <v>45262.5</v>
      </c>
      <c r="H135" s="62" t="s">
        <v>125</v>
      </c>
      <c r="I135" s="63"/>
      <c r="J135" s="64">
        <v>10.5</v>
      </c>
      <c r="K135" s="65">
        <v>14.5</v>
      </c>
      <c r="L135" s="65">
        <v>500</v>
      </c>
      <c r="M135" s="63" t="s">
        <v>68</v>
      </c>
      <c r="N135" s="65">
        <v>362.0</v>
      </c>
      <c r="O135" s="35">
        <v>328.0</v>
      </c>
      <c r="P135" s="35">
        <v>1.0</v>
      </c>
      <c r="Q135" s="35" t="b">
        <v>0</v>
      </c>
      <c r="R135" s="35">
        <v>100.0</v>
      </c>
      <c r="S135" s="54" t="str">
        <f t="array" ref="S135">vlookup(C135,{DraftTracker!F:F,DraftTracker!E:E},2,0)</f>
        <v>Big 12</v>
      </c>
      <c r="T135" s="54" t="str">
        <f>VLOOKUP(S135,P5G5!A:B,2,0)</f>
        <v>Power 5</v>
      </c>
      <c r="U135" s="56" t="str">
        <f>IFERROR(__xludf.DUMMYFUNCTION("iferror(if(not(iserror(find(""FINAL"",G135))),max(arrayformula(value(REGEXEXTRACT(F135,""^""&amp;C135&amp;"" ([\d]+)|[^a-zA-Z] ""&amp;C135&amp;"" ([\d]+)""))))=max(value(REGEXEXTRACT(F135,"" ([\d]+)"")),value(REGEXEXTRACT(F135,""([\d]+)$""))),""""))"),"")</f>
        <v/>
      </c>
    </row>
    <row r="136">
      <c r="A136" s="21">
        <v>125.0</v>
      </c>
      <c r="B136" s="21" t="s">
        <v>61</v>
      </c>
      <c r="C136" s="25" t="s">
        <v>268</v>
      </c>
      <c r="D136" s="58">
        <v>9.0</v>
      </c>
      <c r="E136" s="59">
        <v>3.0</v>
      </c>
      <c r="F136" s="82"/>
      <c r="G136" s="62"/>
      <c r="H136" s="62"/>
      <c r="I136" s="63"/>
      <c r="J136" s="64"/>
      <c r="K136" s="65"/>
      <c r="L136" s="65"/>
      <c r="M136" s="63"/>
      <c r="N136" s="65">
        <v>322.0</v>
      </c>
      <c r="O136" s="35">
        <v>242.0</v>
      </c>
      <c r="P136" s="35">
        <v>3.0</v>
      </c>
      <c r="Q136" s="35" t="b">
        <v>1</v>
      </c>
      <c r="R136" s="35">
        <v>100.0</v>
      </c>
      <c r="S136" s="54" t="str">
        <f t="array" ref="S136">vlookup(C136,{DraftTracker!F:F,DraftTracker!E:E},2,0)</f>
        <v>ACC</v>
      </c>
      <c r="T136" s="54" t="str">
        <f>VLOOKUP(S136,P5G5!A:B,2,0)</f>
        <v>Power 5</v>
      </c>
      <c r="U136" s="56" t="str">
        <f>IFERROR(__xludf.DUMMYFUNCTION("iferror(if(not(iserror(find(""FINAL"",G136))),max(arrayformula(value(REGEXEXTRACT(F136,""^""&amp;C136&amp;"" ([\d]+)|[^a-zA-Z] ""&amp;C136&amp;"" ([\d]+)""))))=max(value(REGEXEXTRACT(F136,"" ([\d]+)"")),value(REGEXEXTRACT(F136,""([\d]+)$""))),""""))"),"")</f>
        <v/>
      </c>
    </row>
    <row r="137">
      <c r="A137" s="21">
        <v>125.0</v>
      </c>
      <c r="B137" s="81" t="s">
        <v>61</v>
      </c>
      <c r="C137" s="25" t="s">
        <v>233</v>
      </c>
      <c r="D137" s="58">
        <v>8.0</v>
      </c>
      <c r="E137" s="59">
        <v>4.0</v>
      </c>
      <c r="F137" s="82"/>
      <c r="G137" s="35"/>
      <c r="H137" s="35"/>
      <c r="I137" s="63"/>
      <c r="J137" s="64">
        <v>-25.5</v>
      </c>
      <c r="K137" s="65">
        <v>-27.5</v>
      </c>
      <c r="L137" s="65">
        <v>1400.0</v>
      </c>
      <c r="M137" s="63" t="s">
        <v>235</v>
      </c>
      <c r="N137" s="65">
        <v>378.0</v>
      </c>
      <c r="O137" s="35">
        <v>264.0</v>
      </c>
      <c r="P137" s="35">
        <v>3.0</v>
      </c>
      <c r="Q137" s="35" t="b">
        <v>1</v>
      </c>
      <c r="R137" s="35">
        <v>100.0</v>
      </c>
      <c r="S137" s="54" t="str">
        <f t="array" ref="S137">vlookup(C137,{DraftTracker!F:F,DraftTracker!E:E},2,0)</f>
        <v>SEC</v>
      </c>
      <c r="T137" s="54" t="str">
        <f>VLOOKUP(S137,P5G5!A:B,2,0)</f>
        <v>Power 5</v>
      </c>
      <c r="U137" s="56" t="str">
        <f>IFERROR(__xludf.DUMMYFUNCTION("iferror(if(not(iserror(find(""FINAL"",G137))),max(arrayformula(value(REGEXEXTRACT(F137,""^""&amp;C137&amp;"" ([\d]+)|[^a-zA-Z] ""&amp;C137&amp;"" ([\d]+)""))))=max(value(REGEXEXTRACT(F137,"" ([\d]+)"")),value(REGEXEXTRACT(F137,""([\d]+)$""))),""""))"),"")</f>
        <v/>
      </c>
    </row>
    <row r="138">
      <c r="A138" s="21">
        <v>125.0</v>
      </c>
      <c r="B138" s="21" t="s">
        <v>61</v>
      </c>
      <c r="C138" s="25" t="s">
        <v>269</v>
      </c>
      <c r="D138" s="58">
        <v>4.0</v>
      </c>
      <c r="E138" s="59">
        <v>8.0</v>
      </c>
      <c r="F138" s="82"/>
      <c r="G138" s="35"/>
      <c r="H138" s="35"/>
      <c r="I138" s="63"/>
      <c r="J138" s="64"/>
      <c r="K138" s="65"/>
      <c r="L138" s="65"/>
      <c r="M138" s="63"/>
      <c r="N138" s="65">
        <v>338.0</v>
      </c>
      <c r="O138" s="35">
        <v>418.0</v>
      </c>
      <c r="P138" s="35">
        <v>3.0</v>
      </c>
      <c r="Q138" s="35" t="b">
        <v>1</v>
      </c>
      <c r="R138" s="35">
        <v>100.0</v>
      </c>
      <c r="S138" s="54" t="str">
        <f t="array" ref="S138">vlookup(C138,{DraftTracker!F:F,DraftTracker!E:E},2,0)</f>
        <v>Pac12</v>
      </c>
      <c r="T138" s="54" t="str">
        <f>VLOOKUP(S138,P5G5!A:B,2,0)</f>
        <v>Power 5</v>
      </c>
      <c r="U138" s="56" t="str">
        <f>IFERROR(__xludf.DUMMYFUNCTION("iferror(if(not(iserror(find(""FINAL"",G138))),max(arrayformula(value(REGEXEXTRACT(F138,""^""&amp;C138&amp;"" ([\d]+)|[^a-zA-Z] ""&amp;C138&amp;"" ([\d]+)""))))=max(value(REGEXEXTRACT(F138,"" ([\d]+)"")),value(REGEXEXTRACT(F138,""([\d]+)$""))),""""))"),"")</f>
        <v/>
      </c>
    </row>
    <row r="139">
      <c r="A139" s="21">
        <v>125.0</v>
      </c>
      <c r="B139" s="81" t="s">
        <v>61</v>
      </c>
      <c r="C139" s="25" t="s">
        <v>270</v>
      </c>
      <c r="D139" s="58">
        <v>6.0</v>
      </c>
      <c r="E139" s="59">
        <v>6.0</v>
      </c>
      <c r="F139" s="82"/>
      <c r="G139" s="35"/>
      <c r="H139" s="35"/>
      <c r="I139" s="63"/>
      <c r="J139" s="64"/>
      <c r="K139" s="65"/>
      <c r="L139" s="65"/>
      <c r="M139" s="63"/>
      <c r="N139" s="65">
        <v>275.0</v>
      </c>
      <c r="O139" s="35">
        <v>315.0</v>
      </c>
      <c r="P139" s="35">
        <v>3.0</v>
      </c>
      <c r="Q139" s="35" t="b">
        <v>1</v>
      </c>
      <c r="R139" s="35">
        <v>100.0</v>
      </c>
      <c r="S139" s="54" t="str">
        <f t="array" ref="S139">vlookup(C139,{DraftTracker!F:F,DraftTracker!E:E},2,0)</f>
        <v>Sun Belt</v>
      </c>
      <c r="T139" s="54" t="str">
        <f>VLOOKUP(S139,P5G5!A:B,2,0)</f>
        <v>Group of 5</v>
      </c>
      <c r="U139" s="56" t="str">
        <f>IFERROR(__xludf.DUMMYFUNCTION("iferror(if(not(iserror(find(""FINAL"",G139))),max(arrayformula(value(REGEXEXTRACT(F139,""^""&amp;C139&amp;"" ([\d]+)|[^a-zA-Z] ""&amp;C139&amp;"" ([\d]+)""))))=max(value(REGEXEXTRACT(F139,"" ([\d]+)"")),value(REGEXEXTRACT(F139,""([\d]+)$""))),""""))"),"")</f>
        <v/>
      </c>
    </row>
    <row r="140">
      <c r="A140" s="21">
        <v>125.0</v>
      </c>
      <c r="B140" s="21" t="s">
        <v>61</v>
      </c>
      <c r="C140" s="25" t="s">
        <v>271</v>
      </c>
      <c r="D140" s="58">
        <v>4.0</v>
      </c>
      <c r="E140" s="59">
        <v>8.0</v>
      </c>
      <c r="F140" s="82"/>
      <c r="G140" s="35"/>
      <c r="H140" s="35"/>
      <c r="I140" s="63"/>
      <c r="J140" s="64"/>
      <c r="K140" s="65"/>
      <c r="L140" s="65"/>
      <c r="M140" s="63"/>
      <c r="N140" s="65">
        <v>359.0</v>
      </c>
      <c r="O140" s="35">
        <v>443.0</v>
      </c>
      <c r="P140" s="35">
        <v>3.0</v>
      </c>
      <c r="Q140" s="35" t="b">
        <v>1</v>
      </c>
      <c r="R140" s="35">
        <v>100.0</v>
      </c>
      <c r="S140" s="54" t="str">
        <f t="array" ref="S140">vlookup(C140,{DraftTracker!F:F,DraftTracker!E:E},2,0)</f>
        <v>AAC</v>
      </c>
      <c r="T140" s="54" t="str">
        <f>VLOOKUP(S140,P5G5!A:B,2,0)</f>
        <v>Group of 5</v>
      </c>
      <c r="U140" s="56" t="str">
        <f>IFERROR(__xludf.DUMMYFUNCTION("iferror(if(not(iserror(find(""FINAL"",G140))),max(arrayformula(value(REGEXEXTRACT(F140,""^""&amp;C140&amp;"" ([\d]+)|[^a-zA-Z] ""&amp;C140&amp;"" ([\d]+)""))))=max(value(REGEXEXTRACT(F140,"" ([\d]+)"")),value(REGEXEXTRACT(F140,""([\d]+)$""))),""""))"),"")</f>
        <v/>
      </c>
    </row>
    <row r="141">
      <c r="A141" s="21">
        <v>125.0</v>
      </c>
      <c r="B141" s="81" t="s">
        <v>61</v>
      </c>
      <c r="C141" s="25" t="s">
        <v>228</v>
      </c>
      <c r="D141" s="58">
        <v>4.0</v>
      </c>
      <c r="E141" s="59">
        <v>8.0</v>
      </c>
      <c r="F141" s="82"/>
      <c r="G141" s="35"/>
      <c r="H141" s="35"/>
      <c r="I141" s="63"/>
      <c r="J141" s="64"/>
      <c r="K141" s="65"/>
      <c r="L141" s="65"/>
      <c r="M141" s="63"/>
      <c r="N141" s="65">
        <v>291.0</v>
      </c>
      <c r="O141" s="35">
        <v>337.0</v>
      </c>
      <c r="P141" s="35">
        <v>3.0</v>
      </c>
      <c r="Q141" s="35" t="b">
        <v>1</v>
      </c>
      <c r="R141" s="35">
        <v>100.0</v>
      </c>
      <c r="S141" s="54" t="str">
        <f t="array" ref="S141">vlookup(C141,{DraftTracker!F:F,DraftTracker!E:E},2,0)</f>
        <v>CUSA</v>
      </c>
      <c r="T141" s="54" t="str">
        <f>VLOOKUP(S141,P5G5!A:B,2,0)</f>
        <v>Group of 5</v>
      </c>
      <c r="U141" s="56" t="str">
        <f>IFERROR(__xludf.DUMMYFUNCTION("iferror(if(not(iserror(find(""FINAL"",G141))),max(arrayformula(value(REGEXEXTRACT(F141,""^""&amp;C141&amp;"" ([\d]+)|[^a-zA-Z] ""&amp;C141&amp;"" ([\d]+)""))))=max(value(REGEXEXTRACT(F141,"" ([\d]+)"")),value(REGEXEXTRACT(F141,""([\d]+)$""))),""""))"),"")</f>
        <v/>
      </c>
    </row>
    <row r="142">
      <c r="A142" s="21">
        <v>125.0</v>
      </c>
      <c r="B142" s="21" t="s">
        <v>61</v>
      </c>
      <c r="C142" s="25" t="s">
        <v>272</v>
      </c>
      <c r="D142" s="58">
        <v>4.0</v>
      </c>
      <c r="E142" s="59">
        <v>8.0</v>
      </c>
      <c r="F142" s="82"/>
      <c r="G142" s="35"/>
      <c r="H142" s="35"/>
      <c r="I142" s="63"/>
      <c r="J142" s="64"/>
      <c r="K142" s="65"/>
      <c r="L142" s="65"/>
      <c r="M142" s="63"/>
      <c r="N142" s="65">
        <v>284.0</v>
      </c>
      <c r="O142" s="35">
        <v>381.0</v>
      </c>
      <c r="P142" s="35">
        <v>3.0</v>
      </c>
      <c r="Q142" s="35" t="b">
        <v>1</v>
      </c>
      <c r="R142" s="35">
        <v>100.0</v>
      </c>
      <c r="S142" s="54" t="str">
        <f t="array" ref="S142">vlookup(C142,{DraftTracker!F:F,DraftTracker!E:E},2,0)</f>
        <v>MAC</v>
      </c>
      <c r="T142" s="54" t="str">
        <f>VLOOKUP(S142,P5G5!A:B,2,0)</f>
        <v>Group of 5</v>
      </c>
      <c r="U142" s="56" t="str">
        <f>IFERROR(__xludf.DUMMYFUNCTION("iferror(if(not(iserror(find(""FINAL"",G142))),max(arrayformula(value(REGEXEXTRACT(F142,""^""&amp;C142&amp;"" ([\d]+)|[^a-zA-Z] ""&amp;C142&amp;"" ([\d]+)""))))=max(value(REGEXEXTRACT(F142,"" ([\d]+)"")),value(REGEXEXTRACT(F142,""([\d]+)$""))),""""))"),"")</f>
        <v/>
      </c>
    </row>
    <row r="143">
      <c r="A143" s="21">
        <v>125.0</v>
      </c>
      <c r="B143" s="81" t="s">
        <v>61</v>
      </c>
      <c r="C143" s="25" t="s">
        <v>273</v>
      </c>
      <c r="D143" s="58">
        <v>6.0</v>
      </c>
      <c r="E143" s="59">
        <v>6.0</v>
      </c>
      <c r="F143" s="82"/>
      <c r="G143" s="35"/>
      <c r="H143" s="35"/>
      <c r="I143" s="63"/>
      <c r="J143" s="64"/>
      <c r="K143" s="65"/>
      <c r="L143" s="65"/>
      <c r="M143" s="63"/>
      <c r="N143" s="65">
        <v>409.0</v>
      </c>
      <c r="O143" s="35">
        <v>406.0</v>
      </c>
      <c r="P143" s="35">
        <v>3.0</v>
      </c>
      <c r="Q143" s="35" t="b">
        <v>1</v>
      </c>
      <c r="R143" s="35">
        <v>100.0</v>
      </c>
      <c r="S143" s="54" t="str">
        <f t="array" ref="S143">vlookup(C143,{DraftTracker!F:F,DraftTracker!E:E},2,0)</f>
        <v>MWC</v>
      </c>
      <c r="T143" s="54" t="str">
        <f>VLOOKUP(S143,P5G5!A:B,2,0)</f>
        <v>Group of 5</v>
      </c>
      <c r="U143" s="56" t="str">
        <f>IFERROR(__xludf.DUMMYFUNCTION("iferror(if(not(iserror(find(""FINAL"",G143))),max(arrayformula(value(REGEXEXTRACT(F143,""^""&amp;C143&amp;"" ([\d]+)|[^a-zA-Z] ""&amp;C143&amp;"" ([\d]+)""))))=max(value(REGEXEXTRACT(F143,"" ([\d]+)"")),value(REGEXEXTRACT(F143,""([\d]+)$""))),""""))"),"")</f>
        <v/>
      </c>
    </row>
    <row r="144">
      <c r="A144" s="21"/>
      <c r="B144" s="149" t="s">
        <v>274</v>
      </c>
      <c r="C144" s="150" t="s">
        <v>275</v>
      </c>
      <c r="D144" s="58">
        <v>3.0</v>
      </c>
      <c r="E144" s="35">
        <v>9.0</v>
      </c>
      <c r="F144" s="35"/>
      <c r="G144" s="35"/>
      <c r="H144" s="35"/>
      <c r="I144" s="65"/>
      <c r="J144" s="65"/>
      <c r="K144" s="65"/>
      <c r="L144" s="65"/>
      <c r="M144" s="65"/>
      <c r="N144" s="65"/>
      <c r="O144" s="35"/>
      <c r="P144" s="35"/>
      <c r="Q144" s="35"/>
      <c r="R144" s="35"/>
      <c r="S144" s="54"/>
      <c r="T144" s="54"/>
      <c r="U144" s="56"/>
    </row>
    <row r="145">
      <c r="A145" s="21"/>
      <c r="B145" s="151" t="s">
        <v>274</v>
      </c>
      <c r="C145" s="150" t="s">
        <v>276</v>
      </c>
      <c r="D145" s="58">
        <v>9.0</v>
      </c>
      <c r="E145" s="35">
        <v>3.0</v>
      </c>
      <c r="F145" s="35"/>
      <c r="G145" s="35"/>
      <c r="H145" s="35"/>
      <c r="I145" s="65"/>
      <c r="J145" s="65"/>
      <c r="K145" s="65"/>
      <c r="L145" s="65"/>
      <c r="M145" s="65"/>
      <c r="N145" s="65"/>
      <c r="O145" s="35"/>
      <c r="P145" s="35"/>
      <c r="Q145" s="35"/>
      <c r="R145" s="35"/>
      <c r="S145" s="54"/>
      <c r="T145" s="54"/>
      <c r="U145" s="56"/>
    </row>
    <row r="146">
      <c r="A146" s="21"/>
      <c r="B146" s="151" t="s">
        <v>274</v>
      </c>
      <c r="C146" s="150" t="s">
        <v>277</v>
      </c>
      <c r="D146" s="58">
        <v>2.0</v>
      </c>
      <c r="E146" s="35">
        <v>10.0</v>
      </c>
      <c r="F146" s="35"/>
      <c r="G146" s="35"/>
      <c r="H146" s="35"/>
      <c r="I146" s="65"/>
      <c r="J146" s="65"/>
      <c r="K146" s="65"/>
      <c r="L146" s="65"/>
      <c r="M146" s="65"/>
      <c r="N146" s="65"/>
      <c r="O146" s="35"/>
      <c r="P146" s="35"/>
      <c r="Q146" s="35"/>
      <c r="R146" s="35"/>
      <c r="S146" s="54"/>
      <c r="T146" s="54"/>
      <c r="U146" s="56"/>
    </row>
    <row r="147">
      <c r="A147" s="21"/>
      <c r="B147" s="81"/>
      <c r="C147" s="25"/>
      <c r="D147" s="58"/>
      <c r="E147" s="35"/>
      <c r="F147" s="35"/>
      <c r="G147" s="35"/>
      <c r="H147" s="35"/>
      <c r="I147" s="65"/>
      <c r="J147" s="65"/>
      <c r="K147" s="65"/>
      <c r="L147" s="65"/>
      <c r="M147" s="65"/>
      <c r="N147" s="65"/>
      <c r="O147" s="35"/>
      <c r="P147" s="35"/>
      <c r="Q147" s="35"/>
      <c r="R147" s="35"/>
      <c r="S147" s="54"/>
      <c r="T147" s="54"/>
      <c r="U147" s="56"/>
    </row>
    <row r="148">
      <c r="A148" s="21"/>
      <c r="B148" s="81"/>
      <c r="C148" s="25"/>
      <c r="D148" s="58"/>
      <c r="E148" s="35"/>
      <c r="F148" s="35"/>
      <c r="G148" s="35"/>
      <c r="H148" s="35"/>
      <c r="I148" s="65"/>
      <c r="J148" s="65"/>
      <c r="K148" s="65"/>
      <c r="L148" s="65"/>
      <c r="M148" s="65"/>
      <c r="N148" s="65"/>
      <c r="O148" s="35"/>
      <c r="P148" s="35"/>
      <c r="Q148" s="35"/>
      <c r="R148" s="35"/>
      <c r="S148" s="54"/>
      <c r="T148" s="54"/>
      <c r="U148" s="56"/>
    </row>
  </sheetData>
  <autoFilter ref="$B$1:$U$146"/>
  <customSheetViews>
    <customSheetView guid="{09576992-4176-4A0C-B528-C43A6E84C353}" filter="1" showAutoFilter="1">
      <autoFilter ref="$A$1:$T$146">
        <filterColumn colId="6">
          <customFilters>
            <customFilter val="*Thu*"/>
          </customFilters>
        </filterColumn>
        <filterColumn colId="16">
          <customFilters>
            <customFilter val="FALSE"/>
          </customFilters>
        </filterColumn>
        <sortState ref="A1:T146">
          <sortCondition ref="H1:H146"/>
        </sortState>
      </autoFilter>
    </customSheetView>
    <customSheetView guid="{51B10B4E-401D-4020-9AD8-2BEB1D766235}" filter="1" showAutoFilter="1">
      <autoFilter ref="$A$1:$T$146">
        <filterColumn colId="1">
          <customFilters>
            <customFilter val="Dan"/>
          </customFilters>
        </filterColumn>
        <sortState ref="A1:T146">
          <sortCondition descending="1" ref="J1:J146"/>
          <sortCondition ref="K1:K146"/>
          <sortCondition ref="H1:H146"/>
        </sortState>
      </autoFilter>
    </customSheetView>
    <customSheetView guid="{665BBD9C-7BCE-4EAE-A894-147FF125B56F}" filter="1" showAutoFilter="1">
      <autoFilter ref="$A$1:$T$146">
        <filterColumn colId="1">
          <customFilters>
            <customFilter val="DavEmily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B88893A6-B6D6-432E-8DCA-CAD3D6DCF719}" filter="1" showAutoFilter="1">
      <autoFilter ref="$A$1:$T$146">
        <filterColumn colId="1">
          <customFilters>
            <customFilter val="Masa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FC5F4837-096F-435A-9412-15429D5A55ED}" filter="1" showAutoFilter="1">
      <autoFilter ref="$A$1:$T$146">
        <filterColumn colId="1">
          <customFilters>
            <customFilter val="Gary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5CE34EBD-F339-4E7F-A4EC-CFBCDB4507FA}" filter="1" showAutoFilter="1">
      <autoFilter ref="$A$1:$T$146">
        <filterColumn colId="6">
          <customFilters>
            <customFilter val="*Tue*"/>
          </customFilters>
        </filterColumn>
        <filterColumn colId="16">
          <customFilters>
            <customFilter val="FALSE"/>
          </customFilters>
        </filterColumn>
        <sortState ref="A1:T146">
          <sortCondition ref="H1:H146"/>
        </sortState>
      </autoFilter>
    </customSheetView>
    <customSheetView guid="{B2858E01-A4F8-4A08-BAA2-7187835243A0}" filter="1" showAutoFilter="1">
      <autoFilter ref="$A$1:$T$146">
        <filterColumn colId="5">
          <filters>
            <filter val="(5) Oregon at (3) Washington"/>
            <filter val="(14) Louisville at (4) Florida State"/>
            <filter val="Miami-OH at Toledo"/>
            <filter val="(24) SMU at (18) Tulane"/>
            <filter val="New Mexico State at (22) Liberty"/>
            <filter val="(19) Oklahoma State at (7) Texas"/>
            <filter val="(1) Georgia at (8) Alabama"/>
            <filter val="(2) Michigan at (17) Iowa"/>
            <filter val="Boise State at UNLV"/>
            <filter val="Appalachian State at Troy"/>
          </filters>
        </filterColumn>
        <filterColumn colId="16">
          <customFilters>
            <customFilter val="FALSE"/>
          </customFilters>
        </filterColumn>
        <filterColumn colId="15">
          <customFilters>
            <customFilter val="0"/>
          </customFilters>
        </filterColumn>
        <sortState ref="A1:T146">
          <sortCondition ref="K1:K146"/>
        </sortState>
      </autoFilter>
    </customSheetView>
    <customSheetView guid="{955C2714-648F-47AC-87D8-8C84A615918A}" filter="1" showAutoFilter="1">
      <autoFilter ref="$A$1:$T$146">
        <filterColumn colId="1">
          <customFilters>
            <customFilter val="Nick G.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12AEC28A-A201-456A-811C-E2381FBDA4C8}" filter="1" showAutoFilter="1">
      <autoFilter ref="$A$1:$T$146">
        <filterColumn colId="1">
          <customFilters>
            <customFilter val="Nico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26A4D3E7-BEA9-4822-B0A2-213F62CD06C1}" filter="1" showAutoFilter="1">
      <autoFilter ref="$A$1:$T$146">
        <filterColumn colId="1">
          <customFilters>
            <customFilter val="Janice/Mike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8ADDBF4F-5201-4606-8177-5E2433F1C677}" filter="1" showAutoFilter="1">
      <autoFilter ref="$A$1:$T$146">
        <filterColumn colId="6">
          <customFilters>
            <customFilter val="*Sat*"/>
          </customFilters>
        </filterColumn>
        <filterColumn colId="11">
          <filters blank="1">
            <filter val="340"/>
            <filter val="198"/>
            <filter val="132"/>
            <filter val="-430"/>
            <filter val="-345"/>
            <filter val="255"/>
            <filter val="1400"/>
            <filter val="500"/>
            <filter val="-220"/>
            <filter val="118"/>
            <filter val="-4000"/>
            <filter val="-137"/>
            <filter val="-118"/>
          </filters>
        </filterColumn>
        <sortState ref="A1:T146">
          <sortCondition ref="H1:H146"/>
        </sortState>
      </autoFilter>
    </customSheetView>
    <customSheetView guid="{F9ED8316-47CE-4064-B3EC-E0126812C8E9}" filter="1" showAutoFilter="1">
      <autoFilter ref="$A$1:$T$146">
        <filterColumn colId="1">
          <customFilters>
            <customFilter val="Josh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9B37FC41-94CE-4CC5-AD07-3E8C71FA73B0}" filter="1" showAutoFilter="1">
      <autoFilter ref="$A$1:$T$146">
        <filterColumn colId="1">
          <customFilters>
            <customFilter val="Jeannine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E6793577-2376-4447-82D0-BB0756A82B1E}" filter="1" showAutoFilter="1">
      <autoFilter ref="$A$1:$T$146">
        <filterColumn colId="6">
          <customFilters>
            <customFilter val="*Wed*"/>
          </customFilters>
        </filterColumn>
        <filterColumn colId="16">
          <customFilters>
            <customFilter val="FALSE"/>
          </customFilters>
        </filterColumn>
        <sortState ref="A1:T146">
          <sortCondition ref="H1:H146"/>
        </sortState>
      </autoFilter>
    </customSheetView>
    <customSheetView guid="{BCAF2EA3-36BC-4936-A5A2-0AC7C7C3734D}" filter="1" showAutoFilter="1">
      <autoFilter ref="$A$1:$T$146">
        <filterColumn colId="1">
          <customFilters>
            <customFilter val="Brad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4400E0C1-3675-4A58-998D-60DAAD921D32}" filter="1" showAutoFilter="1">
      <autoFilter ref="$B$1:$M$146">
        <filterColumn colId="11">
          <filters>
            <filter val="o65.5"/>
            <filter val="o54.5"/>
            <filter val="o53.5"/>
            <filter val="o56.5"/>
            <filter val="o52.5"/>
            <filter val="o58.5"/>
            <filter val="o57.5"/>
          </filters>
        </filterColumn>
        <filterColumn colId="1">
          <filters>
            <filter val="Troy"/>
            <filter val="Toledo"/>
            <filter val="UNLV"/>
          </filters>
        </filterColumn>
        <filterColumn colId="9">
          <filters>
            <filter val="9.5"/>
            <filter val="11.5"/>
            <filter val="22.5"/>
            <filter val="10.5"/>
            <filter val="5.5"/>
            <filter val="6.5"/>
            <filter val="14.5"/>
          </filters>
        </filterColumn>
        <sortState ref="B1:M146">
          <sortCondition descending="1" ref="M1:M146"/>
        </sortState>
      </autoFilter>
    </customSheetView>
    <customSheetView guid="{FE717030-E2E8-48CD-9A6E-75FE7111D1DD}" filter="1" showAutoFilter="1">
      <autoFilter ref="$A$1:$T$146">
        <filterColumn colId="1">
          <customFilters>
            <customFilter val="Vu"/>
          </customFilters>
        </filterColumn>
        <sortState ref="A1:T146">
          <sortCondition ref="J1:J146"/>
          <sortCondition ref="H1:H146"/>
        </sortState>
      </autoFilter>
    </customSheetView>
    <customSheetView guid="{F877B383-D57C-43F0-ABD9-BB60F9A5D205}" filter="1" showAutoFilter="1">
      <autoFilter ref="$A$1:$T$146">
        <filterColumn colId="6">
          <customFilters>
            <customFilter val="*Fri*"/>
          </customFilters>
        </filterColumn>
        <filterColumn colId="16">
          <customFilters>
            <customFilter val="FALSE"/>
          </customFilters>
        </filterColumn>
        <sortState ref="A1:T146">
          <sortCondition ref="H1:H146"/>
        </sortState>
      </autoFilter>
    </customSheetView>
    <customSheetView guid="{AD5D2FC9-BA9C-41E8-AFF2-43B11F036A0F}" filter="1" showAutoFilter="1">
      <autoFilter ref="$A$1:$T$146">
        <filterColumn colId="1">
          <customFilters>
            <customFilter val="Nick A."/>
          </customFilters>
        </filterColumn>
        <sortState ref="A1:T146">
          <sortCondition ref="J1:J146"/>
          <sortCondition ref="K1:K146"/>
          <sortCondition ref="H1:H146"/>
        </sortState>
      </autoFilter>
    </customSheetView>
    <customSheetView guid="{3428FCA0-41DC-40E4-A8D6-2CF50DD9F0E9}" filter="1" showAutoFilter="1">
      <autoFilter ref="$A$1:$T$146">
        <filterColumn colId="1">
          <customFilters>
            <customFilter val="Justin"/>
          </customFilters>
        </filterColumn>
        <sortState ref="A1:T146">
          <sortCondition ref="J1:J146"/>
          <sortCondition ref="K1:K146"/>
          <sortCondition ref="H1:H146"/>
        </sortState>
      </autoFilter>
    </customSheetView>
  </customSheetViews>
  <conditionalFormatting sqref="C2:C11 C13:C22 C24:C33 C35:C44 C46:C55 C57:C66 C68:C77 C79:C88 C90:C99 C101:C110 C112:C121 C123:C132 C134:C148">
    <cfRule type="expression" dxfId="6" priority="1">
      <formula>and(not(U2),U2&lt;&gt;"")</formula>
    </cfRule>
  </conditionalFormatting>
  <conditionalFormatting sqref="C2:C11 C13:C22 C24:C33 C35:C44 C46:C55 C57:C66 C68:C77 C79:C88 C90:C99 C101:C110 C112:C121 C123:C132 C134:C148">
    <cfRule type="expression" dxfId="5" priority="2">
      <formula>U2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26.63"/>
    <col customWidth="1" min="3" max="3" width="27.38"/>
    <col customWidth="1" min="4" max="4" width="12.88"/>
    <col customWidth="1" min="5" max="5" width="22.63"/>
    <col customWidth="1" min="6" max="6" width="7.38"/>
    <col customWidth="1" min="7" max="7" width="6.88"/>
    <col customWidth="1" hidden="1" min="8" max="8" width="18.5"/>
    <col customWidth="1" hidden="1" min="9" max="9" width="7.63"/>
    <col customWidth="1" hidden="1" min="10" max="19" width="4.5"/>
  </cols>
  <sheetData>
    <row r="1">
      <c r="A1" s="3" t="s">
        <v>1</v>
      </c>
      <c r="B1" s="3" t="s">
        <v>5</v>
      </c>
      <c r="C1" s="6" t="s">
        <v>6</v>
      </c>
      <c r="D1" s="3" t="s">
        <v>4</v>
      </c>
      <c r="E1" s="8" t="s">
        <v>9</v>
      </c>
      <c r="F1" s="11" t="s">
        <v>11</v>
      </c>
      <c r="G1" s="3" t="s">
        <v>17</v>
      </c>
      <c r="H1" s="3" t="s">
        <v>18</v>
      </c>
      <c r="I1" s="8" t="s">
        <v>19</v>
      </c>
      <c r="J1" s="8" t="s">
        <v>21</v>
      </c>
      <c r="K1" s="8" t="s">
        <v>22</v>
      </c>
      <c r="L1" s="8" t="s">
        <v>24</v>
      </c>
      <c r="M1" s="8" t="s">
        <v>25</v>
      </c>
      <c r="N1" s="8"/>
      <c r="O1" s="8"/>
      <c r="P1" s="8"/>
      <c r="Q1" s="8"/>
      <c r="R1" s="8"/>
      <c r="S1" s="8"/>
    </row>
    <row r="2">
      <c r="A2" s="43" t="str">
        <f>IFERROR(__xludf.DUMMYFUNCTION("iferror(sort({FILTER('Current Week'!F:G,'Current Week'!Q:Q=FALSE,'Current Week'!F:F&lt;&gt;"""",'Current Week'!R:R&lt;100),ARRAYFORMULA(if(FILTER('Current Week'!H:H,'Current Week'!Q:Q=FALSE,'Current Week'!F:F&lt;&gt;"""",'Current Week'!R:R&lt;100)="""","""",FILTER('Current"&amp;" Week'!H:H,'Current Week'!Q:Q=FALSE,'Current Week'!F:F&lt;&gt;"""",'Current Week'!R:R&lt;100)&amp;"" vs "")&amp;FILTER('Current Week'!B:B,'Current Week'!Q:Q=FALSE,'Current Week'!F:F&lt;&gt;"""",'Current Week'!R:R&lt;100)),FILTER('Current Week'!I:I,'Current Week'!Q:Q=FALSE,'Current"&amp;" Week'!F:F&lt;&gt;"""",'Current Week'!R:R&lt;100),FILTER('Current Week'!C:C,'Current Week'!Q:Q=FALSE,'Current Week'!F:F&lt;&gt;"""",'Current Week'!R:R&lt;100),FILTER('Current Week'!J:K,'Current Week'!Q:Q=FALSE,'Current Week'!F:F&lt;&gt;"""",'Current Week'!R:R&lt;100),FILTER('Curren"&amp;"t Week'!R:R,'Current Week'!Q:Q=FALSE,'Current Week'!F:F&lt;&gt;"""",'Current Week'!R:R&lt;100),FILTER('Current Week'!P:P,'Current Week'!Q:Q=FALSE,'Current Week'!F:F&lt;&gt;"""",'Current Week'!R:R&lt;100)},9,1,8,1,2,1),""No Active Games"")"),"No Active Games")</f>
        <v>No Active Games</v>
      </c>
      <c r="B2" s="43" t="str">
        <f>IFERROR(__xludf.DUMMYFUNCTION("""COMPUTED_VALUE"""),"No Active Games")</f>
        <v>No Active Games</v>
      </c>
      <c r="C2" s="46" t="str">
        <f>IFERROR(__xludf.DUMMYFUNCTION("""COMPUTED_VALUE"""),"No Active Games")</f>
        <v>No Active Games</v>
      </c>
      <c r="D2" s="43" t="str">
        <f>IFERROR(__xludf.DUMMYFUNCTION("""COMPUTED_VALUE"""),"No Active Games")</f>
        <v>No Active Games</v>
      </c>
      <c r="E2" s="48" t="str">
        <f>IFERROR(__xludf.DUMMYFUNCTION("""COMPUTED_VALUE"""),"No Active Games")</f>
        <v>No Active Games</v>
      </c>
      <c r="F2" s="43" t="str">
        <f>IFERROR(__xludf.DUMMYFUNCTION("""COMPUTED_VALUE"""),"No Active Games")</f>
        <v>No Active Games</v>
      </c>
      <c r="G2" s="51" t="str">
        <f>IFERROR(__xludf.DUMMYFUNCTION("""COMPUTED_VALUE"""),"No Active Games")</f>
        <v>No Active Games</v>
      </c>
      <c r="H2" s="51"/>
      <c r="I2" s="51"/>
      <c r="J2" s="51" t="str">
        <f>IFERROR(__xludf.DUMMYFUNCTION("arrayformula(if(A2:A586="""","""",REGEXEXTRACT(A2:A586,E2:E586&amp;"" (\d*)"")))"),"#N/A")</f>
        <v>#N/A</v>
      </c>
      <c r="K2" s="51" t="str">
        <f>IFERROR(__xludf.DUMMYFUNCTION("arrayformula(if(A2:A586="""","""",REGEXEXTRACT(mid(A2:A586,if(FIND(E2:E586,A2:A586)=1,len(E2:E586)+1,1),99),""\w+ (\d+)"")))"),"#N/A")</f>
        <v>#N/A</v>
      </c>
      <c r="L2" s="51" t="str">
        <f t="array" ref="L2:L586">if(A2:A586="","",J2:J586-K2:K586)</f>
        <v>#N/A</v>
      </c>
      <c r="M2" s="51" t="str">
        <f t="array" ref="M2:M586">if(A2:A586="","",if(F2:F586="",-30,F2:F586))</f>
        <v>No Active Games</v>
      </c>
      <c r="N2" s="51"/>
      <c r="O2" s="51"/>
      <c r="P2" s="51"/>
      <c r="Q2" s="51"/>
      <c r="R2" s="51"/>
      <c r="S2" s="51"/>
    </row>
    <row r="3">
      <c r="A3" s="43"/>
      <c r="B3" s="43"/>
      <c r="C3" s="46"/>
      <c r="D3" s="43"/>
      <c r="E3" s="48"/>
      <c r="F3" s="43"/>
      <c r="G3" s="51"/>
      <c r="H3" s="51"/>
      <c r="I3" s="51"/>
      <c r="J3" s="51" t="str">
        <f>IFERROR(__xludf.DUMMYFUNCTION("""COMPUTED_VALUE"""),"")</f>
        <v/>
      </c>
      <c r="K3" s="51" t="str">
        <f>IFERROR(__xludf.DUMMYFUNCTION("""COMPUTED_VALUE"""),"")</f>
        <v/>
      </c>
      <c r="L3" s="51" t="s">
        <v>64</v>
      </c>
      <c r="M3" s="51" t="s">
        <v>64</v>
      </c>
      <c r="N3" s="51"/>
      <c r="O3" s="51"/>
      <c r="P3" s="51"/>
      <c r="Q3" s="51"/>
      <c r="R3" s="51"/>
      <c r="S3" s="51"/>
    </row>
    <row r="4">
      <c r="A4" s="43"/>
      <c r="B4" s="43"/>
      <c r="C4" s="46"/>
      <c r="D4" s="43"/>
      <c r="E4" s="48"/>
      <c r="F4" s="43"/>
      <c r="G4" s="51"/>
      <c r="H4" s="51"/>
      <c r="I4" s="51"/>
      <c r="J4" s="51" t="str">
        <f>IFERROR(__xludf.DUMMYFUNCTION("""COMPUTED_VALUE"""),"")</f>
        <v/>
      </c>
      <c r="K4" s="51" t="str">
        <f>IFERROR(__xludf.DUMMYFUNCTION("""COMPUTED_VALUE"""),"")</f>
        <v/>
      </c>
      <c r="L4" s="51" t="s">
        <v>64</v>
      </c>
      <c r="M4" s="51" t="s">
        <v>64</v>
      </c>
      <c r="N4" s="51"/>
      <c r="O4" s="51"/>
      <c r="P4" s="51"/>
      <c r="Q4" s="51"/>
      <c r="R4" s="51"/>
      <c r="S4" s="51"/>
    </row>
    <row r="5">
      <c r="A5" s="43"/>
      <c r="B5" s="43"/>
      <c r="C5" s="46"/>
      <c r="D5" s="43"/>
      <c r="E5" s="48"/>
      <c r="F5" s="43"/>
      <c r="G5" s="51"/>
      <c r="H5" s="51"/>
      <c r="I5" s="51"/>
      <c r="J5" s="51" t="str">
        <f>IFERROR(__xludf.DUMMYFUNCTION("""COMPUTED_VALUE"""),"")</f>
        <v/>
      </c>
      <c r="K5" s="51" t="str">
        <f>IFERROR(__xludf.DUMMYFUNCTION("""COMPUTED_VALUE"""),"")</f>
        <v/>
      </c>
      <c r="L5" s="51" t="s">
        <v>64</v>
      </c>
      <c r="M5" s="51" t="s">
        <v>64</v>
      </c>
      <c r="N5" s="51"/>
      <c r="O5" s="51"/>
      <c r="P5" s="51"/>
      <c r="Q5" s="51"/>
      <c r="R5" s="51"/>
      <c r="S5" s="51"/>
    </row>
    <row r="6">
      <c r="A6" s="43"/>
      <c r="B6" s="43"/>
      <c r="C6" s="46"/>
      <c r="D6" s="43"/>
      <c r="E6" s="48"/>
      <c r="F6" s="43"/>
      <c r="G6" s="51"/>
      <c r="H6" s="51"/>
      <c r="I6" s="51"/>
      <c r="J6" s="51" t="str">
        <f>IFERROR(__xludf.DUMMYFUNCTION("""COMPUTED_VALUE"""),"")</f>
        <v/>
      </c>
      <c r="K6" s="51" t="str">
        <f>IFERROR(__xludf.DUMMYFUNCTION("""COMPUTED_VALUE"""),"")</f>
        <v/>
      </c>
      <c r="L6" s="51" t="s">
        <v>64</v>
      </c>
      <c r="M6" s="51" t="s">
        <v>64</v>
      </c>
      <c r="N6" s="51"/>
      <c r="O6" s="51"/>
      <c r="P6" s="51"/>
      <c r="Q6" s="51"/>
      <c r="R6" s="51"/>
      <c r="S6" s="51"/>
    </row>
    <row r="7">
      <c r="A7" s="43"/>
      <c r="B7" s="43"/>
      <c r="C7" s="46"/>
      <c r="D7" s="43"/>
      <c r="E7" s="48"/>
      <c r="F7" s="43"/>
      <c r="G7" s="51"/>
      <c r="H7" s="51"/>
      <c r="I7" s="51"/>
      <c r="J7" s="51" t="str">
        <f>IFERROR(__xludf.DUMMYFUNCTION("""COMPUTED_VALUE"""),"")</f>
        <v/>
      </c>
      <c r="K7" s="51" t="str">
        <f>IFERROR(__xludf.DUMMYFUNCTION("""COMPUTED_VALUE"""),"")</f>
        <v/>
      </c>
      <c r="L7" s="51" t="s">
        <v>64</v>
      </c>
      <c r="M7" s="51" t="s">
        <v>64</v>
      </c>
      <c r="N7" s="51"/>
      <c r="O7" s="51"/>
      <c r="P7" s="51"/>
      <c r="Q7" s="51"/>
      <c r="R7" s="51"/>
      <c r="S7" s="51"/>
    </row>
    <row r="8">
      <c r="A8" s="43"/>
      <c r="B8" s="43"/>
      <c r="C8" s="46"/>
      <c r="D8" s="43"/>
      <c r="E8" s="48"/>
      <c r="F8" s="43"/>
      <c r="G8" s="51"/>
      <c r="H8" s="51"/>
      <c r="I8" s="51"/>
      <c r="J8" s="51" t="str">
        <f>IFERROR(__xludf.DUMMYFUNCTION("""COMPUTED_VALUE"""),"")</f>
        <v/>
      </c>
      <c r="K8" s="51" t="str">
        <f>IFERROR(__xludf.DUMMYFUNCTION("""COMPUTED_VALUE"""),"")</f>
        <v/>
      </c>
      <c r="L8" s="51" t="s">
        <v>64</v>
      </c>
      <c r="M8" s="51" t="s">
        <v>64</v>
      </c>
      <c r="N8" s="51"/>
      <c r="O8" s="51"/>
      <c r="P8" s="51"/>
      <c r="Q8" s="51"/>
      <c r="R8" s="51"/>
      <c r="S8" s="51"/>
    </row>
    <row r="9">
      <c r="A9" s="43"/>
      <c r="B9" s="43"/>
      <c r="C9" s="46"/>
      <c r="D9" s="43"/>
      <c r="E9" s="48"/>
      <c r="F9" s="43"/>
      <c r="G9" s="51"/>
      <c r="H9" s="51"/>
      <c r="I9" s="51"/>
      <c r="J9" s="51" t="str">
        <f>IFERROR(__xludf.DUMMYFUNCTION("""COMPUTED_VALUE"""),"")</f>
        <v/>
      </c>
      <c r="K9" s="51" t="str">
        <f>IFERROR(__xludf.DUMMYFUNCTION("""COMPUTED_VALUE"""),"")</f>
        <v/>
      </c>
      <c r="L9" s="51" t="s">
        <v>64</v>
      </c>
      <c r="M9" s="51" t="s">
        <v>64</v>
      </c>
      <c r="N9" s="51"/>
      <c r="O9" s="51"/>
      <c r="P9" s="51"/>
      <c r="Q9" s="51"/>
      <c r="R9" s="51"/>
      <c r="S9" s="51"/>
    </row>
    <row r="10">
      <c r="A10" s="43"/>
      <c r="B10" s="43"/>
      <c r="C10" s="46"/>
      <c r="D10" s="43"/>
      <c r="E10" s="48"/>
      <c r="F10" s="43"/>
      <c r="G10" s="51"/>
      <c r="H10" s="51"/>
      <c r="I10" s="51"/>
      <c r="J10" s="51" t="str">
        <f>IFERROR(__xludf.DUMMYFUNCTION("""COMPUTED_VALUE"""),"")</f>
        <v/>
      </c>
      <c r="K10" s="51" t="str">
        <f>IFERROR(__xludf.DUMMYFUNCTION("""COMPUTED_VALUE"""),"")</f>
        <v/>
      </c>
      <c r="L10" s="51" t="s">
        <v>64</v>
      </c>
      <c r="M10" s="51" t="s">
        <v>64</v>
      </c>
      <c r="N10" s="51"/>
      <c r="O10" s="51"/>
      <c r="P10" s="51"/>
      <c r="Q10" s="51"/>
      <c r="R10" s="51"/>
      <c r="S10" s="51"/>
    </row>
    <row r="11">
      <c r="A11" s="43"/>
      <c r="B11" s="43"/>
      <c r="C11" s="46"/>
      <c r="D11" s="43"/>
      <c r="E11" s="48"/>
      <c r="F11" s="43"/>
      <c r="G11" s="51"/>
      <c r="H11" s="51"/>
      <c r="I11" s="51"/>
      <c r="J11" s="51" t="str">
        <f>IFERROR(__xludf.DUMMYFUNCTION("""COMPUTED_VALUE"""),"")</f>
        <v/>
      </c>
      <c r="K11" s="51" t="str">
        <f>IFERROR(__xludf.DUMMYFUNCTION("""COMPUTED_VALUE"""),"")</f>
        <v/>
      </c>
      <c r="L11" s="51" t="s">
        <v>64</v>
      </c>
      <c r="M11" s="51" t="s">
        <v>64</v>
      </c>
      <c r="N11" s="51"/>
      <c r="O11" s="51"/>
      <c r="P11" s="51"/>
      <c r="Q11" s="51"/>
      <c r="R11" s="51"/>
      <c r="S11" s="51"/>
    </row>
    <row r="12">
      <c r="A12" s="43"/>
      <c r="B12" s="43"/>
      <c r="C12" s="46"/>
      <c r="D12" s="43"/>
      <c r="E12" s="48"/>
      <c r="F12" s="43"/>
      <c r="G12" s="51"/>
      <c r="H12" s="51"/>
      <c r="I12" s="51"/>
      <c r="J12" s="51" t="str">
        <f>IFERROR(__xludf.DUMMYFUNCTION("""COMPUTED_VALUE"""),"")</f>
        <v/>
      </c>
      <c r="K12" s="51" t="str">
        <f>IFERROR(__xludf.DUMMYFUNCTION("""COMPUTED_VALUE"""),"")</f>
        <v/>
      </c>
      <c r="L12" s="51" t="s">
        <v>64</v>
      </c>
      <c r="M12" s="51" t="s">
        <v>64</v>
      </c>
      <c r="N12" s="51"/>
      <c r="O12" s="51"/>
      <c r="P12" s="51"/>
      <c r="Q12" s="51"/>
      <c r="R12" s="51"/>
      <c r="S12" s="51"/>
    </row>
    <row r="13">
      <c r="A13" s="43"/>
      <c r="B13" s="43"/>
      <c r="C13" s="46"/>
      <c r="D13" s="43"/>
      <c r="E13" s="48"/>
      <c r="F13" s="43"/>
      <c r="G13" s="51"/>
      <c r="H13" s="51"/>
      <c r="I13" s="51"/>
      <c r="J13" s="51" t="str">
        <f>IFERROR(__xludf.DUMMYFUNCTION("""COMPUTED_VALUE"""),"")</f>
        <v/>
      </c>
      <c r="K13" s="51" t="str">
        <f>IFERROR(__xludf.DUMMYFUNCTION("""COMPUTED_VALUE"""),"")</f>
        <v/>
      </c>
      <c r="L13" s="51" t="s">
        <v>64</v>
      </c>
      <c r="M13" s="51" t="s">
        <v>64</v>
      </c>
      <c r="N13" s="51"/>
      <c r="O13" s="51"/>
      <c r="P13" s="51"/>
      <c r="Q13" s="51"/>
      <c r="R13" s="51"/>
      <c r="S13" s="51"/>
    </row>
    <row r="14">
      <c r="A14" s="43"/>
      <c r="B14" s="43"/>
      <c r="C14" s="46"/>
      <c r="D14" s="43"/>
      <c r="E14" s="48"/>
      <c r="F14" s="43"/>
      <c r="G14" s="51"/>
      <c r="H14" s="51"/>
      <c r="I14" s="51"/>
      <c r="J14" s="51" t="str">
        <f>IFERROR(__xludf.DUMMYFUNCTION("""COMPUTED_VALUE"""),"")</f>
        <v/>
      </c>
      <c r="K14" s="51" t="str">
        <f>IFERROR(__xludf.DUMMYFUNCTION("""COMPUTED_VALUE"""),"")</f>
        <v/>
      </c>
      <c r="L14" s="51" t="s">
        <v>64</v>
      </c>
      <c r="M14" s="51" t="s">
        <v>64</v>
      </c>
      <c r="N14" s="51"/>
      <c r="O14" s="51"/>
      <c r="P14" s="51"/>
      <c r="Q14" s="51"/>
      <c r="R14" s="51"/>
      <c r="S14" s="51"/>
    </row>
    <row r="15">
      <c r="A15" s="43"/>
      <c r="B15" s="43"/>
      <c r="C15" s="46"/>
      <c r="D15" s="43"/>
      <c r="E15" s="48"/>
      <c r="F15" s="43"/>
      <c r="G15" s="51"/>
      <c r="H15" s="51"/>
      <c r="I15" s="51"/>
      <c r="J15" s="51" t="str">
        <f>IFERROR(__xludf.DUMMYFUNCTION("""COMPUTED_VALUE"""),"")</f>
        <v/>
      </c>
      <c r="K15" s="51" t="str">
        <f>IFERROR(__xludf.DUMMYFUNCTION("""COMPUTED_VALUE"""),"")</f>
        <v/>
      </c>
      <c r="L15" s="51" t="s">
        <v>64</v>
      </c>
      <c r="M15" s="51" t="s">
        <v>64</v>
      </c>
      <c r="N15" s="51"/>
      <c r="O15" s="51"/>
      <c r="P15" s="51"/>
      <c r="Q15" s="51"/>
      <c r="R15" s="51"/>
      <c r="S15" s="51"/>
    </row>
    <row r="16">
      <c r="A16" s="43"/>
      <c r="B16" s="43"/>
      <c r="C16" s="46"/>
      <c r="D16" s="43"/>
      <c r="E16" s="48"/>
      <c r="F16" s="43"/>
      <c r="G16" s="51"/>
      <c r="H16" s="51"/>
      <c r="I16" s="51"/>
      <c r="J16" s="51" t="str">
        <f>IFERROR(__xludf.DUMMYFUNCTION("""COMPUTED_VALUE"""),"")</f>
        <v/>
      </c>
      <c r="K16" s="51" t="str">
        <f>IFERROR(__xludf.DUMMYFUNCTION("""COMPUTED_VALUE"""),"")</f>
        <v/>
      </c>
      <c r="L16" s="51" t="s">
        <v>64</v>
      </c>
      <c r="M16" s="51" t="s">
        <v>64</v>
      </c>
      <c r="N16" s="51"/>
      <c r="O16" s="51"/>
      <c r="P16" s="51"/>
      <c r="Q16" s="51"/>
      <c r="R16" s="51"/>
      <c r="S16" s="51"/>
    </row>
    <row r="17">
      <c r="A17" s="43"/>
      <c r="B17" s="43"/>
      <c r="C17" s="46"/>
      <c r="D17" s="43"/>
      <c r="E17" s="48"/>
      <c r="F17" s="43"/>
      <c r="G17" s="51"/>
      <c r="H17" s="51"/>
      <c r="I17" s="51"/>
      <c r="J17" s="51" t="str">
        <f>IFERROR(__xludf.DUMMYFUNCTION("""COMPUTED_VALUE"""),"")</f>
        <v/>
      </c>
      <c r="K17" s="51" t="str">
        <f>IFERROR(__xludf.DUMMYFUNCTION("""COMPUTED_VALUE"""),"")</f>
        <v/>
      </c>
      <c r="L17" s="51" t="s">
        <v>64</v>
      </c>
      <c r="M17" s="51" t="s">
        <v>64</v>
      </c>
      <c r="N17" s="51"/>
      <c r="O17" s="51"/>
      <c r="P17" s="51"/>
      <c r="Q17" s="51"/>
      <c r="R17" s="51"/>
      <c r="S17" s="51"/>
    </row>
    <row r="18">
      <c r="A18" s="43"/>
      <c r="B18" s="43"/>
      <c r="C18" s="46"/>
      <c r="D18" s="43"/>
      <c r="E18" s="48"/>
      <c r="F18" s="43"/>
      <c r="G18" s="51"/>
      <c r="H18" s="51"/>
      <c r="I18" s="51"/>
      <c r="J18" s="51" t="str">
        <f>IFERROR(__xludf.DUMMYFUNCTION("""COMPUTED_VALUE"""),"")</f>
        <v/>
      </c>
      <c r="K18" s="51" t="str">
        <f>IFERROR(__xludf.DUMMYFUNCTION("""COMPUTED_VALUE"""),"")</f>
        <v/>
      </c>
      <c r="L18" s="51" t="s">
        <v>64</v>
      </c>
      <c r="M18" s="51" t="s">
        <v>64</v>
      </c>
      <c r="N18" s="51"/>
      <c r="O18" s="51"/>
      <c r="P18" s="51"/>
      <c r="Q18" s="51"/>
      <c r="R18" s="51"/>
      <c r="S18" s="51"/>
    </row>
    <row r="19">
      <c r="A19" s="43"/>
      <c r="B19" s="43"/>
      <c r="C19" s="46"/>
      <c r="D19" s="43"/>
      <c r="E19" s="48"/>
      <c r="F19" s="43"/>
      <c r="G19" s="51"/>
      <c r="H19" s="51"/>
      <c r="I19" s="51"/>
      <c r="J19" s="51" t="str">
        <f>IFERROR(__xludf.DUMMYFUNCTION("""COMPUTED_VALUE"""),"")</f>
        <v/>
      </c>
      <c r="K19" s="51" t="str">
        <f>IFERROR(__xludf.DUMMYFUNCTION("""COMPUTED_VALUE"""),"")</f>
        <v/>
      </c>
      <c r="L19" s="51" t="s">
        <v>64</v>
      </c>
      <c r="M19" s="51" t="s">
        <v>64</v>
      </c>
      <c r="N19" s="51"/>
      <c r="O19" s="51"/>
      <c r="P19" s="51"/>
      <c r="Q19" s="51"/>
      <c r="R19" s="51"/>
      <c r="S19" s="51"/>
    </row>
    <row r="20">
      <c r="A20" s="43"/>
      <c r="B20" s="43"/>
      <c r="C20" s="46"/>
      <c r="D20" s="43"/>
      <c r="E20" s="48"/>
      <c r="F20" s="43"/>
      <c r="G20" s="51"/>
      <c r="H20" s="51"/>
      <c r="I20" s="51"/>
      <c r="J20" s="51" t="str">
        <f>IFERROR(__xludf.DUMMYFUNCTION("""COMPUTED_VALUE"""),"")</f>
        <v/>
      </c>
      <c r="K20" s="51" t="str">
        <f>IFERROR(__xludf.DUMMYFUNCTION("""COMPUTED_VALUE"""),"")</f>
        <v/>
      </c>
      <c r="L20" s="51" t="s">
        <v>64</v>
      </c>
      <c r="M20" s="51" t="s">
        <v>64</v>
      </c>
      <c r="N20" s="51"/>
      <c r="O20" s="51"/>
      <c r="P20" s="51"/>
      <c r="Q20" s="51"/>
      <c r="R20" s="51"/>
      <c r="S20" s="51"/>
    </row>
    <row r="21">
      <c r="A21" s="43"/>
      <c r="B21" s="43"/>
      <c r="C21" s="46"/>
      <c r="D21" s="43"/>
      <c r="E21" s="48"/>
      <c r="F21" s="43"/>
      <c r="G21" s="51"/>
      <c r="H21" s="51"/>
      <c r="I21" s="51"/>
      <c r="J21" s="51" t="str">
        <f>IFERROR(__xludf.DUMMYFUNCTION("""COMPUTED_VALUE"""),"")</f>
        <v/>
      </c>
      <c r="K21" s="51" t="str">
        <f>IFERROR(__xludf.DUMMYFUNCTION("""COMPUTED_VALUE"""),"")</f>
        <v/>
      </c>
      <c r="L21" s="51" t="s">
        <v>64</v>
      </c>
      <c r="M21" s="51" t="s">
        <v>64</v>
      </c>
      <c r="N21" s="51"/>
      <c r="O21" s="51"/>
      <c r="P21" s="51"/>
      <c r="Q21" s="51"/>
      <c r="R21" s="51"/>
      <c r="S21" s="51"/>
    </row>
    <row r="22">
      <c r="A22" s="43"/>
      <c r="B22" s="43"/>
      <c r="C22" s="46"/>
      <c r="D22" s="43"/>
      <c r="E22" s="48"/>
      <c r="F22" s="43"/>
      <c r="G22" s="51"/>
      <c r="H22" s="51"/>
      <c r="I22" s="51"/>
      <c r="J22" s="51" t="str">
        <f>IFERROR(__xludf.DUMMYFUNCTION("""COMPUTED_VALUE"""),"")</f>
        <v/>
      </c>
      <c r="K22" s="51" t="str">
        <f>IFERROR(__xludf.DUMMYFUNCTION("""COMPUTED_VALUE"""),"")</f>
        <v/>
      </c>
      <c r="L22" s="51" t="s">
        <v>64</v>
      </c>
      <c r="M22" s="51" t="s">
        <v>64</v>
      </c>
      <c r="N22" s="51"/>
      <c r="O22" s="51"/>
      <c r="P22" s="51"/>
      <c r="Q22" s="51"/>
      <c r="R22" s="51"/>
      <c r="S22" s="51"/>
    </row>
    <row r="23">
      <c r="A23" s="43"/>
      <c r="B23" s="3"/>
      <c r="C23" s="46"/>
      <c r="D23" s="3"/>
      <c r="E23" s="48"/>
      <c r="F23" s="43"/>
      <c r="G23" s="51"/>
      <c r="H23" s="51"/>
      <c r="I23" s="51"/>
      <c r="J23" s="51" t="str">
        <f>IFERROR(__xludf.DUMMYFUNCTION("""COMPUTED_VALUE"""),"")</f>
        <v/>
      </c>
      <c r="K23" s="51" t="str">
        <f>IFERROR(__xludf.DUMMYFUNCTION("""COMPUTED_VALUE"""),"")</f>
        <v/>
      </c>
      <c r="L23" s="51" t="s">
        <v>64</v>
      </c>
      <c r="M23" s="51" t="s">
        <v>64</v>
      </c>
      <c r="N23" s="51"/>
      <c r="O23" s="51"/>
      <c r="P23" s="51"/>
      <c r="Q23" s="51"/>
      <c r="R23" s="51"/>
      <c r="S23" s="51"/>
    </row>
    <row r="24">
      <c r="A24" s="43"/>
      <c r="B24" s="3"/>
      <c r="C24" s="46"/>
      <c r="D24" s="3"/>
      <c r="E24" s="48"/>
      <c r="F24" s="43"/>
      <c r="G24" s="51"/>
      <c r="H24" s="51"/>
      <c r="I24" s="51"/>
      <c r="J24" s="51" t="str">
        <f>IFERROR(__xludf.DUMMYFUNCTION("""COMPUTED_VALUE"""),"")</f>
        <v/>
      </c>
      <c r="K24" s="51" t="str">
        <f>IFERROR(__xludf.DUMMYFUNCTION("""COMPUTED_VALUE"""),"")</f>
        <v/>
      </c>
      <c r="L24" s="51" t="s">
        <v>64</v>
      </c>
      <c r="M24" s="51" t="s">
        <v>64</v>
      </c>
      <c r="N24" s="51"/>
      <c r="O24" s="51"/>
      <c r="P24" s="51"/>
      <c r="Q24" s="51"/>
      <c r="R24" s="51"/>
      <c r="S24" s="51"/>
    </row>
    <row r="25">
      <c r="A25" s="43"/>
      <c r="B25" s="3"/>
      <c r="C25" s="46"/>
      <c r="D25" s="3"/>
      <c r="E25" s="48"/>
      <c r="F25" s="43"/>
      <c r="G25" s="51"/>
      <c r="H25" s="51"/>
      <c r="I25" s="51"/>
      <c r="J25" s="51" t="str">
        <f>IFERROR(__xludf.DUMMYFUNCTION("""COMPUTED_VALUE"""),"")</f>
        <v/>
      </c>
      <c r="K25" s="51" t="str">
        <f>IFERROR(__xludf.DUMMYFUNCTION("""COMPUTED_VALUE"""),"")</f>
        <v/>
      </c>
      <c r="L25" s="51" t="s">
        <v>64</v>
      </c>
      <c r="M25" s="51" t="s">
        <v>64</v>
      </c>
      <c r="N25" s="51"/>
      <c r="O25" s="51"/>
      <c r="P25" s="51"/>
      <c r="Q25" s="51"/>
      <c r="R25" s="51"/>
      <c r="S25" s="51"/>
    </row>
    <row r="26">
      <c r="A26" s="43"/>
      <c r="B26" s="3"/>
      <c r="C26" s="46"/>
      <c r="D26" s="3"/>
      <c r="E26" s="48"/>
      <c r="F26" s="43"/>
      <c r="G26" s="51"/>
      <c r="H26" s="51"/>
      <c r="I26" s="51"/>
      <c r="J26" s="51" t="str">
        <f>IFERROR(__xludf.DUMMYFUNCTION("""COMPUTED_VALUE"""),"")</f>
        <v/>
      </c>
      <c r="K26" s="51" t="str">
        <f>IFERROR(__xludf.DUMMYFUNCTION("""COMPUTED_VALUE"""),"")</f>
        <v/>
      </c>
      <c r="L26" s="51" t="s">
        <v>64</v>
      </c>
      <c r="M26" s="51" t="s">
        <v>64</v>
      </c>
      <c r="N26" s="51"/>
      <c r="O26" s="51"/>
      <c r="P26" s="51"/>
      <c r="Q26" s="51"/>
      <c r="R26" s="51"/>
      <c r="S26" s="51"/>
    </row>
    <row r="27">
      <c r="A27" s="43"/>
      <c r="B27" s="43"/>
      <c r="C27" s="46"/>
      <c r="D27" s="43"/>
      <c r="E27" s="48"/>
      <c r="F27" s="43"/>
      <c r="G27" s="51"/>
      <c r="H27" s="51"/>
      <c r="I27" s="51"/>
      <c r="J27" s="51" t="str">
        <f>IFERROR(__xludf.DUMMYFUNCTION("""COMPUTED_VALUE"""),"")</f>
        <v/>
      </c>
      <c r="K27" s="51" t="str">
        <f>IFERROR(__xludf.DUMMYFUNCTION("""COMPUTED_VALUE"""),"")</f>
        <v/>
      </c>
      <c r="L27" s="51" t="s">
        <v>64</v>
      </c>
      <c r="M27" s="51" t="s">
        <v>64</v>
      </c>
      <c r="N27" s="51"/>
      <c r="O27" s="51"/>
      <c r="P27" s="51"/>
      <c r="Q27" s="51"/>
      <c r="R27" s="51"/>
      <c r="S27" s="51"/>
    </row>
    <row r="28">
      <c r="A28" s="43"/>
      <c r="B28" s="3"/>
      <c r="C28" s="46"/>
      <c r="D28" s="43"/>
      <c r="E28" s="11"/>
      <c r="F28" s="3"/>
      <c r="G28" s="8"/>
      <c r="H28" s="8"/>
      <c r="I28" s="8"/>
      <c r="J28" s="51" t="str">
        <f>IFERROR(__xludf.DUMMYFUNCTION("""COMPUTED_VALUE"""),"")</f>
        <v/>
      </c>
      <c r="K28" s="51" t="str">
        <f>IFERROR(__xludf.DUMMYFUNCTION("""COMPUTED_VALUE"""),"")</f>
        <v/>
      </c>
      <c r="L28" s="8" t="s">
        <v>64</v>
      </c>
      <c r="M28" s="8" t="s">
        <v>64</v>
      </c>
      <c r="N28" s="8"/>
      <c r="O28" s="8"/>
      <c r="P28" s="8"/>
      <c r="Q28" s="8"/>
      <c r="R28" s="8"/>
      <c r="S28" s="8"/>
    </row>
    <row r="29">
      <c r="A29" s="51"/>
      <c r="B29" s="8"/>
      <c r="C29" s="88"/>
      <c r="D29" s="51"/>
      <c r="E29" s="89"/>
      <c r="F29" s="8"/>
      <c r="G29" s="8"/>
      <c r="H29" s="8"/>
      <c r="I29" s="8"/>
      <c r="J29" s="8" t="str">
        <f>IFERROR(__xludf.DUMMYFUNCTION("""COMPUTED_VALUE"""),"")</f>
        <v/>
      </c>
      <c r="K29" s="8" t="str">
        <f>IFERROR(__xludf.DUMMYFUNCTION("""COMPUTED_VALUE"""),"")</f>
        <v/>
      </c>
      <c r="L29" s="8" t="s">
        <v>64</v>
      </c>
      <c r="M29" s="8" t="s">
        <v>64</v>
      </c>
      <c r="N29" s="8"/>
      <c r="O29" s="8"/>
      <c r="P29" s="8"/>
      <c r="Q29" s="8"/>
      <c r="R29" s="8"/>
      <c r="S29" s="8"/>
    </row>
    <row r="30">
      <c r="A30" s="51"/>
      <c r="B30" s="8"/>
      <c r="C30" s="88"/>
      <c r="D30" s="51"/>
      <c r="E30" s="89"/>
      <c r="F30" s="8"/>
      <c r="G30" s="8"/>
      <c r="H30" s="8"/>
      <c r="I30" s="8"/>
      <c r="J30" s="8" t="str">
        <f>IFERROR(__xludf.DUMMYFUNCTION("""COMPUTED_VALUE"""),"")</f>
        <v/>
      </c>
      <c r="K30" s="8" t="str">
        <f>IFERROR(__xludf.DUMMYFUNCTION("""COMPUTED_VALUE"""),"")</f>
        <v/>
      </c>
      <c r="L30" s="8" t="s">
        <v>64</v>
      </c>
      <c r="M30" s="8" t="s">
        <v>64</v>
      </c>
      <c r="N30" s="8"/>
      <c r="O30" s="8"/>
      <c r="P30" s="8"/>
      <c r="Q30" s="8"/>
      <c r="R30" s="8"/>
      <c r="S30" s="8"/>
    </row>
    <row r="31">
      <c r="A31" s="51"/>
      <c r="B31" s="51"/>
      <c r="C31" s="88"/>
      <c r="D31" s="51"/>
      <c r="E31" s="90"/>
      <c r="F31" s="51"/>
      <c r="G31" s="51"/>
      <c r="H31" s="51"/>
      <c r="I31" s="51"/>
      <c r="J31" s="51" t="str">
        <f>IFERROR(__xludf.DUMMYFUNCTION("""COMPUTED_VALUE"""),"")</f>
        <v/>
      </c>
      <c r="K31" s="51" t="str">
        <f>IFERROR(__xludf.DUMMYFUNCTION("""COMPUTED_VALUE"""),"")</f>
        <v/>
      </c>
      <c r="L31" s="51" t="s">
        <v>64</v>
      </c>
      <c r="M31" s="51" t="s">
        <v>64</v>
      </c>
      <c r="N31" s="51"/>
      <c r="O31" s="51"/>
      <c r="P31" s="51"/>
      <c r="Q31" s="51"/>
      <c r="R31" s="51"/>
      <c r="S31" s="51"/>
    </row>
    <row r="32">
      <c r="A32" s="51"/>
      <c r="B32" s="51"/>
      <c r="C32" s="88"/>
      <c r="D32" s="51"/>
      <c r="E32" s="90"/>
      <c r="F32" s="51"/>
      <c r="G32" s="51"/>
      <c r="H32" s="51"/>
      <c r="I32" s="51"/>
      <c r="J32" s="51" t="str">
        <f>IFERROR(__xludf.DUMMYFUNCTION("""COMPUTED_VALUE"""),"")</f>
        <v/>
      </c>
      <c r="K32" s="51" t="str">
        <f>IFERROR(__xludf.DUMMYFUNCTION("""COMPUTED_VALUE"""),"")</f>
        <v/>
      </c>
      <c r="L32" s="51" t="s">
        <v>64</v>
      </c>
      <c r="M32" s="51" t="s">
        <v>64</v>
      </c>
      <c r="N32" s="51"/>
      <c r="O32" s="51"/>
      <c r="P32" s="51"/>
      <c r="Q32" s="51"/>
      <c r="R32" s="51"/>
      <c r="S32" s="51"/>
    </row>
    <row r="33">
      <c r="A33" s="51"/>
      <c r="B33" s="51"/>
      <c r="C33" s="88"/>
      <c r="D33" s="51"/>
      <c r="E33" s="90"/>
      <c r="F33" s="51"/>
      <c r="G33" s="51"/>
      <c r="H33" s="51"/>
      <c r="I33" s="51"/>
      <c r="J33" s="51" t="str">
        <f>IFERROR(__xludf.DUMMYFUNCTION("""COMPUTED_VALUE"""),"")</f>
        <v/>
      </c>
      <c r="K33" s="51" t="str">
        <f>IFERROR(__xludf.DUMMYFUNCTION("""COMPUTED_VALUE"""),"")</f>
        <v/>
      </c>
      <c r="L33" s="51" t="s">
        <v>64</v>
      </c>
      <c r="M33" s="51" t="s">
        <v>64</v>
      </c>
      <c r="N33" s="51"/>
      <c r="O33" s="51"/>
      <c r="P33" s="51"/>
      <c r="Q33" s="51"/>
      <c r="R33" s="51"/>
      <c r="S33" s="51"/>
    </row>
    <row r="34">
      <c r="A34" s="51"/>
      <c r="B34" s="51"/>
      <c r="C34" s="88"/>
      <c r="D34" s="51"/>
      <c r="E34" s="90"/>
      <c r="F34" s="51"/>
      <c r="G34" s="51"/>
      <c r="H34" s="51"/>
      <c r="I34" s="51"/>
      <c r="J34" s="51" t="str">
        <f>IFERROR(__xludf.DUMMYFUNCTION("""COMPUTED_VALUE"""),"")</f>
        <v/>
      </c>
      <c r="K34" s="51" t="str">
        <f>IFERROR(__xludf.DUMMYFUNCTION("""COMPUTED_VALUE"""),"")</f>
        <v/>
      </c>
      <c r="L34" s="51" t="s">
        <v>64</v>
      </c>
      <c r="M34" s="51" t="s">
        <v>64</v>
      </c>
      <c r="N34" s="51"/>
      <c r="O34" s="51"/>
      <c r="P34" s="51"/>
      <c r="Q34" s="51"/>
      <c r="R34" s="51"/>
      <c r="S34" s="51"/>
    </row>
    <row r="35">
      <c r="A35" s="51"/>
      <c r="B35" s="51"/>
      <c r="C35" s="88"/>
      <c r="D35" s="51"/>
      <c r="E35" s="90"/>
      <c r="F35" s="51"/>
      <c r="G35" s="51"/>
      <c r="H35" s="51"/>
      <c r="I35" s="51"/>
      <c r="J35" s="51" t="str">
        <f>IFERROR(__xludf.DUMMYFUNCTION("""COMPUTED_VALUE"""),"")</f>
        <v/>
      </c>
      <c r="K35" s="51" t="str">
        <f>IFERROR(__xludf.DUMMYFUNCTION("""COMPUTED_VALUE"""),"")</f>
        <v/>
      </c>
      <c r="L35" s="51" t="s">
        <v>64</v>
      </c>
      <c r="M35" s="51" t="s">
        <v>64</v>
      </c>
      <c r="N35" s="51"/>
      <c r="O35" s="51"/>
      <c r="P35" s="51"/>
      <c r="Q35" s="51"/>
      <c r="R35" s="51"/>
      <c r="S35" s="51"/>
    </row>
    <row r="36">
      <c r="A36" s="51"/>
      <c r="B36" s="51"/>
      <c r="C36" s="88"/>
      <c r="D36" s="51"/>
      <c r="E36" s="90"/>
      <c r="F36" s="51"/>
      <c r="G36" s="51"/>
      <c r="H36" s="51"/>
      <c r="I36" s="51"/>
      <c r="J36" s="51" t="str">
        <f>IFERROR(__xludf.DUMMYFUNCTION("""COMPUTED_VALUE"""),"")</f>
        <v/>
      </c>
      <c r="K36" s="51" t="str">
        <f>IFERROR(__xludf.DUMMYFUNCTION("""COMPUTED_VALUE"""),"")</f>
        <v/>
      </c>
      <c r="L36" s="51" t="s">
        <v>64</v>
      </c>
      <c r="M36" s="51" t="s">
        <v>64</v>
      </c>
      <c r="N36" s="51"/>
      <c r="O36" s="51"/>
      <c r="P36" s="51"/>
      <c r="Q36" s="51"/>
      <c r="R36" s="51"/>
      <c r="S36" s="51"/>
    </row>
    <row r="37">
      <c r="A37" s="51"/>
      <c r="B37" s="51"/>
      <c r="C37" s="88"/>
      <c r="D37" s="51"/>
      <c r="E37" s="90"/>
      <c r="F37" s="51"/>
      <c r="G37" s="51"/>
      <c r="H37" s="51"/>
      <c r="I37" s="51"/>
      <c r="J37" s="51" t="str">
        <f>IFERROR(__xludf.DUMMYFUNCTION("""COMPUTED_VALUE"""),"")</f>
        <v/>
      </c>
      <c r="K37" s="51" t="str">
        <f>IFERROR(__xludf.DUMMYFUNCTION("""COMPUTED_VALUE"""),"")</f>
        <v/>
      </c>
      <c r="L37" s="51" t="s">
        <v>64</v>
      </c>
      <c r="M37" s="51" t="s">
        <v>64</v>
      </c>
      <c r="N37" s="51"/>
      <c r="O37" s="51"/>
      <c r="P37" s="51"/>
      <c r="Q37" s="51"/>
      <c r="R37" s="51"/>
      <c r="S37" s="51"/>
    </row>
    <row r="38">
      <c r="A38" s="51"/>
      <c r="B38" s="51"/>
      <c r="C38" s="88"/>
      <c r="D38" s="51"/>
      <c r="E38" s="90"/>
      <c r="F38" s="51"/>
      <c r="G38" s="51"/>
      <c r="H38" s="51"/>
      <c r="I38" s="51"/>
      <c r="J38" s="51" t="str">
        <f>IFERROR(__xludf.DUMMYFUNCTION("""COMPUTED_VALUE"""),"")</f>
        <v/>
      </c>
      <c r="K38" s="51" t="str">
        <f>IFERROR(__xludf.DUMMYFUNCTION("""COMPUTED_VALUE"""),"")</f>
        <v/>
      </c>
      <c r="L38" s="51" t="s">
        <v>64</v>
      </c>
      <c r="M38" s="51" t="s">
        <v>64</v>
      </c>
      <c r="N38" s="51"/>
      <c r="O38" s="51"/>
      <c r="P38" s="51"/>
      <c r="Q38" s="51"/>
      <c r="R38" s="51"/>
      <c r="S38" s="51"/>
    </row>
    <row r="39">
      <c r="A39" s="51"/>
      <c r="B39" s="51"/>
      <c r="C39" s="88"/>
      <c r="D39" s="51"/>
      <c r="E39" s="90"/>
      <c r="F39" s="51"/>
      <c r="G39" s="51"/>
      <c r="H39" s="51"/>
      <c r="I39" s="51"/>
      <c r="J39" s="51" t="str">
        <f>IFERROR(__xludf.DUMMYFUNCTION("""COMPUTED_VALUE"""),"")</f>
        <v/>
      </c>
      <c r="K39" s="51" t="str">
        <f>IFERROR(__xludf.DUMMYFUNCTION("""COMPUTED_VALUE"""),"")</f>
        <v/>
      </c>
      <c r="L39" s="51" t="s">
        <v>64</v>
      </c>
      <c r="M39" s="51" t="s">
        <v>64</v>
      </c>
      <c r="N39" s="51"/>
      <c r="O39" s="51"/>
      <c r="P39" s="51"/>
      <c r="Q39" s="51"/>
      <c r="R39" s="51"/>
      <c r="S39" s="51"/>
    </row>
    <row r="40">
      <c r="A40" s="51"/>
      <c r="B40" s="51"/>
      <c r="C40" s="88"/>
      <c r="D40" s="51"/>
      <c r="E40" s="90"/>
      <c r="F40" s="51"/>
      <c r="G40" s="51"/>
      <c r="H40" s="51"/>
      <c r="I40" s="51"/>
      <c r="J40" s="51" t="str">
        <f>IFERROR(__xludf.DUMMYFUNCTION("""COMPUTED_VALUE"""),"")</f>
        <v/>
      </c>
      <c r="K40" s="51" t="str">
        <f>IFERROR(__xludf.DUMMYFUNCTION("""COMPUTED_VALUE"""),"")</f>
        <v/>
      </c>
      <c r="L40" s="51" t="s">
        <v>64</v>
      </c>
      <c r="M40" s="51" t="s">
        <v>64</v>
      </c>
      <c r="N40" s="51"/>
      <c r="O40" s="51"/>
      <c r="P40" s="51"/>
      <c r="Q40" s="51"/>
      <c r="R40" s="51"/>
      <c r="S40" s="51"/>
    </row>
    <row r="41">
      <c r="A41" s="51"/>
      <c r="B41" s="51"/>
      <c r="C41" s="88"/>
      <c r="D41" s="51"/>
      <c r="E41" s="90"/>
      <c r="F41" s="51"/>
      <c r="G41" s="51"/>
      <c r="H41" s="51"/>
      <c r="I41" s="51"/>
      <c r="J41" s="51" t="str">
        <f>IFERROR(__xludf.DUMMYFUNCTION("""COMPUTED_VALUE"""),"")</f>
        <v/>
      </c>
      <c r="K41" s="51" t="str">
        <f>IFERROR(__xludf.DUMMYFUNCTION("""COMPUTED_VALUE"""),"")</f>
        <v/>
      </c>
      <c r="L41" s="51" t="s">
        <v>64</v>
      </c>
      <c r="M41" s="51" t="s">
        <v>64</v>
      </c>
      <c r="N41" s="51"/>
      <c r="O41" s="51"/>
      <c r="P41" s="51"/>
      <c r="Q41" s="51"/>
      <c r="R41" s="51"/>
      <c r="S41" s="51"/>
    </row>
    <row r="42">
      <c r="A42" s="51"/>
      <c r="B42" s="51"/>
      <c r="C42" s="88"/>
      <c r="D42" s="51"/>
      <c r="E42" s="90"/>
      <c r="F42" s="51"/>
      <c r="G42" s="51"/>
      <c r="H42" s="51"/>
      <c r="I42" s="51"/>
      <c r="J42" s="51" t="str">
        <f>IFERROR(__xludf.DUMMYFUNCTION("""COMPUTED_VALUE"""),"")</f>
        <v/>
      </c>
      <c r="K42" s="51" t="str">
        <f>IFERROR(__xludf.DUMMYFUNCTION("""COMPUTED_VALUE"""),"")</f>
        <v/>
      </c>
      <c r="L42" s="51" t="s">
        <v>64</v>
      </c>
      <c r="M42" s="51" t="s">
        <v>64</v>
      </c>
      <c r="N42" s="51"/>
      <c r="O42" s="51"/>
      <c r="P42" s="51"/>
      <c r="Q42" s="51"/>
      <c r="R42" s="51"/>
      <c r="S42" s="51"/>
    </row>
    <row r="43">
      <c r="A43" s="51"/>
      <c r="B43" s="51"/>
      <c r="C43" s="88"/>
      <c r="D43" s="51"/>
      <c r="E43" s="90"/>
      <c r="F43" s="51"/>
      <c r="G43" s="51"/>
      <c r="H43" s="51"/>
      <c r="I43" s="51"/>
      <c r="J43" s="51" t="str">
        <f>IFERROR(__xludf.DUMMYFUNCTION("""COMPUTED_VALUE"""),"")</f>
        <v/>
      </c>
      <c r="K43" s="51" t="str">
        <f>IFERROR(__xludf.DUMMYFUNCTION("""COMPUTED_VALUE"""),"")</f>
        <v/>
      </c>
      <c r="L43" s="51" t="s">
        <v>64</v>
      </c>
      <c r="M43" s="51" t="s">
        <v>64</v>
      </c>
      <c r="N43" s="51"/>
      <c r="O43" s="51"/>
      <c r="P43" s="51"/>
      <c r="Q43" s="51"/>
      <c r="R43" s="51"/>
      <c r="S43" s="51"/>
    </row>
    <row r="44">
      <c r="A44" s="51"/>
      <c r="B44" s="51"/>
      <c r="C44" s="88"/>
      <c r="D44" s="51"/>
      <c r="E44" s="90"/>
      <c r="F44" s="51"/>
      <c r="G44" s="51"/>
      <c r="H44" s="51"/>
      <c r="I44" s="51"/>
      <c r="J44" s="51" t="str">
        <f>IFERROR(__xludf.DUMMYFUNCTION("""COMPUTED_VALUE"""),"")</f>
        <v/>
      </c>
      <c r="K44" s="51" t="str">
        <f>IFERROR(__xludf.DUMMYFUNCTION("""COMPUTED_VALUE"""),"")</f>
        <v/>
      </c>
      <c r="L44" s="51" t="s">
        <v>64</v>
      </c>
      <c r="M44" s="51" t="s">
        <v>64</v>
      </c>
      <c r="N44" s="51"/>
      <c r="O44" s="51"/>
      <c r="P44" s="51"/>
      <c r="Q44" s="51"/>
      <c r="R44" s="51"/>
      <c r="S44" s="51"/>
    </row>
    <row r="45">
      <c r="A45" s="51"/>
      <c r="B45" s="51"/>
      <c r="C45" s="88"/>
      <c r="D45" s="51"/>
      <c r="E45" s="90"/>
      <c r="F45" s="51"/>
      <c r="G45" s="51"/>
      <c r="H45" s="51"/>
      <c r="I45" s="51"/>
      <c r="J45" s="51" t="str">
        <f>IFERROR(__xludf.DUMMYFUNCTION("""COMPUTED_VALUE"""),"")</f>
        <v/>
      </c>
      <c r="K45" s="51" t="str">
        <f>IFERROR(__xludf.DUMMYFUNCTION("""COMPUTED_VALUE"""),"")</f>
        <v/>
      </c>
      <c r="L45" s="51" t="s">
        <v>64</v>
      </c>
      <c r="M45" s="51" t="s">
        <v>64</v>
      </c>
      <c r="N45" s="51"/>
      <c r="O45" s="51"/>
      <c r="P45" s="51"/>
      <c r="Q45" s="51"/>
      <c r="R45" s="51"/>
      <c r="S45" s="51"/>
    </row>
    <row r="46">
      <c r="A46" s="51"/>
      <c r="B46" s="51"/>
      <c r="C46" s="88"/>
      <c r="D46" s="51"/>
      <c r="E46" s="90"/>
      <c r="F46" s="51"/>
      <c r="G46" s="51"/>
      <c r="H46" s="51"/>
      <c r="I46" s="51"/>
      <c r="J46" s="51" t="str">
        <f>IFERROR(__xludf.DUMMYFUNCTION("""COMPUTED_VALUE"""),"")</f>
        <v/>
      </c>
      <c r="K46" s="51" t="str">
        <f>IFERROR(__xludf.DUMMYFUNCTION("""COMPUTED_VALUE"""),"")</f>
        <v/>
      </c>
      <c r="L46" s="51" t="s">
        <v>64</v>
      </c>
      <c r="M46" s="51" t="s">
        <v>64</v>
      </c>
      <c r="N46" s="51"/>
      <c r="O46" s="51"/>
      <c r="P46" s="51"/>
      <c r="Q46" s="51"/>
      <c r="R46" s="51"/>
      <c r="S46" s="51"/>
    </row>
    <row r="47">
      <c r="A47" s="51"/>
      <c r="B47" s="51"/>
      <c r="C47" s="88"/>
      <c r="D47" s="51"/>
      <c r="E47" s="90"/>
      <c r="F47" s="51"/>
      <c r="G47" s="51"/>
      <c r="H47" s="51"/>
      <c r="I47" s="51"/>
      <c r="J47" s="51" t="str">
        <f>IFERROR(__xludf.DUMMYFUNCTION("""COMPUTED_VALUE"""),"")</f>
        <v/>
      </c>
      <c r="K47" s="51" t="str">
        <f>IFERROR(__xludf.DUMMYFUNCTION("""COMPUTED_VALUE"""),"")</f>
        <v/>
      </c>
      <c r="L47" s="51" t="s">
        <v>64</v>
      </c>
      <c r="M47" s="51" t="s">
        <v>64</v>
      </c>
      <c r="N47" s="51"/>
      <c r="O47" s="51"/>
      <c r="P47" s="51"/>
      <c r="Q47" s="51"/>
      <c r="R47" s="51"/>
      <c r="S47" s="51"/>
    </row>
    <row r="48">
      <c r="A48" s="51"/>
      <c r="B48" s="51"/>
      <c r="C48" s="88"/>
      <c r="D48" s="51"/>
      <c r="E48" s="90"/>
      <c r="F48" s="51"/>
      <c r="G48" s="51"/>
      <c r="H48" s="51"/>
      <c r="I48" s="51"/>
      <c r="J48" s="51" t="str">
        <f>IFERROR(__xludf.DUMMYFUNCTION("""COMPUTED_VALUE"""),"")</f>
        <v/>
      </c>
      <c r="K48" s="51" t="str">
        <f>IFERROR(__xludf.DUMMYFUNCTION("""COMPUTED_VALUE"""),"")</f>
        <v/>
      </c>
      <c r="L48" s="51" t="s">
        <v>64</v>
      </c>
      <c r="M48" s="51" t="s">
        <v>64</v>
      </c>
      <c r="N48" s="51"/>
      <c r="O48" s="51"/>
      <c r="P48" s="51"/>
      <c r="Q48" s="51"/>
      <c r="R48" s="51"/>
      <c r="S48" s="51"/>
    </row>
    <row r="49">
      <c r="A49" s="51"/>
      <c r="B49" s="51"/>
      <c r="C49" s="88"/>
      <c r="D49" s="51"/>
      <c r="E49" s="90"/>
      <c r="F49" s="51"/>
      <c r="G49" s="51"/>
      <c r="H49" s="51"/>
      <c r="I49" s="51"/>
      <c r="J49" s="51" t="str">
        <f>IFERROR(__xludf.DUMMYFUNCTION("""COMPUTED_VALUE"""),"")</f>
        <v/>
      </c>
      <c r="K49" s="51" t="str">
        <f>IFERROR(__xludf.DUMMYFUNCTION("""COMPUTED_VALUE"""),"")</f>
        <v/>
      </c>
      <c r="L49" s="51" t="s">
        <v>64</v>
      </c>
      <c r="M49" s="51" t="s">
        <v>64</v>
      </c>
      <c r="N49" s="51"/>
      <c r="O49" s="51"/>
      <c r="P49" s="51"/>
      <c r="Q49" s="51"/>
      <c r="R49" s="51"/>
      <c r="S49" s="51"/>
    </row>
    <row r="50">
      <c r="A50" s="51"/>
      <c r="B50" s="51"/>
      <c r="C50" s="88"/>
      <c r="D50" s="51"/>
      <c r="E50" s="90"/>
      <c r="F50" s="51"/>
      <c r="G50" s="51"/>
      <c r="H50" s="51"/>
      <c r="I50" s="51"/>
      <c r="J50" s="51" t="str">
        <f>IFERROR(__xludf.DUMMYFUNCTION("""COMPUTED_VALUE"""),"")</f>
        <v/>
      </c>
      <c r="K50" s="51" t="str">
        <f>IFERROR(__xludf.DUMMYFUNCTION("""COMPUTED_VALUE"""),"")</f>
        <v/>
      </c>
      <c r="L50" s="51" t="s">
        <v>64</v>
      </c>
      <c r="M50" s="51" t="s">
        <v>64</v>
      </c>
      <c r="N50" s="51"/>
      <c r="O50" s="51"/>
      <c r="P50" s="51"/>
      <c r="Q50" s="51"/>
      <c r="R50" s="51"/>
      <c r="S50" s="51"/>
    </row>
    <row r="51">
      <c r="A51" s="51"/>
      <c r="B51" s="51"/>
      <c r="C51" s="88"/>
      <c r="D51" s="51"/>
      <c r="E51" s="90"/>
      <c r="F51" s="51"/>
      <c r="G51" s="51"/>
      <c r="H51" s="51"/>
      <c r="I51" s="51"/>
      <c r="J51" s="51" t="str">
        <f>IFERROR(__xludf.DUMMYFUNCTION("""COMPUTED_VALUE"""),"")</f>
        <v/>
      </c>
      <c r="K51" s="51" t="str">
        <f>IFERROR(__xludf.DUMMYFUNCTION("""COMPUTED_VALUE"""),"")</f>
        <v/>
      </c>
      <c r="L51" s="51" t="s">
        <v>64</v>
      </c>
      <c r="M51" s="51" t="s">
        <v>64</v>
      </c>
      <c r="N51" s="51"/>
      <c r="O51" s="51"/>
      <c r="P51" s="51"/>
      <c r="Q51" s="51"/>
      <c r="R51" s="51"/>
      <c r="S51" s="51"/>
    </row>
    <row r="52">
      <c r="A52" s="51"/>
      <c r="B52" s="51"/>
      <c r="C52" s="88"/>
      <c r="D52" s="51"/>
      <c r="E52" s="90"/>
      <c r="F52" s="51"/>
      <c r="G52" s="51"/>
      <c r="H52" s="51"/>
      <c r="I52" s="51"/>
      <c r="J52" s="51" t="str">
        <f>IFERROR(__xludf.DUMMYFUNCTION("""COMPUTED_VALUE"""),"")</f>
        <v/>
      </c>
      <c r="K52" s="51" t="str">
        <f>IFERROR(__xludf.DUMMYFUNCTION("""COMPUTED_VALUE"""),"")</f>
        <v/>
      </c>
      <c r="L52" s="51" t="s">
        <v>64</v>
      </c>
      <c r="M52" s="51" t="s">
        <v>64</v>
      </c>
      <c r="N52" s="51"/>
      <c r="O52" s="51"/>
      <c r="P52" s="51"/>
      <c r="Q52" s="51"/>
      <c r="R52" s="51"/>
      <c r="S52" s="51"/>
    </row>
    <row r="53">
      <c r="A53" s="51"/>
      <c r="B53" s="51"/>
      <c r="C53" s="88"/>
      <c r="D53" s="51"/>
      <c r="E53" s="90"/>
      <c r="F53" s="51"/>
      <c r="G53" s="51"/>
      <c r="H53" s="51"/>
      <c r="I53" s="51"/>
      <c r="J53" s="51" t="str">
        <f>IFERROR(__xludf.DUMMYFUNCTION("""COMPUTED_VALUE"""),"")</f>
        <v/>
      </c>
      <c r="K53" s="51" t="str">
        <f>IFERROR(__xludf.DUMMYFUNCTION("""COMPUTED_VALUE"""),"")</f>
        <v/>
      </c>
      <c r="L53" s="51" t="s">
        <v>64</v>
      </c>
      <c r="M53" s="51" t="s">
        <v>64</v>
      </c>
      <c r="N53" s="51"/>
      <c r="O53" s="51"/>
      <c r="P53" s="51"/>
      <c r="Q53" s="51"/>
      <c r="R53" s="51"/>
      <c r="S53" s="51"/>
    </row>
    <row r="54">
      <c r="A54" s="51"/>
      <c r="B54" s="51"/>
      <c r="C54" s="88"/>
      <c r="D54" s="51"/>
      <c r="E54" s="90"/>
      <c r="F54" s="51"/>
      <c r="G54" s="51"/>
      <c r="H54" s="51"/>
      <c r="I54" s="51"/>
      <c r="J54" s="51" t="str">
        <f>IFERROR(__xludf.DUMMYFUNCTION("""COMPUTED_VALUE"""),"")</f>
        <v/>
      </c>
      <c r="K54" s="51" t="str">
        <f>IFERROR(__xludf.DUMMYFUNCTION("""COMPUTED_VALUE"""),"")</f>
        <v/>
      </c>
      <c r="L54" s="51" t="s">
        <v>64</v>
      </c>
      <c r="M54" s="51" t="s">
        <v>64</v>
      </c>
      <c r="N54" s="51"/>
      <c r="O54" s="51"/>
      <c r="P54" s="51"/>
      <c r="Q54" s="51"/>
      <c r="R54" s="51"/>
      <c r="S54" s="51"/>
    </row>
    <row r="55">
      <c r="A55" s="51"/>
      <c r="B55" s="51"/>
      <c r="C55" s="88"/>
      <c r="D55" s="51"/>
      <c r="E55" s="90"/>
      <c r="F55" s="51"/>
      <c r="G55" s="51"/>
      <c r="H55" s="51"/>
      <c r="I55" s="51"/>
      <c r="J55" s="51" t="str">
        <f>IFERROR(__xludf.DUMMYFUNCTION("""COMPUTED_VALUE"""),"")</f>
        <v/>
      </c>
      <c r="K55" s="51" t="str">
        <f>IFERROR(__xludf.DUMMYFUNCTION("""COMPUTED_VALUE"""),"")</f>
        <v/>
      </c>
      <c r="L55" s="51" t="s">
        <v>64</v>
      </c>
      <c r="M55" s="51" t="s">
        <v>64</v>
      </c>
      <c r="N55" s="51"/>
      <c r="O55" s="51"/>
      <c r="P55" s="51"/>
      <c r="Q55" s="51"/>
      <c r="R55" s="51"/>
      <c r="S55" s="51"/>
    </row>
    <row r="56">
      <c r="A56" s="51"/>
      <c r="B56" s="51"/>
      <c r="C56" s="88"/>
      <c r="D56" s="51"/>
      <c r="E56" s="90"/>
      <c r="F56" s="51"/>
      <c r="G56" s="51"/>
      <c r="H56" s="51"/>
      <c r="I56" s="51"/>
      <c r="J56" s="51" t="str">
        <f>IFERROR(__xludf.DUMMYFUNCTION("""COMPUTED_VALUE"""),"")</f>
        <v/>
      </c>
      <c r="K56" s="51" t="str">
        <f>IFERROR(__xludf.DUMMYFUNCTION("""COMPUTED_VALUE"""),"")</f>
        <v/>
      </c>
      <c r="L56" s="51" t="s">
        <v>64</v>
      </c>
      <c r="M56" s="51" t="s">
        <v>64</v>
      </c>
      <c r="N56" s="51"/>
      <c r="O56" s="51"/>
      <c r="P56" s="51"/>
      <c r="Q56" s="51"/>
      <c r="R56" s="51"/>
      <c r="S56" s="51"/>
    </row>
    <row r="57">
      <c r="A57" s="51"/>
      <c r="B57" s="51"/>
      <c r="C57" s="88"/>
      <c r="D57" s="51"/>
      <c r="E57" s="90"/>
      <c r="F57" s="51"/>
      <c r="G57" s="51"/>
      <c r="H57" s="51"/>
      <c r="I57" s="51"/>
      <c r="J57" s="51" t="str">
        <f>IFERROR(__xludf.DUMMYFUNCTION("""COMPUTED_VALUE"""),"")</f>
        <v/>
      </c>
      <c r="K57" s="51" t="str">
        <f>IFERROR(__xludf.DUMMYFUNCTION("""COMPUTED_VALUE"""),"")</f>
        <v/>
      </c>
      <c r="L57" s="51" t="s">
        <v>64</v>
      </c>
      <c r="M57" s="51" t="s">
        <v>64</v>
      </c>
      <c r="N57" s="51"/>
      <c r="O57" s="51"/>
      <c r="P57" s="51"/>
      <c r="Q57" s="51"/>
      <c r="R57" s="51"/>
      <c r="S57" s="51"/>
    </row>
    <row r="58">
      <c r="A58" s="51"/>
      <c r="B58" s="51"/>
      <c r="C58" s="88"/>
      <c r="D58" s="51"/>
      <c r="E58" s="90"/>
      <c r="F58" s="51"/>
      <c r="G58" s="51"/>
      <c r="H58" s="51"/>
      <c r="I58" s="51"/>
      <c r="J58" s="51" t="str">
        <f>IFERROR(__xludf.DUMMYFUNCTION("""COMPUTED_VALUE"""),"")</f>
        <v/>
      </c>
      <c r="K58" s="51" t="str">
        <f>IFERROR(__xludf.DUMMYFUNCTION("""COMPUTED_VALUE"""),"")</f>
        <v/>
      </c>
      <c r="L58" s="51" t="s">
        <v>64</v>
      </c>
      <c r="M58" s="51" t="s">
        <v>64</v>
      </c>
      <c r="N58" s="51"/>
      <c r="O58" s="51"/>
      <c r="P58" s="51"/>
      <c r="Q58" s="51"/>
      <c r="R58" s="51"/>
      <c r="S58" s="51"/>
    </row>
    <row r="59">
      <c r="A59" s="51"/>
      <c r="B59" s="51"/>
      <c r="C59" s="88"/>
      <c r="D59" s="51"/>
      <c r="E59" s="90"/>
      <c r="F59" s="51"/>
      <c r="G59" s="51"/>
      <c r="H59" s="51"/>
      <c r="I59" s="51"/>
      <c r="J59" s="51" t="str">
        <f>IFERROR(__xludf.DUMMYFUNCTION("""COMPUTED_VALUE"""),"")</f>
        <v/>
      </c>
      <c r="K59" s="51" t="str">
        <f>IFERROR(__xludf.DUMMYFUNCTION("""COMPUTED_VALUE"""),"")</f>
        <v/>
      </c>
      <c r="L59" s="51" t="s">
        <v>64</v>
      </c>
      <c r="M59" s="51" t="s">
        <v>64</v>
      </c>
      <c r="N59" s="51"/>
      <c r="O59" s="51"/>
      <c r="P59" s="51"/>
      <c r="Q59" s="51"/>
      <c r="R59" s="51"/>
      <c r="S59" s="51"/>
    </row>
    <row r="60">
      <c r="A60" s="51"/>
      <c r="B60" s="51"/>
      <c r="C60" s="88"/>
      <c r="D60" s="51"/>
      <c r="E60" s="90"/>
      <c r="F60" s="51"/>
      <c r="G60" s="51"/>
      <c r="H60" s="51"/>
      <c r="I60" s="51"/>
      <c r="J60" s="51" t="str">
        <f>IFERROR(__xludf.DUMMYFUNCTION("""COMPUTED_VALUE"""),"")</f>
        <v/>
      </c>
      <c r="K60" s="51" t="str">
        <f>IFERROR(__xludf.DUMMYFUNCTION("""COMPUTED_VALUE"""),"")</f>
        <v/>
      </c>
      <c r="L60" s="51" t="s">
        <v>64</v>
      </c>
      <c r="M60" s="51" t="s">
        <v>64</v>
      </c>
      <c r="N60" s="51"/>
      <c r="O60" s="51"/>
      <c r="P60" s="51"/>
      <c r="Q60" s="51"/>
      <c r="R60" s="51"/>
      <c r="S60" s="51"/>
    </row>
    <row r="61">
      <c r="A61" s="51"/>
      <c r="B61" s="51"/>
      <c r="C61" s="88"/>
      <c r="D61" s="51"/>
      <c r="E61" s="90"/>
      <c r="F61" s="51"/>
      <c r="G61" s="51"/>
      <c r="H61" s="51"/>
      <c r="I61" s="51"/>
      <c r="J61" s="51" t="str">
        <f>IFERROR(__xludf.DUMMYFUNCTION("""COMPUTED_VALUE"""),"")</f>
        <v/>
      </c>
      <c r="K61" s="51" t="str">
        <f>IFERROR(__xludf.DUMMYFUNCTION("""COMPUTED_VALUE"""),"")</f>
        <v/>
      </c>
      <c r="L61" s="51" t="s">
        <v>64</v>
      </c>
      <c r="M61" s="51" t="s">
        <v>64</v>
      </c>
      <c r="N61" s="51"/>
      <c r="O61" s="51"/>
      <c r="P61" s="51"/>
      <c r="Q61" s="51"/>
      <c r="R61" s="51"/>
      <c r="S61" s="51"/>
    </row>
    <row r="62">
      <c r="A62" s="51"/>
      <c r="B62" s="51"/>
      <c r="C62" s="88"/>
      <c r="D62" s="51"/>
      <c r="E62" s="90"/>
      <c r="F62" s="51"/>
      <c r="G62" s="51"/>
      <c r="H62" s="51"/>
      <c r="I62" s="51"/>
      <c r="J62" s="51" t="str">
        <f>IFERROR(__xludf.DUMMYFUNCTION("""COMPUTED_VALUE"""),"")</f>
        <v/>
      </c>
      <c r="K62" s="51" t="str">
        <f>IFERROR(__xludf.DUMMYFUNCTION("""COMPUTED_VALUE"""),"")</f>
        <v/>
      </c>
      <c r="L62" s="51" t="s">
        <v>64</v>
      </c>
      <c r="M62" s="51" t="s">
        <v>64</v>
      </c>
      <c r="N62" s="51"/>
      <c r="O62" s="51"/>
      <c r="P62" s="51"/>
      <c r="Q62" s="51"/>
      <c r="R62" s="51"/>
      <c r="S62" s="51"/>
    </row>
    <row r="63">
      <c r="A63" s="51"/>
      <c r="B63" s="51"/>
      <c r="C63" s="88"/>
      <c r="D63" s="51"/>
      <c r="E63" s="90"/>
      <c r="F63" s="51"/>
      <c r="G63" s="51"/>
      <c r="H63" s="51"/>
      <c r="I63" s="51"/>
      <c r="J63" s="51" t="str">
        <f>IFERROR(__xludf.DUMMYFUNCTION("""COMPUTED_VALUE"""),"")</f>
        <v/>
      </c>
      <c r="K63" s="51" t="str">
        <f>IFERROR(__xludf.DUMMYFUNCTION("""COMPUTED_VALUE"""),"")</f>
        <v/>
      </c>
      <c r="L63" s="51" t="s">
        <v>64</v>
      </c>
      <c r="M63" s="51" t="s">
        <v>64</v>
      </c>
      <c r="N63" s="51"/>
      <c r="O63" s="51"/>
      <c r="P63" s="51"/>
      <c r="Q63" s="51"/>
      <c r="R63" s="51"/>
      <c r="S63" s="51"/>
    </row>
    <row r="64">
      <c r="A64" s="51"/>
      <c r="B64" s="51"/>
      <c r="C64" s="88"/>
      <c r="D64" s="51"/>
      <c r="E64" s="90"/>
      <c r="F64" s="51"/>
      <c r="G64" s="51"/>
      <c r="H64" s="51"/>
      <c r="I64" s="51"/>
      <c r="J64" s="51" t="str">
        <f>IFERROR(__xludf.DUMMYFUNCTION("""COMPUTED_VALUE"""),"")</f>
        <v/>
      </c>
      <c r="K64" s="51" t="str">
        <f>IFERROR(__xludf.DUMMYFUNCTION("""COMPUTED_VALUE"""),"")</f>
        <v/>
      </c>
      <c r="L64" s="51" t="s">
        <v>64</v>
      </c>
      <c r="M64" s="51" t="s">
        <v>64</v>
      </c>
      <c r="N64" s="51"/>
      <c r="O64" s="51"/>
      <c r="P64" s="51"/>
      <c r="Q64" s="51"/>
      <c r="R64" s="51"/>
      <c r="S64" s="51"/>
    </row>
    <row r="65">
      <c r="A65" s="51"/>
      <c r="B65" s="51"/>
      <c r="C65" s="88"/>
      <c r="D65" s="51"/>
      <c r="E65" s="90"/>
      <c r="F65" s="51"/>
      <c r="G65" s="51"/>
      <c r="H65" s="51"/>
      <c r="I65" s="51"/>
      <c r="J65" s="51" t="str">
        <f>IFERROR(__xludf.DUMMYFUNCTION("""COMPUTED_VALUE"""),"")</f>
        <v/>
      </c>
      <c r="K65" s="51" t="str">
        <f>IFERROR(__xludf.DUMMYFUNCTION("""COMPUTED_VALUE"""),"")</f>
        <v/>
      </c>
      <c r="L65" s="51" t="s">
        <v>64</v>
      </c>
      <c r="M65" s="51" t="s">
        <v>64</v>
      </c>
      <c r="N65" s="51"/>
      <c r="O65" s="51"/>
      <c r="P65" s="51"/>
      <c r="Q65" s="51"/>
      <c r="R65" s="51"/>
      <c r="S65" s="51"/>
    </row>
    <row r="66">
      <c r="A66" s="51"/>
      <c r="B66" s="51"/>
      <c r="C66" s="88"/>
      <c r="D66" s="51"/>
      <c r="E66" s="90"/>
      <c r="F66" s="51"/>
      <c r="G66" s="51"/>
      <c r="H66" s="51"/>
      <c r="I66" s="51"/>
      <c r="J66" s="51" t="str">
        <f>IFERROR(__xludf.DUMMYFUNCTION("""COMPUTED_VALUE"""),"")</f>
        <v/>
      </c>
      <c r="K66" s="51" t="str">
        <f>IFERROR(__xludf.DUMMYFUNCTION("""COMPUTED_VALUE"""),"")</f>
        <v/>
      </c>
      <c r="L66" s="51" t="s">
        <v>64</v>
      </c>
      <c r="M66" s="51" t="s">
        <v>64</v>
      </c>
      <c r="N66" s="51"/>
      <c r="O66" s="51"/>
      <c r="P66" s="51"/>
      <c r="Q66" s="51"/>
      <c r="R66" s="51"/>
      <c r="S66" s="51"/>
    </row>
    <row r="67">
      <c r="A67" s="51"/>
      <c r="B67" s="51"/>
      <c r="C67" s="88"/>
      <c r="D67" s="51"/>
      <c r="E67" s="90"/>
      <c r="F67" s="51"/>
      <c r="G67" s="51"/>
      <c r="H67" s="51"/>
      <c r="I67" s="51"/>
      <c r="J67" s="51" t="str">
        <f>IFERROR(__xludf.DUMMYFUNCTION("""COMPUTED_VALUE"""),"")</f>
        <v/>
      </c>
      <c r="K67" s="51" t="str">
        <f>IFERROR(__xludf.DUMMYFUNCTION("""COMPUTED_VALUE"""),"")</f>
        <v/>
      </c>
      <c r="L67" s="51" t="s">
        <v>64</v>
      </c>
      <c r="M67" s="51" t="s">
        <v>64</v>
      </c>
      <c r="N67" s="51"/>
      <c r="O67" s="51"/>
      <c r="P67" s="51"/>
      <c r="Q67" s="51"/>
      <c r="R67" s="51"/>
      <c r="S67" s="51"/>
    </row>
    <row r="68">
      <c r="A68" s="51"/>
      <c r="B68" s="51"/>
      <c r="C68" s="88"/>
      <c r="D68" s="51"/>
      <c r="E68" s="90"/>
      <c r="F68" s="51"/>
      <c r="G68" s="51"/>
      <c r="H68" s="51"/>
      <c r="I68" s="51"/>
      <c r="J68" s="51" t="str">
        <f>IFERROR(__xludf.DUMMYFUNCTION("""COMPUTED_VALUE"""),"")</f>
        <v/>
      </c>
      <c r="K68" s="51" t="str">
        <f>IFERROR(__xludf.DUMMYFUNCTION("""COMPUTED_VALUE"""),"")</f>
        <v/>
      </c>
      <c r="L68" s="51" t="s">
        <v>64</v>
      </c>
      <c r="M68" s="51" t="s">
        <v>64</v>
      </c>
      <c r="N68" s="51"/>
      <c r="O68" s="51"/>
      <c r="P68" s="51"/>
      <c r="Q68" s="51"/>
      <c r="R68" s="51"/>
      <c r="S68" s="51"/>
    </row>
    <row r="69">
      <c r="A69" s="51"/>
      <c r="B69" s="51"/>
      <c r="C69" s="88"/>
      <c r="D69" s="51"/>
      <c r="E69" s="90"/>
      <c r="F69" s="51"/>
      <c r="G69" s="51"/>
      <c r="H69" s="51"/>
      <c r="I69" s="51"/>
      <c r="J69" s="51" t="str">
        <f>IFERROR(__xludf.DUMMYFUNCTION("""COMPUTED_VALUE"""),"")</f>
        <v/>
      </c>
      <c r="K69" s="51" t="str">
        <f>IFERROR(__xludf.DUMMYFUNCTION("""COMPUTED_VALUE"""),"")</f>
        <v/>
      </c>
      <c r="L69" s="51" t="s">
        <v>64</v>
      </c>
      <c r="M69" s="51" t="s">
        <v>64</v>
      </c>
      <c r="N69" s="51"/>
      <c r="O69" s="51"/>
      <c r="P69" s="51"/>
      <c r="Q69" s="51"/>
      <c r="R69" s="51"/>
      <c r="S69" s="51"/>
    </row>
    <row r="70">
      <c r="A70" s="51"/>
      <c r="B70" s="51"/>
      <c r="C70" s="88"/>
      <c r="D70" s="51"/>
      <c r="E70" s="90"/>
      <c r="F70" s="51"/>
      <c r="G70" s="51"/>
      <c r="H70" s="51"/>
      <c r="I70" s="51"/>
      <c r="J70" s="51" t="str">
        <f>IFERROR(__xludf.DUMMYFUNCTION("""COMPUTED_VALUE"""),"")</f>
        <v/>
      </c>
      <c r="K70" s="51" t="str">
        <f>IFERROR(__xludf.DUMMYFUNCTION("""COMPUTED_VALUE"""),"")</f>
        <v/>
      </c>
      <c r="L70" s="51" t="s">
        <v>64</v>
      </c>
      <c r="M70" s="51" t="s">
        <v>64</v>
      </c>
      <c r="N70" s="51"/>
      <c r="O70" s="51"/>
      <c r="P70" s="51"/>
      <c r="Q70" s="51"/>
      <c r="R70" s="51"/>
      <c r="S70" s="51"/>
    </row>
    <row r="71">
      <c r="A71" s="51"/>
      <c r="B71" s="51"/>
      <c r="C71" s="88"/>
      <c r="D71" s="51"/>
      <c r="E71" s="90"/>
      <c r="F71" s="51"/>
      <c r="G71" s="51"/>
      <c r="H71" s="51"/>
      <c r="I71" s="51"/>
      <c r="J71" s="51" t="str">
        <f>IFERROR(__xludf.DUMMYFUNCTION("""COMPUTED_VALUE"""),"")</f>
        <v/>
      </c>
      <c r="K71" s="51" t="str">
        <f>IFERROR(__xludf.DUMMYFUNCTION("""COMPUTED_VALUE"""),"")</f>
        <v/>
      </c>
      <c r="L71" s="51" t="s">
        <v>64</v>
      </c>
      <c r="M71" s="51" t="s">
        <v>64</v>
      </c>
      <c r="N71" s="51"/>
      <c r="O71" s="51"/>
      <c r="P71" s="51"/>
      <c r="Q71" s="51"/>
      <c r="R71" s="51"/>
      <c r="S71" s="51"/>
    </row>
    <row r="72">
      <c r="A72" s="51"/>
      <c r="B72" s="51"/>
      <c r="C72" s="88"/>
      <c r="D72" s="51"/>
      <c r="E72" s="90"/>
      <c r="F72" s="51"/>
      <c r="G72" s="51"/>
      <c r="H72" s="51"/>
      <c r="I72" s="51"/>
      <c r="J72" s="51" t="str">
        <f>IFERROR(__xludf.DUMMYFUNCTION("""COMPUTED_VALUE"""),"")</f>
        <v/>
      </c>
      <c r="K72" s="51" t="str">
        <f>IFERROR(__xludf.DUMMYFUNCTION("""COMPUTED_VALUE"""),"")</f>
        <v/>
      </c>
      <c r="L72" s="51" t="s">
        <v>64</v>
      </c>
      <c r="M72" s="51" t="s">
        <v>64</v>
      </c>
      <c r="N72" s="51"/>
      <c r="O72" s="51"/>
      <c r="P72" s="51"/>
      <c r="Q72" s="51"/>
      <c r="R72" s="51"/>
      <c r="S72" s="51"/>
    </row>
    <row r="73">
      <c r="A73" s="51"/>
      <c r="B73" s="51"/>
      <c r="C73" s="88"/>
      <c r="D73" s="51"/>
      <c r="E73" s="90"/>
      <c r="F73" s="51"/>
      <c r="G73" s="51"/>
      <c r="H73" s="51"/>
      <c r="I73" s="51"/>
      <c r="J73" s="51" t="str">
        <f>IFERROR(__xludf.DUMMYFUNCTION("""COMPUTED_VALUE"""),"")</f>
        <v/>
      </c>
      <c r="K73" s="51" t="str">
        <f>IFERROR(__xludf.DUMMYFUNCTION("""COMPUTED_VALUE"""),"")</f>
        <v/>
      </c>
      <c r="L73" s="51" t="s">
        <v>64</v>
      </c>
      <c r="M73" s="51" t="s">
        <v>64</v>
      </c>
      <c r="N73" s="51"/>
      <c r="O73" s="51"/>
      <c r="P73" s="51"/>
      <c r="Q73" s="51"/>
      <c r="R73" s="51"/>
      <c r="S73" s="51"/>
    </row>
    <row r="74">
      <c r="A74" s="51"/>
      <c r="B74" s="51"/>
      <c r="C74" s="51"/>
      <c r="D74" s="51"/>
      <c r="E74" s="51"/>
      <c r="F74" s="51"/>
      <c r="G74" s="51"/>
      <c r="H74" s="51"/>
      <c r="I74" s="51"/>
      <c r="J74" s="51" t="str">
        <f>IFERROR(__xludf.DUMMYFUNCTION("""COMPUTED_VALUE"""),"")</f>
        <v/>
      </c>
      <c r="K74" s="51" t="str">
        <f>IFERROR(__xludf.DUMMYFUNCTION("""COMPUTED_VALUE"""),"")</f>
        <v/>
      </c>
      <c r="L74" s="51" t="s">
        <v>64</v>
      </c>
      <c r="M74" s="51" t="s">
        <v>64</v>
      </c>
      <c r="N74" s="51"/>
      <c r="O74" s="51"/>
      <c r="P74" s="51"/>
      <c r="Q74" s="51"/>
      <c r="R74" s="51"/>
      <c r="S74" s="51"/>
    </row>
    <row r="75">
      <c r="A75" s="51"/>
      <c r="B75" s="51"/>
      <c r="C75" s="51"/>
      <c r="D75" s="51"/>
      <c r="E75" s="51"/>
      <c r="F75" s="51"/>
      <c r="G75" s="51"/>
      <c r="H75" s="51"/>
      <c r="I75" s="51"/>
      <c r="J75" s="51" t="str">
        <f>IFERROR(__xludf.DUMMYFUNCTION("""COMPUTED_VALUE"""),"")</f>
        <v/>
      </c>
      <c r="K75" s="51" t="str">
        <f>IFERROR(__xludf.DUMMYFUNCTION("""COMPUTED_VALUE"""),"")</f>
        <v/>
      </c>
      <c r="L75" s="51" t="s">
        <v>64</v>
      </c>
      <c r="M75" s="51" t="s">
        <v>64</v>
      </c>
      <c r="N75" s="51"/>
      <c r="O75" s="51"/>
      <c r="P75" s="51"/>
      <c r="Q75" s="51"/>
      <c r="R75" s="51"/>
      <c r="S75" s="51"/>
    </row>
    <row r="76">
      <c r="A76" s="51"/>
      <c r="B76" s="51"/>
      <c r="C76" s="51"/>
      <c r="D76" s="51"/>
      <c r="E76" s="51"/>
      <c r="F76" s="51"/>
      <c r="G76" s="51"/>
      <c r="H76" s="51"/>
      <c r="I76" s="51"/>
      <c r="J76" s="51" t="str">
        <f>IFERROR(__xludf.DUMMYFUNCTION("""COMPUTED_VALUE"""),"")</f>
        <v/>
      </c>
      <c r="K76" s="51" t="str">
        <f>IFERROR(__xludf.DUMMYFUNCTION("""COMPUTED_VALUE"""),"")</f>
        <v/>
      </c>
      <c r="L76" s="51" t="s">
        <v>64</v>
      </c>
      <c r="M76" s="51" t="s">
        <v>64</v>
      </c>
      <c r="N76" s="51"/>
      <c r="O76" s="51"/>
      <c r="P76" s="51"/>
      <c r="Q76" s="51"/>
      <c r="R76" s="51"/>
      <c r="S76" s="51"/>
    </row>
    <row r="77">
      <c r="A77" s="51"/>
      <c r="B77" s="51"/>
      <c r="C77" s="51"/>
      <c r="D77" s="51"/>
      <c r="E77" s="51"/>
      <c r="F77" s="51"/>
      <c r="G77" s="51"/>
      <c r="H77" s="51"/>
      <c r="I77" s="51"/>
      <c r="J77" s="51" t="str">
        <f>IFERROR(__xludf.DUMMYFUNCTION("""COMPUTED_VALUE"""),"")</f>
        <v/>
      </c>
      <c r="K77" s="51" t="str">
        <f>IFERROR(__xludf.DUMMYFUNCTION("""COMPUTED_VALUE"""),"")</f>
        <v/>
      </c>
      <c r="L77" s="51" t="s">
        <v>64</v>
      </c>
      <c r="M77" s="51" t="s">
        <v>64</v>
      </c>
      <c r="N77" s="51"/>
      <c r="O77" s="51"/>
      <c r="P77" s="51"/>
      <c r="Q77" s="51"/>
      <c r="R77" s="51"/>
      <c r="S77" s="51"/>
    </row>
    <row r="78">
      <c r="A78" s="51"/>
      <c r="B78" s="51"/>
      <c r="C78" s="51"/>
      <c r="D78" s="51"/>
      <c r="E78" s="51"/>
      <c r="F78" s="51"/>
      <c r="G78" s="51"/>
      <c r="H78" s="51"/>
      <c r="I78" s="51"/>
      <c r="J78" s="51" t="str">
        <f>IFERROR(__xludf.DUMMYFUNCTION("""COMPUTED_VALUE"""),"")</f>
        <v/>
      </c>
      <c r="K78" s="51" t="str">
        <f>IFERROR(__xludf.DUMMYFUNCTION("""COMPUTED_VALUE"""),"")</f>
        <v/>
      </c>
      <c r="L78" s="51" t="s">
        <v>64</v>
      </c>
      <c r="M78" s="51" t="s">
        <v>64</v>
      </c>
      <c r="N78" s="51"/>
      <c r="O78" s="51"/>
      <c r="P78" s="51"/>
      <c r="Q78" s="51"/>
      <c r="R78" s="51"/>
      <c r="S78" s="51"/>
    </row>
    <row r="79">
      <c r="A79" s="51"/>
      <c r="B79" s="51"/>
      <c r="C79" s="51"/>
      <c r="D79" s="51"/>
      <c r="E79" s="51"/>
      <c r="F79" s="51"/>
      <c r="G79" s="51"/>
      <c r="H79" s="51"/>
      <c r="I79" s="51"/>
      <c r="J79" s="51" t="str">
        <f>IFERROR(__xludf.DUMMYFUNCTION("""COMPUTED_VALUE"""),"")</f>
        <v/>
      </c>
      <c r="K79" s="51" t="str">
        <f>IFERROR(__xludf.DUMMYFUNCTION("""COMPUTED_VALUE"""),"")</f>
        <v/>
      </c>
      <c r="L79" s="51" t="s">
        <v>64</v>
      </c>
      <c r="M79" s="51" t="s">
        <v>64</v>
      </c>
      <c r="N79" s="51"/>
      <c r="O79" s="51"/>
      <c r="P79" s="51"/>
      <c r="Q79" s="51"/>
      <c r="R79" s="51"/>
      <c r="S79" s="51"/>
    </row>
    <row r="80">
      <c r="A80" s="51"/>
      <c r="B80" s="51"/>
      <c r="C80" s="51"/>
      <c r="D80" s="51"/>
      <c r="E80" s="51"/>
      <c r="F80" s="51"/>
      <c r="G80" s="51"/>
      <c r="H80" s="51"/>
      <c r="I80" s="51"/>
      <c r="J80" s="51" t="str">
        <f>IFERROR(__xludf.DUMMYFUNCTION("""COMPUTED_VALUE"""),"")</f>
        <v/>
      </c>
      <c r="K80" s="51" t="str">
        <f>IFERROR(__xludf.DUMMYFUNCTION("""COMPUTED_VALUE"""),"")</f>
        <v/>
      </c>
      <c r="L80" s="51" t="s">
        <v>64</v>
      </c>
      <c r="M80" s="51" t="s">
        <v>64</v>
      </c>
      <c r="N80" s="51"/>
      <c r="O80" s="51"/>
      <c r="P80" s="51"/>
      <c r="Q80" s="51"/>
      <c r="R80" s="51"/>
      <c r="S80" s="51"/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 t="str">
        <f>IFERROR(__xludf.DUMMYFUNCTION("""COMPUTED_VALUE"""),"")</f>
        <v/>
      </c>
      <c r="K81" s="51" t="str">
        <f>IFERROR(__xludf.DUMMYFUNCTION("""COMPUTED_VALUE"""),"")</f>
        <v/>
      </c>
      <c r="L81" s="51" t="s">
        <v>64</v>
      </c>
      <c r="M81" s="51" t="s">
        <v>64</v>
      </c>
      <c r="N81" s="51"/>
      <c r="O81" s="51"/>
      <c r="P81" s="51"/>
      <c r="Q81" s="51"/>
      <c r="R81" s="51"/>
      <c r="S81" s="51"/>
    </row>
    <row r="82">
      <c r="A82" s="51"/>
      <c r="B82" s="51"/>
      <c r="C82" s="51"/>
      <c r="D82" s="51"/>
      <c r="E82" s="51"/>
      <c r="F82" s="51"/>
      <c r="G82" s="51"/>
      <c r="H82" s="51"/>
      <c r="I82" s="51"/>
      <c r="J82" s="51" t="str">
        <f>IFERROR(__xludf.DUMMYFUNCTION("""COMPUTED_VALUE"""),"")</f>
        <v/>
      </c>
      <c r="K82" s="51" t="str">
        <f>IFERROR(__xludf.DUMMYFUNCTION("""COMPUTED_VALUE"""),"")</f>
        <v/>
      </c>
      <c r="L82" s="51" t="s">
        <v>64</v>
      </c>
      <c r="M82" s="51" t="s">
        <v>64</v>
      </c>
      <c r="N82" s="51"/>
      <c r="O82" s="51"/>
      <c r="P82" s="51"/>
      <c r="Q82" s="51"/>
      <c r="R82" s="51"/>
      <c r="S82" s="51"/>
    </row>
    <row r="83">
      <c r="A83" s="51"/>
      <c r="B83" s="51"/>
      <c r="C83" s="51"/>
      <c r="D83" s="51"/>
      <c r="E83" s="51"/>
      <c r="F83" s="51"/>
      <c r="G83" s="51"/>
      <c r="H83" s="51"/>
      <c r="I83" s="51"/>
      <c r="J83" s="51" t="str">
        <f>IFERROR(__xludf.DUMMYFUNCTION("""COMPUTED_VALUE"""),"")</f>
        <v/>
      </c>
      <c r="K83" s="51" t="str">
        <f>IFERROR(__xludf.DUMMYFUNCTION("""COMPUTED_VALUE"""),"")</f>
        <v/>
      </c>
      <c r="L83" s="51" t="s">
        <v>64</v>
      </c>
      <c r="M83" s="51" t="s">
        <v>64</v>
      </c>
      <c r="N83" s="51"/>
      <c r="O83" s="51"/>
      <c r="P83" s="51"/>
      <c r="Q83" s="51"/>
      <c r="R83" s="51"/>
      <c r="S83" s="51"/>
    </row>
    <row r="84">
      <c r="A84" s="51"/>
      <c r="B84" s="51"/>
      <c r="C84" s="51"/>
      <c r="D84" s="51"/>
      <c r="E84" s="51"/>
      <c r="F84" s="51"/>
      <c r="G84" s="51"/>
      <c r="H84" s="51"/>
      <c r="I84" s="51"/>
      <c r="J84" s="51" t="str">
        <f>IFERROR(__xludf.DUMMYFUNCTION("""COMPUTED_VALUE"""),"")</f>
        <v/>
      </c>
      <c r="K84" s="51" t="str">
        <f>IFERROR(__xludf.DUMMYFUNCTION("""COMPUTED_VALUE"""),"")</f>
        <v/>
      </c>
      <c r="L84" s="51" t="s">
        <v>64</v>
      </c>
      <c r="M84" s="51" t="s">
        <v>64</v>
      </c>
      <c r="N84" s="51"/>
      <c r="O84" s="51"/>
      <c r="P84" s="51"/>
      <c r="Q84" s="51"/>
      <c r="R84" s="51"/>
      <c r="S84" s="51"/>
    </row>
    <row r="85">
      <c r="A85" s="51"/>
      <c r="B85" s="51"/>
      <c r="C85" s="51"/>
      <c r="D85" s="51"/>
      <c r="E85" s="51"/>
      <c r="F85" s="51"/>
      <c r="G85" s="51"/>
      <c r="H85" s="51"/>
      <c r="I85" s="51"/>
      <c r="J85" s="51" t="str">
        <f>IFERROR(__xludf.DUMMYFUNCTION("""COMPUTED_VALUE"""),"")</f>
        <v/>
      </c>
      <c r="K85" s="51" t="str">
        <f>IFERROR(__xludf.DUMMYFUNCTION("""COMPUTED_VALUE"""),"")</f>
        <v/>
      </c>
      <c r="L85" s="51" t="s">
        <v>64</v>
      </c>
      <c r="M85" s="51" t="s">
        <v>64</v>
      </c>
      <c r="N85" s="51"/>
      <c r="O85" s="51"/>
      <c r="P85" s="51"/>
      <c r="Q85" s="51"/>
      <c r="R85" s="51"/>
      <c r="S85" s="51"/>
    </row>
    <row r="86">
      <c r="A86" s="51"/>
      <c r="B86" s="51"/>
      <c r="C86" s="51"/>
      <c r="D86" s="51"/>
      <c r="E86" s="51"/>
      <c r="F86" s="51"/>
      <c r="G86" s="51"/>
      <c r="H86" s="51"/>
      <c r="I86" s="51"/>
      <c r="J86" s="51" t="str">
        <f>IFERROR(__xludf.DUMMYFUNCTION("""COMPUTED_VALUE"""),"")</f>
        <v/>
      </c>
      <c r="K86" s="51" t="str">
        <f>IFERROR(__xludf.DUMMYFUNCTION("""COMPUTED_VALUE"""),"")</f>
        <v/>
      </c>
      <c r="L86" s="51" t="s">
        <v>64</v>
      </c>
      <c r="M86" s="51" t="s">
        <v>64</v>
      </c>
      <c r="N86" s="51"/>
      <c r="O86" s="51"/>
      <c r="P86" s="51"/>
      <c r="Q86" s="51"/>
      <c r="R86" s="51"/>
      <c r="S86" s="51"/>
    </row>
    <row r="87">
      <c r="A87" s="51"/>
      <c r="B87" s="51"/>
      <c r="C87" s="51"/>
      <c r="D87" s="51"/>
      <c r="E87" s="51"/>
      <c r="F87" s="51"/>
      <c r="G87" s="51"/>
      <c r="H87" s="51"/>
      <c r="I87" s="51"/>
      <c r="J87" s="51" t="str">
        <f>IFERROR(__xludf.DUMMYFUNCTION("""COMPUTED_VALUE"""),"")</f>
        <v/>
      </c>
      <c r="K87" s="51" t="str">
        <f>IFERROR(__xludf.DUMMYFUNCTION("""COMPUTED_VALUE"""),"")</f>
        <v/>
      </c>
      <c r="L87" s="51" t="s">
        <v>64</v>
      </c>
      <c r="M87" s="51" t="s">
        <v>64</v>
      </c>
      <c r="N87" s="51"/>
      <c r="O87" s="51"/>
      <c r="P87" s="51"/>
      <c r="Q87" s="51"/>
      <c r="R87" s="51"/>
      <c r="S87" s="51"/>
    </row>
    <row r="88">
      <c r="A88" s="51"/>
      <c r="B88" s="51"/>
      <c r="C88" s="51"/>
      <c r="D88" s="51"/>
      <c r="E88" s="51"/>
      <c r="F88" s="51"/>
      <c r="G88" s="51"/>
      <c r="H88" s="51"/>
      <c r="I88" s="51"/>
      <c r="J88" s="51" t="str">
        <f>IFERROR(__xludf.DUMMYFUNCTION("""COMPUTED_VALUE"""),"")</f>
        <v/>
      </c>
      <c r="K88" s="51" t="str">
        <f>IFERROR(__xludf.DUMMYFUNCTION("""COMPUTED_VALUE"""),"")</f>
        <v/>
      </c>
      <c r="L88" s="51" t="s">
        <v>64</v>
      </c>
      <c r="M88" s="51" t="s">
        <v>64</v>
      </c>
      <c r="N88" s="51"/>
      <c r="O88" s="51"/>
      <c r="P88" s="51"/>
      <c r="Q88" s="51"/>
      <c r="R88" s="51"/>
      <c r="S88" s="51"/>
    </row>
    <row r="89">
      <c r="A89" s="51"/>
      <c r="B89" s="51"/>
      <c r="C89" s="51"/>
      <c r="D89" s="51"/>
      <c r="E89" s="51"/>
      <c r="F89" s="51"/>
      <c r="G89" s="51"/>
      <c r="H89" s="51"/>
      <c r="I89" s="51"/>
      <c r="J89" s="51" t="str">
        <f>IFERROR(__xludf.DUMMYFUNCTION("""COMPUTED_VALUE"""),"")</f>
        <v/>
      </c>
      <c r="K89" s="51" t="str">
        <f>IFERROR(__xludf.DUMMYFUNCTION("""COMPUTED_VALUE"""),"")</f>
        <v/>
      </c>
      <c r="L89" s="51" t="s">
        <v>64</v>
      </c>
      <c r="M89" s="51" t="s">
        <v>64</v>
      </c>
      <c r="N89" s="51"/>
      <c r="O89" s="51"/>
      <c r="P89" s="51"/>
      <c r="Q89" s="51"/>
      <c r="R89" s="51"/>
      <c r="S89" s="51"/>
    </row>
    <row r="90">
      <c r="A90" s="51"/>
      <c r="B90" s="51"/>
      <c r="C90" s="51"/>
      <c r="D90" s="51"/>
      <c r="E90" s="51"/>
      <c r="F90" s="51"/>
      <c r="G90" s="51"/>
      <c r="H90" s="51"/>
      <c r="I90" s="51"/>
      <c r="J90" s="51" t="str">
        <f>IFERROR(__xludf.DUMMYFUNCTION("""COMPUTED_VALUE"""),"")</f>
        <v/>
      </c>
      <c r="K90" s="51" t="str">
        <f>IFERROR(__xludf.DUMMYFUNCTION("""COMPUTED_VALUE"""),"")</f>
        <v/>
      </c>
      <c r="L90" s="51" t="s">
        <v>64</v>
      </c>
      <c r="M90" s="51" t="s">
        <v>64</v>
      </c>
      <c r="N90" s="51"/>
      <c r="O90" s="51"/>
      <c r="P90" s="51"/>
      <c r="Q90" s="51"/>
      <c r="R90" s="51"/>
      <c r="S90" s="51"/>
    </row>
    <row r="91">
      <c r="A91" s="51"/>
      <c r="B91" s="51"/>
      <c r="C91" s="51"/>
      <c r="D91" s="51"/>
      <c r="E91" s="51"/>
      <c r="F91" s="51"/>
      <c r="G91" s="51"/>
      <c r="H91" s="51"/>
      <c r="I91" s="51"/>
      <c r="J91" s="51" t="str">
        <f>IFERROR(__xludf.DUMMYFUNCTION("""COMPUTED_VALUE"""),"")</f>
        <v/>
      </c>
      <c r="K91" s="51" t="str">
        <f>IFERROR(__xludf.DUMMYFUNCTION("""COMPUTED_VALUE"""),"")</f>
        <v/>
      </c>
      <c r="L91" s="51" t="s">
        <v>64</v>
      </c>
      <c r="M91" s="51" t="s">
        <v>64</v>
      </c>
      <c r="N91" s="51"/>
      <c r="O91" s="51"/>
      <c r="P91" s="51"/>
      <c r="Q91" s="51"/>
      <c r="R91" s="51"/>
      <c r="S91" s="51"/>
    </row>
    <row r="92">
      <c r="A92" s="51"/>
      <c r="B92" s="51"/>
      <c r="C92" s="51"/>
      <c r="D92" s="51"/>
      <c r="E92" s="51"/>
      <c r="F92" s="51"/>
      <c r="G92" s="51"/>
      <c r="H92" s="51"/>
      <c r="I92" s="51"/>
      <c r="J92" s="51" t="str">
        <f>IFERROR(__xludf.DUMMYFUNCTION("""COMPUTED_VALUE"""),"")</f>
        <v/>
      </c>
      <c r="K92" s="51" t="str">
        <f>IFERROR(__xludf.DUMMYFUNCTION("""COMPUTED_VALUE"""),"")</f>
        <v/>
      </c>
      <c r="L92" s="51" t="s">
        <v>64</v>
      </c>
      <c r="M92" s="51" t="s">
        <v>64</v>
      </c>
      <c r="N92" s="51"/>
      <c r="O92" s="51"/>
      <c r="P92" s="51"/>
      <c r="Q92" s="51"/>
      <c r="R92" s="51"/>
      <c r="S92" s="51"/>
    </row>
    <row r="93">
      <c r="A93" s="51"/>
      <c r="B93" s="51"/>
      <c r="C93" s="51"/>
      <c r="D93" s="51"/>
      <c r="E93" s="51"/>
      <c r="F93" s="51"/>
      <c r="G93" s="51"/>
      <c r="H93" s="51"/>
      <c r="I93" s="51"/>
      <c r="J93" s="51" t="str">
        <f>IFERROR(__xludf.DUMMYFUNCTION("""COMPUTED_VALUE"""),"")</f>
        <v/>
      </c>
      <c r="K93" s="51" t="str">
        <f>IFERROR(__xludf.DUMMYFUNCTION("""COMPUTED_VALUE"""),"")</f>
        <v/>
      </c>
      <c r="L93" s="51" t="s">
        <v>64</v>
      </c>
      <c r="M93" s="51" t="s">
        <v>64</v>
      </c>
      <c r="N93" s="51"/>
      <c r="O93" s="51"/>
      <c r="P93" s="51"/>
      <c r="Q93" s="51"/>
      <c r="R93" s="51"/>
      <c r="S93" s="51"/>
    </row>
    <row r="94">
      <c r="A94" s="51"/>
      <c r="B94" s="51"/>
      <c r="C94" s="51"/>
      <c r="D94" s="51"/>
      <c r="E94" s="51"/>
      <c r="F94" s="51"/>
      <c r="G94" s="51"/>
      <c r="H94" s="51"/>
      <c r="I94" s="51"/>
      <c r="J94" s="51" t="str">
        <f>IFERROR(__xludf.DUMMYFUNCTION("""COMPUTED_VALUE"""),"")</f>
        <v/>
      </c>
      <c r="K94" s="51" t="str">
        <f>IFERROR(__xludf.DUMMYFUNCTION("""COMPUTED_VALUE"""),"")</f>
        <v/>
      </c>
      <c r="L94" s="51" t="s">
        <v>64</v>
      </c>
      <c r="M94" s="51" t="s">
        <v>64</v>
      </c>
      <c r="N94" s="51"/>
      <c r="O94" s="51"/>
      <c r="P94" s="51"/>
      <c r="Q94" s="51"/>
      <c r="R94" s="51"/>
      <c r="S94" s="51"/>
    </row>
    <row r="95">
      <c r="A95" s="51"/>
      <c r="B95" s="51"/>
      <c r="C95" s="51"/>
      <c r="D95" s="51"/>
      <c r="E95" s="51"/>
      <c r="F95" s="51"/>
      <c r="G95" s="51"/>
      <c r="H95" s="51"/>
      <c r="I95" s="51"/>
      <c r="J95" s="51" t="str">
        <f>IFERROR(__xludf.DUMMYFUNCTION("""COMPUTED_VALUE"""),"")</f>
        <v/>
      </c>
      <c r="K95" s="51" t="str">
        <f>IFERROR(__xludf.DUMMYFUNCTION("""COMPUTED_VALUE"""),"")</f>
        <v/>
      </c>
      <c r="L95" s="51" t="s">
        <v>64</v>
      </c>
      <c r="M95" s="51" t="s">
        <v>64</v>
      </c>
      <c r="N95" s="51"/>
      <c r="O95" s="51"/>
      <c r="P95" s="51"/>
      <c r="Q95" s="51"/>
      <c r="R95" s="51"/>
      <c r="S95" s="51"/>
    </row>
    <row r="96">
      <c r="A96" s="51"/>
      <c r="B96" s="51"/>
      <c r="C96" s="51"/>
      <c r="D96" s="51"/>
      <c r="E96" s="51"/>
      <c r="F96" s="51"/>
      <c r="G96" s="51"/>
      <c r="H96" s="51"/>
      <c r="I96" s="51"/>
      <c r="J96" s="51" t="str">
        <f>IFERROR(__xludf.DUMMYFUNCTION("""COMPUTED_VALUE"""),"")</f>
        <v/>
      </c>
      <c r="K96" s="51" t="str">
        <f>IFERROR(__xludf.DUMMYFUNCTION("""COMPUTED_VALUE"""),"")</f>
        <v/>
      </c>
      <c r="L96" s="51" t="s">
        <v>64</v>
      </c>
      <c r="M96" s="51" t="s">
        <v>64</v>
      </c>
      <c r="N96" s="51"/>
      <c r="O96" s="51"/>
      <c r="P96" s="51"/>
      <c r="Q96" s="51"/>
      <c r="R96" s="51"/>
      <c r="S96" s="51"/>
    </row>
    <row r="97">
      <c r="A97" s="51"/>
      <c r="B97" s="51"/>
      <c r="C97" s="51"/>
      <c r="D97" s="51"/>
      <c r="E97" s="51"/>
      <c r="F97" s="51"/>
      <c r="G97" s="51"/>
      <c r="H97" s="51"/>
      <c r="I97" s="51"/>
      <c r="J97" s="51" t="str">
        <f>IFERROR(__xludf.DUMMYFUNCTION("""COMPUTED_VALUE"""),"")</f>
        <v/>
      </c>
      <c r="K97" s="51" t="str">
        <f>IFERROR(__xludf.DUMMYFUNCTION("""COMPUTED_VALUE"""),"")</f>
        <v/>
      </c>
      <c r="L97" s="51" t="s">
        <v>64</v>
      </c>
      <c r="M97" s="51" t="s">
        <v>64</v>
      </c>
      <c r="N97" s="51"/>
      <c r="O97" s="51"/>
      <c r="P97" s="51"/>
      <c r="Q97" s="51"/>
      <c r="R97" s="51"/>
      <c r="S97" s="51"/>
    </row>
    <row r="98">
      <c r="A98" s="51"/>
      <c r="B98" s="51"/>
      <c r="C98" s="51"/>
      <c r="D98" s="51"/>
      <c r="E98" s="51"/>
      <c r="F98" s="51"/>
      <c r="G98" s="51"/>
      <c r="H98" s="51"/>
      <c r="I98" s="51"/>
      <c r="J98" s="51" t="str">
        <f>IFERROR(__xludf.DUMMYFUNCTION("""COMPUTED_VALUE"""),"")</f>
        <v/>
      </c>
      <c r="K98" s="51" t="str">
        <f>IFERROR(__xludf.DUMMYFUNCTION("""COMPUTED_VALUE"""),"")</f>
        <v/>
      </c>
      <c r="L98" s="51" t="s">
        <v>64</v>
      </c>
      <c r="M98" s="51" t="s">
        <v>64</v>
      </c>
      <c r="N98" s="51"/>
      <c r="O98" s="51"/>
      <c r="P98" s="51"/>
      <c r="Q98" s="51"/>
      <c r="R98" s="51"/>
      <c r="S98" s="51"/>
    </row>
    <row r="99">
      <c r="A99" s="51"/>
      <c r="B99" s="51"/>
      <c r="C99" s="51"/>
      <c r="D99" s="51"/>
      <c r="E99" s="51"/>
      <c r="F99" s="51"/>
      <c r="G99" s="51"/>
      <c r="H99" s="51"/>
      <c r="I99" s="51"/>
      <c r="J99" s="51" t="str">
        <f>IFERROR(__xludf.DUMMYFUNCTION("""COMPUTED_VALUE"""),"")</f>
        <v/>
      </c>
      <c r="K99" s="51" t="str">
        <f>IFERROR(__xludf.DUMMYFUNCTION("""COMPUTED_VALUE"""),"")</f>
        <v/>
      </c>
      <c r="L99" s="51" t="s">
        <v>64</v>
      </c>
      <c r="M99" s="51" t="s">
        <v>64</v>
      </c>
      <c r="N99" s="51"/>
      <c r="O99" s="51"/>
      <c r="P99" s="51"/>
      <c r="Q99" s="51"/>
      <c r="R99" s="51"/>
      <c r="S99" s="51"/>
    </row>
    <row r="100">
      <c r="A100" s="51"/>
      <c r="B100" s="51"/>
      <c r="C100" s="51"/>
      <c r="D100" s="51"/>
      <c r="E100" s="51"/>
      <c r="F100" s="51"/>
      <c r="G100" s="51"/>
      <c r="H100" s="51"/>
      <c r="I100" s="51"/>
      <c r="J100" s="51" t="str">
        <f>IFERROR(__xludf.DUMMYFUNCTION("""COMPUTED_VALUE"""),"")</f>
        <v/>
      </c>
      <c r="K100" s="51" t="str">
        <f>IFERROR(__xludf.DUMMYFUNCTION("""COMPUTED_VALUE"""),"")</f>
        <v/>
      </c>
      <c r="L100" s="51" t="s">
        <v>64</v>
      </c>
      <c r="M100" s="51" t="s">
        <v>64</v>
      </c>
      <c r="N100" s="51"/>
      <c r="O100" s="51"/>
      <c r="P100" s="51"/>
      <c r="Q100" s="51"/>
      <c r="R100" s="51"/>
      <c r="S100" s="51"/>
    </row>
    <row r="101">
      <c r="A101" s="51"/>
      <c r="B101" s="51"/>
      <c r="C101" s="51"/>
      <c r="D101" s="51"/>
      <c r="E101" s="51"/>
      <c r="F101" s="51"/>
      <c r="G101" s="51"/>
      <c r="H101" s="51"/>
      <c r="I101" s="51"/>
      <c r="J101" s="51" t="str">
        <f>IFERROR(__xludf.DUMMYFUNCTION("""COMPUTED_VALUE"""),"")</f>
        <v/>
      </c>
      <c r="K101" s="51" t="str">
        <f>IFERROR(__xludf.DUMMYFUNCTION("""COMPUTED_VALUE"""),"")</f>
        <v/>
      </c>
      <c r="L101" s="51" t="s">
        <v>64</v>
      </c>
      <c r="M101" s="51" t="s">
        <v>64</v>
      </c>
      <c r="N101" s="51"/>
      <c r="O101" s="51"/>
      <c r="P101" s="51"/>
      <c r="Q101" s="51"/>
      <c r="R101" s="51"/>
      <c r="S101" s="51"/>
    </row>
    <row r="102">
      <c r="A102" s="51"/>
      <c r="B102" s="51"/>
      <c r="C102" s="51"/>
      <c r="D102" s="51"/>
      <c r="E102" s="51"/>
      <c r="F102" s="51"/>
      <c r="G102" s="51"/>
      <c r="H102" s="51"/>
      <c r="I102" s="51"/>
      <c r="J102" s="51" t="str">
        <f>IFERROR(__xludf.DUMMYFUNCTION("""COMPUTED_VALUE"""),"")</f>
        <v/>
      </c>
      <c r="K102" s="51" t="str">
        <f>IFERROR(__xludf.DUMMYFUNCTION("""COMPUTED_VALUE"""),"")</f>
        <v/>
      </c>
      <c r="L102" s="51" t="s">
        <v>64</v>
      </c>
      <c r="M102" s="51" t="s">
        <v>64</v>
      </c>
      <c r="N102" s="51"/>
      <c r="O102" s="51"/>
      <c r="P102" s="51"/>
      <c r="Q102" s="51"/>
      <c r="R102" s="51"/>
      <c r="S102" s="51"/>
    </row>
    <row r="103">
      <c r="A103" s="51"/>
      <c r="B103" s="51"/>
      <c r="C103" s="51"/>
      <c r="D103" s="51"/>
      <c r="E103" s="51"/>
      <c r="F103" s="51"/>
      <c r="G103" s="51"/>
      <c r="H103" s="51"/>
      <c r="I103" s="51"/>
      <c r="J103" s="51" t="str">
        <f>IFERROR(__xludf.DUMMYFUNCTION("""COMPUTED_VALUE"""),"")</f>
        <v/>
      </c>
      <c r="K103" s="51" t="str">
        <f>IFERROR(__xludf.DUMMYFUNCTION("""COMPUTED_VALUE"""),"")</f>
        <v/>
      </c>
      <c r="L103" s="51" t="s">
        <v>64</v>
      </c>
      <c r="M103" s="51" t="s">
        <v>64</v>
      </c>
      <c r="N103" s="51"/>
      <c r="O103" s="51"/>
      <c r="P103" s="51"/>
      <c r="Q103" s="51"/>
      <c r="R103" s="51"/>
      <c r="S103" s="51"/>
    </row>
    <row r="104">
      <c r="A104" s="51"/>
      <c r="B104" s="51"/>
      <c r="C104" s="51"/>
      <c r="D104" s="51"/>
      <c r="E104" s="51"/>
      <c r="F104" s="51"/>
      <c r="G104" s="51"/>
      <c r="H104" s="51"/>
      <c r="I104" s="51"/>
      <c r="J104" s="51" t="str">
        <f>IFERROR(__xludf.DUMMYFUNCTION("""COMPUTED_VALUE"""),"")</f>
        <v/>
      </c>
      <c r="K104" s="51" t="str">
        <f>IFERROR(__xludf.DUMMYFUNCTION("""COMPUTED_VALUE"""),"")</f>
        <v/>
      </c>
      <c r="L104" s="51" t="s">
        <v>64</v>
      </c>
      <c r="M104" s="51" t="s">
        <v>64</v>
      </c>
      <c r="N104" s="51"/>
      <c r="O104" s="51"/>
      <c r="P104" s="51"/>
      <c r="Q104" s="51"/>
      <c r="R104" s="51"/>
      <c r="S104" s="51"/>
    </row>
    <row r="105">
      <c r="A105" s="51"/>
      <c r="B105" s="51"/>
      <c r="C105" s="51"/>
      <c r="D105" s="51"/>
      <c r="E105" s="51"/>
      <c r="F105" s="51"/>
      <c r="G105" s="51"/>
      <c r="H105" s="51"/>
      <c r="I105" s="51"/>
      <c r="J105" s="51" t="str">
        <f>IFERROR(__xludf.DUMMYFUNCTION("""COMPUTED_VALUE"""),"")</f>
        <v/>
      </c>
      <c r="K105" s="51" t="str">
        <f>IFERROR(__xludf.DUMMYFUNCTION("""COMPUTED_VALUE"""),"")</f>
        <v/>
      </c>
      <c r="L105" s="51" t="s">
        <v>64</v>
      </c>
      <c r="M105" s="51" t="s">
        <v>64</v>
      </c>
      <c r="N105" s="51"/>
      <c r="O105" s="51"/>
      <c r="P105" s="51"/>
      <c r="Q105" s="51"/>
      <c r="R105" s="51"/>
      <c r="S105" s="51"/>
    </row>
    <row r="106">
      <c r="A106" s="51"/>
      <c r="B106" s="51"/>
      <c r="C106" s="51"/>
      <c r="D106" s="51"/>
      <c r="E106" s="51"/>
      <c r="F106" s="51"/>
      <c r="G106" s="51"/>
      <c r="H106" s="51"/>
      <c r="I106" s="51"/>
      <c r="J106" s="51" t="str">
        <f>IFERROR(__xludf.DUMMYFUNCTION("""COMPUTED_VALUE"""),"")</f>
        <v/>
      </c>
      <c r="K106" s="51" t="str">
        <f>IFERROR(__xludf.DUMMYFUNCTION("""COMPUTED_VALUE"""),"")</f>
        <v/>
      </c>
      <c r="L106" s="51" t="s">
        <v>64</v>
      </c>
      <c r="M106" s="51" t="s">
        <v>64</v>
      </c>
      <c r="N106" s="51"/>
      <c r="O106" s="51"/>
      <c r="P106" s="51"/>
      <c r="Q106" s="51"/>
      <c r="R106" s="51"/>
      <c r="S106" s="51"/>
    </row>
    <row r="107">
      <c r="A107" s="51"/>
      <c r="B107" s="51"/>
      <c r="C107" s="51"/>
      <c r="D107" s="51"/>
      <c r="E107" s="51"/>
      <c r="F107" s="51"/>
      <c r="G107" s="51"/>
      <c r="H107" s="51"/>
      <c r="I107" s="51"/>
      <c r="J107" s="51" t="str">
        <f>IFERROR(__xludf.DUMMYFUNCTION("""COMPUTED_VALUE"""),"")</f>
        <v/>
      </c>
      <c r="K107" s="51" t="str">
        <f>IFERROR(__xludf.DUMMYFUNCTION("""COMPUTED_VALUE"""),"")</f>
        <v/>
      </c>
      <c r="L107" s="51" t="s">
        <v>64</v>
      </c>
      <c r="M107" s="51" t="s">
        <v>64</v>
      </c>
      <c r="N107" s="51"/>
      <c r="O107" s="51"/>
      <c r="P107" s="51"/>
      <c r="Q107" s="51"/>
      <c r="R107" s="51"/>
      <c r="S107" s="51"/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 t="str">
        <f>IFERROR(__xludf.DUMMYFUNCTION("""COMPUTED_VALUE"""),"")</f>
        <v/>
      </c>
      <c r="K108" s="51" t="str">
        <f>IFERROR(__xludf.DUMMYFUNCTION("""COMPUTED_VALUE"""),"")</f>
        <v/>
      </c>
      <c r="L108" s="51" t="s">
        <v>64</v>
      </c>
      <c r="M108" s="51" t="s">
        <v>64</v>
      </c>
      <c r="N108" s="51"/>
      <c r="O108" s="51"/>
      <c r="P108" s="51"/>
      <c r="Q108" s="51"/>
      <c r="R108" s="51"/>
      <c r="S108" s="51"/>
    </row>
    <row r="109">
      <c r="A109" s="51"/>
      <c r="B109" s="51"/>
      <c r="C109" s="51"/>
      <c r="D109" s="51"/>
      <c r="E109" s="51"/>
      <c r="F109" s="51"/>
      <c r="G109" s="51"/>
      <c r="H109" s="51"/>
      <c r="I109" s="51"/>
      <c r="J109" s="51" t="str">
        <f>IFERROR(__xludf.DUMMYFUNCTION("""COMPUTED_VALUE"""),"")</f>
        <v/>
      </c>
      <c r="K109" s="51" t="str">
        <f>IFERROR(__xludf.DUMMYFUNCTION("""COMPUTED_VALUE"""),"")</f>
        <v/>
      </c>
      <c r="L109" s="51" t="s">
        <v>64</v>
      </c>
      <c r="M109" s="51" t="s">
        <v>64</v>
      </c>
      <c r="N109" s="51"/>
      <c r="O109" s="51"/>
      <c r="P109" s="51"/>
      <c r="Q109" s="51"/>
      <c r="R109" s="51"/>
      <c r="S109" s="51"/>
    </row>
    <row r="110">
      <c r="A110" s="51"/>
      <c r="B110" s="51"/>
      <c r="C110" s="51"/>
      <c r="D110" s="51"/>
      <c r="E110" s="51"/>
      <c r="F110" s="51"/>
      <c r="G110" s="51"/>
      <c r="H110" s="51"/>
      <c r="I110" s="51"/>
      <c r="J110" s="51" t="str">
        <f>IFERROR(__xludf.DUMMYFUNCTION("""COMPUTED_VALUE"""),"")</f>
        <v/>
      </c>
      <c r="K110" s="51" t="str">
        <f>IFERROR(__xludf.DUMMYFUNCTION("""COMPUTED_VALUE"""),"")</f>
        <v/>
      </c>
      <c r="L110" s="51" t="s">
        <v>64</v>
      </c>
      <c r="M110" s="51" t="s">
        <v>64</v>
      </c>
      <c r="N110" s="51"/>
      <c r="O110" s="51"/>
      <c r="P110" s="51"/>
      <c r="Q110" s="51"/>
      <c r="R110" s="51"/>
      <c r="S110" s="51"/>
    </row>
    <row r="111">
      <c r="A111" s="51"/>
      <c r="B111" s="51"/>
      <c r="C111" s="51"/>
      <c r="D111" s="51"/>
      <c r="E111" s="51"/>
      <c r="F111" s="51"/>
      <c r="G111" s="51"/>
      <c r="H111" s="51"/>
      <c r="I111" s="51"/>
      <c r="J111" s="51" t="str">
        <f>IFERROR(__xludf.DUMMYFUNCTION("""COMPUTED_VALUE"""),"")</f>
        <v/>
      </c>
      <c r="K111" s="51" t="str">
        <f>IFERROR(__xludf.DUMMYFUNCTION("""COMPUTED_VALUE"""),"")</f>
        <v/>
      </c>
      <c r="L111" s="51" t="s">
        <v>64</v>
      </c>
      <c r="M111" s="51" t="s">
        <v>64</v>
      </c>
      <c r="N111" s="51"/>
      <c r="O111" s="51"/>
      <c r="P111" s="51"/>
      <c r="Q111" s="51"/>
      <c r="R111" s="51"/>
      <c r="S111" s="51"/>
    </row>
    <row r="112">
      <c r="A112" s="51"/>
      <c r="B112" s="51"/>
      <c r="C112" s="51"/>
      <c r="D112" s="51"/>
      <c r="E112" s="51"/>
      <c r="F112" s="51"/>
      <c r="G112" s="51"/>
      <c r="H112" s="51"/>
      <c r="I112" s="51"/>
      <c r="J112" s="51" t="str">
        <f>IFERROR(__xludf.DUMMYFUNCTION("""COMPUTED_VALUE"""),"")</f>
        <v/>
      </c>
      <c r="K112" s="51" t="str">
        <f>IFERROR(__xludf.DUMMYFUNCTION("""COMPUTED_VALUE"""),"")</f>
        <v/>
      </c>
      <c r="L112" s="51" t="s">
        <v>64</v>
      </c>
      <c r="M112" s="51" t="s">
        <v>64</v>
      </c>
      <c r="N112" s="51"/>
      <c r="O112" s="51"/>
      <c r="P112" s="51"/>
      <c r="Q112" s="51"/>
      <c r="R112" s="51"/>
      <c r="S112" s="51"/>
    </row>
    <row r="113">
      <c r="A113" s="51"/>
      <c r="B113" s="51"/>
      <c r="C113" s="51"/>
      <c r="D113" s="51"/>
      <c r="E113" s="51"/>
      <c r="F113" s="51"/>
      <c r="G113" s="51"/>
      <c r="H113" s="51"/>
      <c r="I113" s="51"/>
      <c r="J113" s="51" t="str">
        <f>IFERROR(__xludf.DUMMYFUNCTION("""COMPUTED_VALUE"""),"")</f>
        <v/>
      </c>
      <c r="K113" s="51" t="str">
        <f>IFERROR(__xludf.DUMMYFUNCTION("""COMPUTED_VALUE"""),"")</f>
        <v/>
      </c>
      <c r="L113" s="51" t="s">
        <v>64</v>
      </c>
      <c r="M113" s="51" t="s">
        <v>64</v>
      </c>
      <c r="N113" s="51"/>
      <c r="O113" s="51"/>
      <c r="P113" s="51"/>
      <c r="Q113" s="51"/>
      <c r="R113" s="51"/>
      <c r="S113" s="51"/>
    </row>
    <row r="114">
      <c r="A114" s="51"/>
      <c r="B114" s="51"/>
      <c r="C114" s="51"/>
      <c r="D114" s="51"/>
      <c r="E114" s="51"/>
      <c r="F114" s="51"/>
      <c r="G114" s="51"/>
      <c r="H114" s="51"/>
      <c r="I114" s="51"/>
      <c r="J114" s="51" t="str">
        <f>IFERROR(__xludf.DUMMYFUNCTION("""COMPUTED_VALUE"""),"")</f>
        <v/>
      </c>
      <c r="K114" s="51" t="str">
        <f>IFERROR(__xludf.DUMMYFUNCTION("""COMPUTED_VALUE"""),"")</f>
        <v/>
      </c>
      <c r="L114" s="51" t="s">
        <v>64</v>
      </c>
      <c r="M114" s="51" t="s">
        <v>64</v>
      </c>
      <c r="N114" s="51"/>
      <c r="O114" s="51"/>
      <c r="P114" s="51"/>
      <c r="Q114" s="51"/>
      <c r="R114" s="51"/>
      <c r="S114" s="51"/>
    </row>
    <row r="115">
      <c r="A115" s="51"/>
      <c r="B115" s="51"/>
      <c r="C115" s="51"/>
      <c r="D115" s="51"/>
      <c r="E115" s="51"/>
      <c r="F115" s="51"/>
      <c r="G115" s="51"/>
      <c r="H115" s="51"/>
      <c r="I115" s="51"/>
      <c r="J115" s="51" t="str">
        <f>IFERROR(__xludf.DUMMYFUNCTION("""COMPUTED_VALUE"""),"")</f>
        <v/>
      </c>
      <c r="K115" s="51" t="str">
        <f>IFERROR(__xludf.DUMMYFUNCTION("""COMPUTED_VALUE"""),"")</f>
        <v/>
      </c>
      <c r="L115" s="51" t="s">
        <v>64</v>
      </c>
      <c r="M115" s="51" t="s">
        <v>64</v>
      </c>
      <c r="N115" s="51"/>
      <c r="O115" s="51"/>
      <c r="P115" s="51"/>
      <c r="Q115" s="51"/>
      <c r="R115" s="51"/>
      <c r="S115" s="51"/>
    </row>
    <row r="116">
      <c r="A116" s="51"/>
      <c r="B116" s="51"/>
      <c r="C116" s="51"/>
      <c r="D116" s="51"/>
      <c r="E116" s="51"/>
      <c r="F116" s="51"/>
      <c r="G116" s="51"/>
      <c r="H116" s="51"/>
      <c r="I116" s="51"/>
      <c r="J116" s="51" t="str">
        <f>IFERROR(__xludf.DUMMYFUNCTION("""COMPUTED_VALUE"""),"")</f>
        <v/>
      </c>
      <c r="K116" s="51" t="str">
        <f>IFERROR(__xludf.DUMMYFUNCTION("""COMPUTED_VALUE"""),"")</f>
        <v/>
      </c>
      <c r="L116" s="51" t="s">
        <v>64</v>
      </c>
      <c r="M116" s="51" t="s">
        <v>64</v>
      </c>
      <c r="N116" s="51"/>
      <c r="O116" s="51"/>
      <c r="P116" s="51"/>
      <c r="Q116" s="51"/>
      <c r="R116" s="51"/>
      <c r="S116" s="51"/>
    </row>
    <row r="117">
      <c r="A117" s="51"/>
      <c r="B117" s="51"/>
      <c r="C117" s="51"/>
      <c r="D117" s="51"/>
      <c r="E117" s="51"/>
      <c r="F117" s="51"/>
      <c r="G117" s="51"/>
      <c r="H117" s="51"/>
      <c r="I117" s="51"/>
      <c r="J117" s="51" t="str">
        <f>IFERROR(__xludf.DUMMYFUNCTION("""COMPUTED_VALUE"""),"")</f>
        <v/>
      </c>
      <c r="K117" s="51" t="str">
        <f>IFERROR(__xludf.DUMMYFUNCTION("""COMPUTED_VALUE"""),"")</f>
        <v/>
      </c>
      <c r="L117" s="51" t="s">
        <v>64</v>
      </c>
      <c r="M117" s="51" t="s">
        <v>64</v>
      </c>
      <c r="N117" s="51"/>
      <c r="O117" s="51"/>
      <c r="P117" s="51"/>
      <c r="Q117" s="51"/>
      <c r="R117" s="51"/>
      <c r="S117" s="51"/>
    </row>
    <row r="118">
      <c r="A118" s="51"/>
      <c r="B118" s="51"/>
      <c r="C118" s="51"/>
      <c r="D118" s="51"/>
      <c r="E118" s="51"/>
      <c r="F118" s="51"/>
      <c r="G118" s="51"/>
      <c r="H118" s="51"/>
      <c r="I118" s="51"/>
      <c r="J118" s="51" t="str">
        <f>IFERROR(__xludf.DUMMYFUNCTION("""COMPUTED_VALUE"""),"")</f>
        <v/>
      </c>
      <c r="K118" s="51" t="str">
        <f>IFERROR(__xludf.DUMMYFUNCTION("""COMPUTED_VALUE"""),"")</f>
        <v/>
      </c>
      <c r="L118" s="51" t="s">
        <v>64</v>
      </c>
      <c r="M118" s="51" t="s">
        <v>64</v>
      </c>
      <c r="N118" s="51"/>
      <c r="O118" s="51"/>
      <c r="P118" s="51"/>
      <c r="Q118" s="51"/>
      <c r="R118" s="51"/>
      <c r="S118" s="51"/>
    </row>
    <row r="119">
      <c r="A119" s="51"/>
      <c r="B119" s="51"/>
      <c r="C119" s="51"/>
      <c r="D119" s="51"/>
      <c r="E119" s="51"/>
      <c r="F119" s="51"/>
      <c r="G119" s="51"/>
      <c r="H119" s="51"/>
      <c r="I119" s="51"/>
      <c r="J119" s="51" t="str">
        <f>IFERROR(__xludf.DUMMYFUNCTION("""COMPUTED_VALUE"""),"")</f>
        <v/>
      </c>
      <c r="K119" s="51" t="str">
        <f>IFERROR(__xludf.DUMMYFUNCTION("""COMPUTED_VALUE"""),"")</f>
        <v/>
      </c>
      <c r="L119" s="51" t="s">
        <v>64</v>
      </c>
      <c r="M119" s="51" t="s">
        <v>64</v>
      </c>
      <c r="N119" s="51"/>
      <c r="O119" s="51"/>
      <c r="P119" s="51"/>
      <c r="Q119" s="51"/>
      <c r="R119" s="51"/>
      <c r="S119" s="51"/>
    </row>
    <row r="120">
      <c r="A120" s="51"/>
      <c r="B120" s="51"/>
      <c r="C120" s="51"/>
      <c r="D120" s="51"/>
      <c r="E120" s="51"/>
      <c r="F120" s="51"/>
      <c r="G120" s="51"/>
      <c r="H120" s="51"/>
      <c r="I120" s="51"/>
      <c r="J120" s="51" t="str">
        <f>IFERROR(__xludf.DUMMYFUNCTION("""COMPUTED_VALUE"""),"")</f>
        <v/>
      </c>
      <c r="K120" s="51" t="str">
        <f>IFERROR(__xludf.DUMMYFUNCTION("""COMPUTED_VALUE"""),"")</f>
        <v/>
      </c>
      <c r="L120" s="51" t="s">
        <v>64</v>
      </c>
      <c r="M120" s="51" t="s">
        <v>64</v>
      </c>
      <c r="N120" s="51"/>
      <c r="O120" s="51"/>
      <c r="P120" s="51"/>
      <c r="Q120" s="51"/>
      <c r="R120" s="51"/>
      <c r="S120" s="51"/>
    </row>
    <row r="121">
      <c r="A121" s="51"/>
      <c r="B121" s="51"/>
      <c r="C121" s="51"/>
      <c r="D121" s="51"/>
      <c r="E121" s="51"/>
      <c r="F121" s="51"/>
      <c r="G121" s="51"/>
      <c r="H121" s="51"/>
      <c r="I121" s="51"/>
      <c r="J121" s="51" t="str">
        <f>IFERROR(__xludf.DUMMYFUNCTION("""COMPUTED_VALUE"""),"")</f>
        <v/>
      </c>
      <c r="K121" s="51" t="str">
        <f>IFERROR(__xludf.DUMMYFUNCTION("""COMPUTED_VALUE"""),"")</f>
        <v/>
      </c>
      <c r="L121" s="51" t="s">
        <v>64</v>
      </c>
      <c r="M121" s="51" t="s">
        <v>64</v>
      </c>
      <c r="N121" s="51"/>
      <c r="O121" s="51"/>
      <c r="P121" s="51"/>
      <c r="Q121" s="51"/>
      <c r="R121" s="51"/>
      <c r="S121" s="51"/>
    </row>
    <row r="122">
      <c r="A122" s="51"/>
      <c r="B122" s="51"/>
      <c r="C122" s="51"/>
      <c r="D122" s="51"/>
      <c r="E122" s="51"/>
      <c r="F122" s="51"/>
      <c r="G122" s="51"/>
      <c r="H122" s="51"/>
      <c r="I122" s="51"/>
      <c r="J122" s="51" t="str">
        <f>IFERROR(__xludf.DUMMYFUNCTION("""COMPUTED_VALUE"""),"")</f>
        <v/>
      </c>
      <c r="K122" s="51" t="str">
        <f>IFERROR(__xludf.DUMMYFUNCTION("""COMPUTED_VALUE"""),"")</f>
        <v/>
      </c>
      <c r="L122" s="51" t="s">
        <v>64</v>
      </c>
      <c r="M122" s="51" t="s">
        <v>64</v>
      </c>
      <c r="N122" s="51"/>
      <c r="O122" s="51"/>
      <c r="P122" s="51"/>
      <c r="Q122" s="51"/>
      <c r="R122" s="51"/>
      <c r="S122" s="51"/>
    </row>
    <row r="123">
      <c r="A123" s="51"/>
      <c r="B123" s="51"/>
      <c r="C123" s="51"/>
      <c r="D123" s="51"/>
      <c r="E123" s="51"/>
      <c r="F123" s="51"/>
      <c r="G123" s="51"/>
      <c r="H123" s="51"/>
      <c r="I123" s="51"/>
      <c r="J123" s="51" t="str">
        <f>IFERROR(__xludf.DUMMYFUNCTION("""COMPUTED_VALUE"""),"")</f>
        <v/>
      </c>
      <c r="K123" s="51" t="str">
        <f>IFERROR(__xludf.DUMMYFUNCTION("""COMPUTED_VALUE"""),"")</f>
        <v/>
      </c>
      <c r="L123" s="51" t="s">
        <v>64</v>
      </c>
      <c r="M123" s="51" t="s">
        <v>64</v>
      </c>
      <c r="N123" s="51"/>
      <c r="O123" s="51"/>
      <c r="P123" s="51"/>
      <c r="Q123" s="51"/>
      <c r="R123" s="51"/>
      <c r="S123" s="51"/>
    </row>
    <row r="124">
      <c r="A124" s="51"/>
      <c r="B124" s="51"/>
      <c r="C124" s="51"/>
      <c r="D124" s="51"/>
      <c r="E124" s="51"/>
      <c r="F124" s="51"/>
      <c r="G124" s="51"/>
      <c r="H124" s="51"/>
      <c r="I124" s="51"/>
      <c r="J124" s="51" t="str">
        <f>IFERROR(__xludf.DUMMYFUNCTION("""COMPUTED_VALUE"""),"")</f>
        <v/>
      </c>
      <c r="K124" s="51" t="str">
        <f>IFERROR(__xludf.DUMMYFUNCTION("""COMPUTED_VALUE"""),"")</f>
        <v/>
      </c>
      <c r="L124" s="51" t="s">
        <v>64</v>
      </c>
      <c r="M124" s="51" t="s">
        <v>64</v>
      </c>
      <c r="N124" s="51"/>
      <c r="O124" s="51"/>
      <c r="P124" s="51"/>
      <c r="Q124" s="51"/>
      <c r="R124" s="51"/>
      <c r="S124" s="51"/>
    </row>
    <row r="125">
      <c r="A125" s="51"/>
      <c r="B125" s="51"/>
      <c r="C125" s="51"/>
      <c r="D125" s="51"/>
      <c r="E125" s="51"/>
      <c r="F125" s="51"/>
      <c r="G125" s="51"/>
      <c r="H125" s="51"/>
      <c r="I125" s="51"/>
      <c r="J125" s="51" t="str">
        <f>IFERROR(__xludf.DUMMYFUNCTION("""COMPUTED_VALUE"""),"")</f>
        <v/>
      </c>
      <c r="K125" s="51" t="str">
        <f>IFERROR(__xludf.DUMMYFUNCTION("""COMPUTED_VALUE"""),"")</f>
        <v/>
      </c>
      <c r="L125" s="51" t="s">
        <v>64</v>
      </c>
      <c r="M125" s="51" t="s">
        <v>64</v>
      </c>
      <c r="N125" s="51"/>
      <c r="O125" s="51"/>
      <c r="P125" s="51"/>
      <c r="Q125" s="51"/>
      <c r="R125" s="51"/>
      <c r="S125" s="51"/>
    </row>
    <row r="126">
      <c r="A126" s="51"/>
      <c r="B126" s="51"/>
      <c r="C126" s="51"/>
      <c r="D126" s="51"/>
      <c r="E126" s="51"/>
      <c r="F126" s="51"/>
      <c r="G126" s="51"/>
      <c r="H126" s="51"/>
      <c r="I126" s="51"/>
      <c r="J126" s="51" t="str">
        <f>IFERROR(__xludf.DUMMYFUNCTION("""COMPUTED_VALUE"""),"")</f>
        <v/>
      </c>
      <c r="K126" s="51" t="str">
        <f>IFERROR(__xludf.DUMMYFUNCTION("""COMPUTED_VALUE"""),"")</f>
        <v/>
      </c>
      <c r="L126" s="51" t="s">
        <v>64</v>
      </c>
      <c r="M126" s="51" t="s">
        <v>64</v>
      </c>
      <c r="N126" s="51"/>
      <c r="O126" s="51"/>
      <c r="P126" s="51"/>
      <c r="Q126" s="51"/>
      <c r="R126" s="51"/>
      <c r="S126" s="51"/>
    </row>
    <row r="127">
      <c r="A127" s="51"/>
      <c r="B127" s="51"/>
      <c r="C127" s="51"/>
      <c r="D127" s="51"/>
      <c r="E127" s="51"/>
      <c r="F127" s="51"/>
      <c r="G127" s="51"/>
      <c r="H127" s="51"/>
      <c r="I127" s="51"/>
      <c r="J127" s="51" t="str">
        <f>IFERROR(__xludf.DUMMYFUNCTION("""COMPUTED_VALUE"""),"")</f>
        <v/>
      </c>
      <c r="K127" s="51" t="str">
        <f>IFERROR(__xludf.DUMMYFUNCTION("""COMPUTED_VALUE"""),"")</f>
        <v/>
      </c>
      <c r="L127" s="51" t="s">
        <v>64</v>
      </c>
      <c r="M127" s="51" t="s">
        <v>64</v>
      </c>
      <c r="N127" s="51"/>
      <c r="O127" s="51"/>
      <c r="P127" s="51"/>
      <c r="Q127" s="51"/>
      <c r="R127" s="51"/>
      <c r="S127" s="51"/>
    </row>
    <row r="128">
      <c r="A128" s="51"/>
      <c r="B128" s="51"/>
      <c r="C128" s="51"/>
      <c r="D128" s="51"/>
      <c r="E128" s="51"/>
      <c r="F128" s="51"/>
      <c r="G128" s="51"/>
      <c r="H128" s="51"/>
      <c r="I128" s="51"/>
      <c r="J128" s="51" t="str">
        <f>IFERROR(__xludf.DUMMYFUNCTION("""COMPUTED_VALUE"""),"")</f>
        <v/>
      </c>
      <c r="K128" s="51" t="str">
        <f>IFERROR(__xludf.DUMMYFUNCTION("""COMPUTED_VALUE"""),"")</f>
        <v/>
      </c>
      <c r="L128" s="51" t="s">
        <v>64</v>
      </c>
      <c r="M128" s="51" t="s">
        <v>64</v>
      </c>
      <c r="N128" s="51"/>
      <c r="O128" s="51"/>
      <c r="P128" s="51"/>
      <c r="Q128" s="51"/>
      <c r="R128" s="51"/>
      <c r="S128" s="51"/>
    </row>
    <row r="129">
      <c r="A129" s="51"/>
      <c r="B129" s="51"/>
      <c r="C129" s="51"/>
      <c r="D129" s="51"/>
      <c r="E129" s="51"/>
      <c r="F129" s="51"/>
      <c r="G129" s="51"/>
      <c r="H129" s="51"/>
      <c r="I129" s="51"/>
      <c r="J129" s="51" t="str">
        <f>IFERROR(__xludf.DUMMYFUNCTION("""COMPUTED_VALUE"""),"")</f>
        <v/>
      </c>
      <c r="K129" s="51" t="str">
        <f>IFERROR(__xludf.DUMMYFUNCTION("""COMPUTED_VALUE"""),"")</f>
        <v/>
      </c>
      <c r="L129" s="51" t="s">
        <v>64</v>
      </c>
      <c r="M129" s="51" t="s">
        <v>64</v>
      </c>
      <c r="N129" s="51"/>
      <c r="O129" s="51"/>
      <c r="P129" s="51"/>
      <c r="Q129" s="51"/>
      <c r="R129" s="51"/>
      <c r="S129" s="51"/>
    </row>
    <row r="130">
      <c r="A130" s="51"/>
      <c r="B130" s="51"/>
      <c r="C130" s="51"/>
      <c r="D130" s="51"/>
      <c r="E130" s="51"/>
      <c r="F130" s="51"/>
      <c r="G130" s="51"/>
      <c r="H130" s="51"/>
      <c r="I130" s="51"/>
      <c r="J130" s="51" t="str">
        <f>IFERROR(__xludf.DUMMYFUNCTION("""COMPUTED_VALUE"""),"")</f>
        <v/>
      </c>
      <c r="K130" s="51" t="str">
        <f>IFERROR(__xludf.DUMMYFUNCTION("""COMPUTED_VALUE"""),"")</f>
        <v/>
      </c>
      <c r="L130" s="51" t="s">
        <v>64</v>
      </c>
      <c r="M130" s="51" t="s">
        <v>64</v>
      </c>
      <c r="N130" s="51"/>
      <c r="O130" s="51"/>
      <c r="P130" s="51"/>
      <c r="Q130" s="51"/>
      <c r="R130" s="51"/>
      <c r="S130" s="51"/>
    </row>
    <row r="131">
      <c r="A131" s="51"/>
      <c r="B131" s="51"/>
      <c r="C131" s="51"/>
      <c r="D131" s="51"/>
      <c r="E131" s="51"/>
      <c r="F131" s="51"/>
      <c r="G131" s="51"/>
      <c r="H131" s="51"/>
      <c r="I131" s="51"/>
      <c r="J131" s="51" t="str">
        <f>IFERROR(__xludf.DUMMYFUNCTION("""COMPUTED_VALUE"""),"")</f>
        <v/>
      </c>
      <c r="K131" s="51" t="str">
        <f>IFERROR(__xludf.DUMMYFUNCTION("""COMPUTED_VALUE"""),"")</f>
        <v/>
      </c>
      <c r="L131" s="51" t="s">
        <v>64</v>
      </c>
      <c r="M131" s="51" t="s">
        <v>64</v>
      </c>
      <c r="N131" s="51"/>
      <c r="O131" s="51"/>
      <c r="P131" s="51"/>
      <c r="Q131" s="51"/>
      <c r="R131" s="51"/>
      <c r="S131" s="51"/>
    </row>
    <row r="132">
      <c r="A132" s="51"/>
      <c r="B132" s="51"/>
      <c r="C132" s="51"/>
      <c r="D132" s="51"/>
      <c r="E132" s="51"/>
      <c r="F132" s="51"/>
      <c r="G132" s="51"/>
      <c r="H132" s="51"/>
      <c r="I132" s="51"/>
      <c r="J132" s="51" t="str">
        <f>IFERROR(__xludf.DUMMYFUNCTION("""COMPUTED_VALUE"""),"")</f>
        <v/>
      </c>
      <c r="K132" s="51" t="str">
        <f>IFERROR(__xludf.DUMMYFUNCTION("""COMPUTED_VALUE"""),"")</f>
        <v/>
      </c>
      <c r="L132" s="51" t="s">
        <v>64</v>
      </c>
      <c r="M132" s="51" t="s">
        <v>64</v>
      </c>
      <c r="N132" s="51"/>
      <c r="O132" s="51"/>
      <c r="P132" s="51"/>
      <c r="Q132" s="51"/>
      <c r="R132" s="51"/>
      <c r="S132" s="51"/>
    </row>
    <row r="133">
      <c r="A133" s="51"/>
      <c r="B133" s="51"/>
      <c r="C133" s="51"/>
      <c r="D133" s="51"/>
      <c r="E133" s="51"/>
      <c r="F133" s="51"/>
      <c r="G133" s="51"/>
      <c r="H133" s="51"/>
      <c r="I133" s="51"/>
      <c r="J133" s="51" t="str">
        <f>IFERROR(__xludf.DUMMYFUNCTION("""COMPUTED_VALUE"""),"")</f>
        <v/>
      </c>
      <c r="K133" s="51" t="str">
        <f>IFERROR(__xludf.DUMMYFUNCTION("""COMPUTED_VALUE"""),"")</f>
        <v/>
      </c>
      <c r="L133" s="51" t="s">
        <v>64</v>
      </c>
      <c r="M133" s="51" t="s">
        <v>64</v>
      </c>
      <c r="N133" s="51"/>
      <c r="O133" s="51"/>
      <c r="P133" s="51"/>
      <c r="Q133" s="51"/>
      <c r="R133" s="51"/>
      <c r="S133" s="51"/>
    </row>
    <row r="134">
      <c r="A134" s="51"/>
      <c r="B134" s="51"/>
      <c r="C134" s="51"/>
      <c r="D134" s="51"/>
      <c r="E134" s="51"/>
      <c r="F134" s="51"/>
      <c r="G134" s="51"/>
      <c r="H134" s="51"/>
      <c r="I134" s="51"/>
      <c r="J134" s="51" t="str">
        <f>IFERROR(__xludf.DUMMYFUNCTION("""COMPUTED_VALUE"""),"")</f>
        <v/>
      </c>
      <c r="K134" s="51" t="str">
        <f>IFERROR(__xludf.DUMMYFUNCTION("""COMPUTED_VALUE"""),"")</f>
        <v/>
      </c>
      <c r="L134" s="51" t="s">
        <v>64</v>
      </c>
      <c r="M134" s="51" t="s">
        <v>64</v>
      </c>
      <c r="N134" s="51"/>
      <c r="O134" s="51"/>
      <c r="P134" s="51"/>
      <c r="Q134" s="51"/>
      <c r="R134" s="51"/>
      <c r="S134" s="51"/>
    </row>
    <row r="135">
      <c r="A135" s="51"/>
      <c r="B135" s="51"/>
      <c r="C135" s="51"/>
      <c r="D135" s="51"/>
      <c r="E135" s="51"/>
      <c r="F135" s="51"/>
      <c r="G135" s="51"/>
      <c r="H135" s="51"/>
      <c r="I135" s="51"/>
      <c r="J135" s="51" t="str">
        <f>IFERROR(__xludf.DUMMYFUNCTION("""COMPUTED_VALUE"""),"")</f>
        <v/>
      </c>
      <c r="K135" s="51" t="str">
        <f>IFERROR(__xludf.DUMMYFUNCTION("""COMPUTED_VALUE"""),"")</f>
        <v/>
      </c>
      <c r="L135" s="51" t="s">
        <v>64</v>
      </c>
      <c r="M135" s="51" t="s">
        <v>64</v>
      </c>
      <c r="N135" s="51"/>
      <c r="O135" s="51"/>
      <c r="P135" s="51"/>
      <c r="Q135" s="51"/>
      <c r="R135" s="51"/>
      <c r="S135" s="51"/>
    </row>
    <row r="136">
      <c r="A136" s="51"/>
      <c r="B136" s="51"/>
      <c r="C136" s="51"/>
      <c r="D136" s="51"/>
      <c r="E136" s="51"/>
      <c r="F136" s="51"/>
      <c r="G136" s="51"/>
      <c r="H136" s="51"/>
      <c r="I136" s="51"/>
      <c r="J136" s="51" t="str">
        <f>IFERROR(__xludf.DUMMYFUNCTION("""COMPUTED_VALUE"""),"")</f>
        <v/>
      </c>
      <c r="K136" s="51" t="str">
        <f>IFERROR(__xludf.DUMMYFUNCTION("""COMPUTED_VALUE"""),"")</f>
        <v/>
      </c>
      <c r="L136" s="51" t="s">
        <v>64</v>
      </c>
      <c r="M136" s="51" t="s">
        <v>64</v>
      </c>
      <c r="N136" s="51"/>
      <c r="O136" s="51"/>
      <c r="P136" s="51"/>
      <c r="Q136" s="51"/>
      <c r="R136" s="51"/>
      <c r="S136" s="51"/>
    </row>
    <row r="137">
      <c r="A137" s="51"/>
      <c r="B137" s="51"/>
      <c r="C137" s="51"/>
      <c r="D137" s="51"/>
      <c r="E137" s="51"/>
      <c r="F137" s="51"/>
      <c r="G137" s="51"/>
      <c r="H137" s="51"/>
      <c r="I137" s="51"/>
      <c r="J137" s="51" t="str">
        <f>IFERROR(__xludf.DUMMYFUNCTION("""COMPUTED_VALUE"""),"")</f>
        <v/>
      </c>
      <c r="K137" s="51" t="str">
        <f>IFERROR(__xludf.DUMMYFUNCTION("""COMPUTED_VALUE"""),"")</f>
        <v/>
      </c>
      <c r="L137" s="51" t="s">
        <v>64</v>
      </c>
      <c r="M137" s="51" t="s">
        <v>64</v>
      </c>
      <c r="N137" s="51"/>
      <c r="O137" s="51"/>
      <c r="P137" s="51"/>
      <c r="Q137" s="51"/>
      <c r="R137" s="51"/>
      <c r="S137" s="51"/>
    </row>
    <row r="138">
      <c r="A138" s="51"/>
      <c r="B138" s="51"/>
      <c r="C138" s="51"/>
      <c r="D138" s="51"/>
      <c r="E138" s="51"/>
      <c r="F138" s="51"/>
      <c r="G138" s="51"/>
      <c r="H138" s="51"/>
      <c r="I138" s="51"/>
      <c r="J138" s="51" t="str">
        <f>IFERROR(__xludf.DUMMYFUNCTION("""COMPUTED_VALUE"""),"")</f>
        <v/>
      </c>
      <c r="K138" s="51" t="str">
        <f>IFERROR(__xludf.DUMMYFUNCTION("""COMPUTED_VALUE"""),"")</f>
        <v/>
      </c>
      <c r="L138" s="51" t="s">
        <v>64</v>
      </c>
      <c r="M138" s="51" t="s">
        <v>64</v>
      </c>
      <c r="N138" s="51"/>
      <c r="O138" s="51"/>
      <c r="P138" s="51"/>
      <c r="Q138" s="51"/>
      <c r="R138" s="51"/>
      <c r="S138" s="51"/>
    </row>
    <row r="139">
      <c r="A139" s="51"/>
      <c r="B139" s="51"/>
      <c r="C139" s="51"/>
      <c r="D139" s="51"/>
      <c r="E139" s="51"/>
      <c r="F139" s="51"/>
      <c r="G139" s="51"/>
      <c r="H139" s="51"/>
      <c r="I139" s="51"/>
      <c r="J139" s="51" t="str">
        <f>IFERROR(__xludf.DUMMYFUNCTION("""COMPUTED_VALUE"""),"")</f>
        <v/>
      </c>
      <c r="K139" s="51" t="str">
        <f>IFERROR(__xludf.DUMMYFUNCTION("""COMPUTED_VALUE"""),"")</f>
        <v/>
      </c>
      <c r="L139" s="51" t="s">
        <v>64</v>
      </c>
      <c r="M139" s="51" t="s">
        <v>64</v>
      </c>
      <c r="N139" s="51"/>
      <c r="O139" s="51"/>
      <c r="P139" s="51"/>
      <c r="Q139" s="51"/>
      <c r="R139" s="51"/>
      <c r="S139" s="51"/>
    </row>
    <row r="140">
      <c r="A140" s="51"/>
      <c r="B140" s="51"/>
      <c r="C140" s="51"/>
      <c r="D140" s="51"/>
      <c r="E140" s="51"/>
      <c r="F140" s="51"/>
      <c r="G140" s="51"/>
      <c r="H140" s="51"/>
      <c r="I140" s="51"/>
      <c r="J140" s="51" t="str">
        <f>IFERROR(__xludf.DUMMYFUNCTION("""COMPUTED_VALUE"""),"")</f>
        <v/>
      </c>
      <c r="K140" s="51" t="str">
        <f>IFERROR(__xludf.DUMMYFUNCTION("""COMPUTED_VALUE"""),"")</f>
        <v/>
      </c>
      <c r="L140" s="51" t="s">
        <v>64</v>
      </c>
      <c r="M140" s="51" t="s">
        <v>64</v>
      </c>
      <c r="N140" s="51"/>
      <c r="O140" s="51"/>
      <c r="P140" s="51"/>
      <c r="Q140" s="51"/>
      <c r="R140" s="51"/>
      <c r="S140" s="51"/>
    </row>
    <row r="141">
      <c r="A141" s="51"/>
      <c r="B141" s="51"/>
      <c r="C141" s="51"/>
      <c r="D141" s="51"/>
      <c r="E141" s="51"/>
      <c r="F141" s="51"/>
      <c r="G141" s="51"/>
      <c r="H141" s="51"/>
      <c r="I141" s="51"/>
      <c r="J141" s="51" t="str">
        <f>IFERROR(__xludf.DUMMYFUNCTION("""COMPUTED_VALUE"""),"")</f>
        <v/>
      </c>
      <c r="K141" s="51" t="str">
        <f>IFERROR(__xludf.DUMMYFUNCTION("""COMPUTED_VALUE"""),"")</f>
        <v/>
      </c>
      <c r="L141" s="51" t="s">
        <v>64</v>
      </c>
      <c r="M141" s="51" t="s">
        <v>64</v>
      </c>
      <c r="N141" s="51"/>
      <c r="O141" s="51"/>
      <c r="P141" s="51"/>
      <c r="Q141" s="51"/>
      <c r="R141" s="51"/>
      <c r="S141" s="51"/>
    </row>
    <row r="142">
      <c r="A142" s="51"/>
      <c r="B142" s="51"/>
      <c r="C142" s="51"/>
      <c r="D142" s="51"/>
      <c r="E142" s="51"/>
      <c r="F142" s="51"/>
      <c r="G142" s="51"/>
      <c r="H142" s="51"/>
      <c r="I142" s="51"/>
      <c r="J142" s="51" t="str">
        <f>IFERROR(__xludf.DUMMYFUNCTION("""COMPUTED_VALUE"""),"")</f>
        <v/>
      </c>
      <c r="K142" s="51" t="str">
        <f>IFERROR(__xludf.DUMMYFUNCTION("""COMPUTED_VALUE"""),"")</f>
        <v/>
      </c>
      <c r="L142" s="51" t="s">
        <v>64</v>
      </c>
      <c r="M142" s="51" t="s">
        <v>64</v>
      </c>
      <c r="N142" s="51"/>
      <c r="O142" s="51"/>
      <c r="P142" s="51"/>
      <c r="Q142" s="51"/>
      <c r="R142" s="51"/>
      <c r="S142" s="51"/>
    </row>
    <row r="143">
      <c r="A143" s="51"/>
      <c r="B143" s="51"/>
      <c r="C143" s="51"/>
      <c r="D143" s="51"/>
      <c r="E143" s="51"/>
      <c r="F143" s="51"/>
      <c r="G143" s="51"/>
      <c r="H143" s="51"/>
      <c r="I143" s="51"/>
      <c r="J143" s="51" t="str">
        <f>IFERROR(__xludf.DUMMYFUNCTION("""COMPUTED_VALUE"""),"")</f>
        <v/>
      </c>
      <c r="K143" s="51" t="str">
        <f>IFERROR(__xludf.DUMMYFUNCTION("""COMPUTED_VALUE"""),"")</f>
        <v/>
      </c>
      <c r="L143" s="51" t="s">
        <v>64</v>
      </c>
      <c r="M143" s="51" t="s">
        <v>64</v>
      </c>
      <c r="N143" s="51"/>
      <c r="O143" s="51"/>
      <c r="P143" s="51"/>
      <c r="Q143" s="51"/>
      <c r="R143" s="51"/>
      <c r="S143" s="51"/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 t="str">
        <f>IFERROR(__xludf.DUMMYFUNCTION("""COMPUTED_VALUE"""),"")</f>
        <v/>
      </c>
      <c r="K144" s="51" t="str">
        <f>IFERROR(__xludf.DUMMYFUNCTION("""COMPUTED_VALUE"""),"")</f>
        <v/>
      </c>
      <c r="L144" s="51" t="s">
        <v>64</v>
      </c>
      <c r="M144" s="51" t="s">
        <v>64</v>
      </c>
      <c r="N144" s="51"/>
      <c r="O144" s="51"/>
      <c r="P144" s="51"/>
      <c r="Q144" s="51"/>
      <c r="R144" s="51"/>
      <c r="S144" s="51"/>
    </row>
    <row r="145">
      <c r="A145" s="51"/>
      <c r="B145" s="51"/>
      <c r="C145" s="51"/>
      <c r="D145" s="51"/>
      <c r="E145" s="51"/>
      <c r="F145" s="51"/>
      <c r="G145" s="51"/>
      <c r="H145" s="51"/>
      <c r="I145" s="51"/>
      <c r="J145" s="51" t="str">
        <f>IFERROR(__xludf.DUMMYFUNCTION("""COMPUTED_VALUE"""),"")</f>
        <v/>
      </c>
      <c r="K145" s="51" t="str">
        <f>IFERROR(__xludf.DUMMYFUNCTION("""COMPUTED_VALUE"""),"")</f>
        <v/>
      </c>
      <c r="L145" s="51" t="s">
        <v>64</v>
      </c>
      <c r="M145" s="51" t="s">
        <v>64</v>
      </c>
      <c r="N145" s="51"/>
      <c r="O145" s="51"/>
      <c r="P145" s="51"/>
      <c r="Q145" s="51"/>
      <c r="R145" s="51"/>
      <c r="S145" s="51"/>
    </row>
    <row r="146">
      <c r="A146" s="51"/>
      <c r="B146" s="51"/>
      <c r="C146" s="51"/>
      <c r="D146" s="51"/>
      <c r="E146" s="51"/>
      <c r="F146" s="51"/>
      <c r="G146" s="51"/>
      <c r="H146" s="51"/>
      <c r="I146" s="51"/>
      <c r="J146" s="51" t="str">
        <f>IFERROR(__xludf.DUMMYFUNCTION("""COMPUTED_VALUE"""),"")</f>
        <v/>
      </c>
      <c r="K146" s="51" t="str">
        <f>IFERROR(__xludf.DUMMYFUNCTION("""COMPUTED_VALUE"""),"")</f>
        <v/>
      </c>
      <c r="L146" s="51" t="s">
        <v>64</v>
      </c>
      <c r="M146" s="51" t="s">
        <v>64</v>
      </c>
      <c r="N146" s="51"/>
      <c r="O146" s="51"/>
      <c r="P146" s="51"/>
      <c r="Q146" s="51"/>
      <c r="R146" s="51"/>
      <c r="S146" s="51"/>
    </row>
    <row r="147">
      <c r="A147" s="51"/>
      <c r="B147" s="51"/>
      <c r="C147" s="51"/>
      <c r="D147" s="51"/>
      <c r="E147" s="51"/>
      <c r="F147" s="51"/>
      <c r="G147" s="51"/>
      <c r="H147" s="51"/>
      <c r="I147" s="51"/>
      <c r="J147" s="51" t="str">
        <f>IFERROR(__xludf.DUMMYFUNCTION("""COMPUTED_VALUE"""),"")</f>
        <v/>
      </c>
      <c r="K147" s="51" t="str">
        <f>IFERROR(__xludf.DUMMYFUNCTION("""COMPUTED_VALUE"""),"")</f>
        <v/>
      </c>
      <c r="L147" s="51" t="s">
        <v>64</v>
      </c>
      <c r="M147" s="51" t="s">
        <v>64</v>
      </c>
      <c r="N147" s="51"/>
      <c r="O147" s="51"/>
      <c r="P147" s="51"/>
      <c r="Q147" s="51"/>
      <c r="R147" s="51"/>
      <c r="S147" s="51"/>
    </row>
    <row r="148">
      <c r="A148" s="51"/>
      <c r="B148" s="51"/>
      <c r="C148" s="51"/>
      <c r="D148" s="51"/>
      <c r="E148" s="51"/>
      <c r="F148" s="51"/>
      <c r="G148" s="51"/>
      <c r="H148" s="51"/>
      <c r="I148" s="51"/>
      <c r="J148" s="51" t="str">
        <f>IFERROR(__xludf.DUMMYFUNCTION("""COMPUTED_VALUE"""),"")</f>
        <v/>
      </c>
      <c r="K148" s="51" t="str">
        <f>IFERROR(__xludf.DUMMYFUNCTION("""COMPUTED_VALUE"""),"")</f>
        <v/>
      </c>
      <c r="L148" s="51" t="s">
        <v>64</v>
      </c>
      <c r="M148" s="51" t="s">
        <v>64</v>
      </c>
      <c r="N148" s="51"/>
      <c r="O148" s="51"/>
      <c r="P148" s="51"/>
      <c r="Q148" s="51"/>
      <c r="R148" s="51"/>
      <c r="S148" s="51"/>
    </row>
    <row r="149">
      <c r="A149" s="51"/>
      <c r="B149" s="51"/>
      <c r="C149" s="51"/>
      <c r="D149" s="51"/>
      <c r="E149" s="51"/>
      <c r="F149" s="51"/>
      <c r="G149" s="51"/>
      <c r="H149" s="51"/>
      <c r="I149" s="51"/>
      <c r="J149" s="51" t="str">
        <f>IFERROR(__xludf.DUMMYFUNCTION("""COMPUTED_VALUE"""),"")</f>
        <v/>
      </c>
      <c r="K149" s="51" t="str">
        <f>IFERROR(__xludf.DUMMYFUNCTION("""COMPUTED_VALUE"""),"")</f>
        <v/>
      </c>
      <c r="L149" s="51" t="s">
        <v>64</v>
      </c>
      <c r="M149" s="51" t="s">
        <v>64</v>
      </c>
      <c r="N149" s="51"/>
      <c r="O149" s="51"/>
      <c r="P149" s="51"/>
      <c r="Q149" s="51"/>
      <c r="R149" s="51"/>
      <c r="S149" s="51"/>
    </row>
    <row r="150">
      <c r="A150" s="51"/>
      <c r="B150" s="51"/>
      <c r="C150" s="51"/>
      <c r="D150" s="51"/>
      <c r="E150" s="51"/>
      <c r="F150" s="51"/>
      <c r="G150" s="51"/>
      <c r="H150" s="51"/>
      <c r="I150" s="51"/>
      <c r="J150" s="51" t="str">
        <f>IFERROR(__xludf.DUMMYFUNCTION("""COMPUTED_VALUE"""),"")</f>
        <v/>
      </c>
      <c r="K150" s="51" t="str">
        <f>IFERROR(__xludf.DUMMYFUNCTION("""COMPUTED_VALUE"""),"")</f>
        <v/>
      </c>
      <c r="L150" s="51" t="s">
        <v>64</v>
      </c>
      <c r="M150" s="51" t="s">
        <v>64</v>
      </c>
      <c r="N150" s="51"/>
      <c r="O150" s="51"/>
      <c r="P150" s="51"/>
      <c r="Q150" s="51"/>
      <c r="R150" s="51"/>
      <c r="S150" s="51"/>
    </row>
    <row r="151">
      <c r="A151" s="51"/>
      <c r="B151" s="51"/>
      <c r="C151" s="51"/>
      <c r="D151" s="51"/>
      <c r="E151" s="51"/>
      <c r="F151" s="51"/>
      <c r="G151" s="51"/>
      <c r="H151" s="51"/>
      <c r="I151" s="51"/>
      <c r="J151" s="51" t="str">
        <f>IFERROR(__xludf.DUMMYFUNCTION("""COMPUTED_VALUE"""),"")</f>
        <v/>
      </c>
      <c r="K151" s="51" t="str">
        <f>IFERROR(__xludf.DUMMYFUNCTION("""COMPUTED_VALUE"""),"")</f>
        <v/>
      </c>
      <c r="L151" s="51" t="s">
        <v>64</v>
      </c>
      <c r="M151" s="51" t="s">
        <v>64</v>
      </c>
      <c r="N151" s="51"/>
      <c r="O151" s="51"/>
      <c r="P151" s="51"/>
      <c r="Q151" s="51"/>
      <c r="R151" s="51"/>
      <c r="S151" s="51"/>
    </row>
    <row r="152">
      <c r="A152" s="51"/>
      <c r="B152" s="51"/>
      <c r="C152" s="51"/>
      <c r="D152" s="51"/>
      <c r="E152" s="51"/>
      <c r="F152" s="51"/>
      <c r="G152" s="51"/>
      <c r="H152" s="51"/>
      <c r="I152" s="51"/>
      <c r="J152" s="51" t="str">
        <f>IFERROR(__xludf.DUMMYFUNCTION("""COMPUTED_VALUE"""),"")</f>
        <v/>
      </c>
      <c r="K152" s="51" t="str">
        <f>IFERROR(__xludf.DUMMYFUNCTION("""COMPUTED_VALUE"""),"")</f>
        <v/>
      </c>
      <c r="L152" s="51" t="s">
        <v>64</v>
      </c>
      <c r="M152" s="51" t="s">
        <v>64</v>
      </c>
      <c r="N152" s="51"/>
      <c r="O152" s="51"/>
      <c r="P152" s="51"/>
      <c r="Q152" s="51"/>
      <c r="R152" s="51"/>
      <c r="S152" s="51"/>
    </row>
    <row r="153">
      <c r="A153" s="51"/>
      <c r="B153" s="51"/>
      <c r="C153" s="51"/>
      <c r="D153" s="51"/>
      <c r="E153" s="51"/>
      <c r="F153" s="51"/>
      <c r="G153" s="51"/>
      <c r="H153" s="51"/>
      <c r="I153" s="51"/>
      <c r="J153" s="51" t="str">
        <f>IFERROR(__xludf.DUMMYFUNCTION("""COMPUTED_VALUE"""),"")</f>
        <v/>
      </c>
      <c r="K153" s="51" t="str">
        <f>IFERROR(__xludf.DUMMYFUNCTION("""COMPUTED_VALUE"""),"")</f>
        <v/>
      </c>
      <c r="L153" s="51" t="s">
        <v>64</v>
      </c>
      <c r="M153" s="51" t="s">
        <v>64</v>
      </c>
      <c r="N153" s="51"/>
      <c r="O153" s="51"/>
      <c r="P153" s="51"/>
      <c r="Q153" s="51"/>
      <c r="R153" s="51"/>
      <c r="S153" s="51"/>
    </row>
    <row r="154">
      <c r="A154" s="51"/>
      <c r="B154" s="51"/>
      <c r="C154" s="51"/>
      <c r="D154" s="51"/>
      <c r="E154" s="51"/>
      <c r="F154" s="51"/>
      <c r="G154" s="51"/>
      <c r="H154" s="51"/>
      <c r="I154" s="51"/>
      <c r="J154" s="51" t="str">
        <f>IFERROR(__xludf.DUMMYFUNCTION("""COMPUTED_VALUE"""),"")</f>
        <v/>
      </c>
      <c r="K154" s="51" t="str">
        <f>IFERROR(__xludf.DUMMYFUNCTION("""COMPUTED_VALUE"""),"")</f>
        <v/>
      </c>
      <c r="L154" s="51" t="s">
        <v>64</v>
      </c>
      <c r="M154" s="51" t="s">
        <v>64</v>
      </c>
      <c r="N154" s="51"/>
      <c r="O154" s="51"/>
      <c r="P154" s="51"/>
      <c r="Q154" s="51"/>
      <c r="R154" s="51"/>
      <c r="S154" s="51"/>
    </row>
    <row r="155">
      <c r="A155" s="51"/>
      <c r="B155" s="51"/>
      <c r="C155" s="51"/>
      <c r="D155" s="51"/>
      <c r="E155" s="51"/>
      <c r="F155" s="51"/>
      <c r="G155" s="51"/>
      <c r="H155" s="51"/>
      <c r="I155" s="51"/>
      <c r="J155" s="51" t="str">
        <f>IFERROR(__xludf.DUMMYFUNCTION("""COMPUTED_VALUE"""),"")</f>
        <v/>
      </c>
      <c r="K155" s="51" t="str">
        <f>IFERROR(__xludf.DUMMYFUNCTION("""COMPUTED_VALUE"""),"")</f>
        <v/>
      </c>
      <c r="L155" s="51" t="s">
        <v>64</v>
      </c>
      <c r="M155" s="51" t="s">
        <v>64</v>
      </c>
      <c r="N155" s="51"/>
      <c r="O155" s="51"/>
      <c r="P155" s="51"/>
      <c r="Q155" s="51"/>
      <c r="R155" s="51"/>
      <c r="S155" s="51"/>
    </row>
    <row r="156">
      <c r="A156" s="51"/>
      <c r="B156" s="51"/>
      <c r="C156" s="51"/>
      <c r="D156" s="51"/>
      <c r="E156" s="51"/>
      <c r="F156" s="51"/>
      <c r="G156" s="51"/>
      <c r="H156" s="51"/>
      <c r="I156" s="51"/>
      <c r="J156" s="51" t="str">
        <f>IFERROR(__xludf.DUMMYFUNCTION("""COMPUTED_VALUE"""),"")</f>
        <v/>
      </c>
      <c r="K156" s="51" t="str">
        <f>IFERROR(__xludf.DUMMYFUNCTION("""COMPUTED_VALUE"""),"")</f>
        <v/>
      </c>
      <c r="L156" s="51" t="s">
        <v>64</v>
      </c>
      <c r="M156" s="51" t="s">
        <v>64</v>
      </c>
      <c r="N156" s="51"/>
      <c r="O156" s="51"/>
      <c r="P156" s="51"/>
      <c r="Q156" s="51"/>
      <c r="R156" s="51"/>
      <c r="S156" s="51"/>
    </row>
    <row r="157">
      <c r="A157" s="51"/>
      <c r="B157" s="51"/>
      <c r="C157" s="51"/>
      <c r="D157" s="51"/>
      <c r="E157" s="51"/>
      <c r="F157" s="51"/>
      <c r="G157" s="51"/>
      <c r="H157" s="51"/>
      <c r="I157" s="51"/>
      <c r="J157" s="51" t="str">
        <f>IFERROR(__xludf.DUMMYFUNCTION("""COMPUTED_VALUE"""),"")</f>
        <v/>
      </c>
      <c r="K157" s="51" t="str">
        <f>IFERROR(__xludf.DUMMYFUNCTION("""COMPUTED_VALUE"""),"")</f>
        <v/>
      </c>
      <c r="L157" s="51" t="s">
        <v>64</v>
      </c>
      <c r="M157" s="51" t="s">
        <v>64</v>
      </c>
      <c r="N157" s="51"/>
      <c r="O157" s="51"/>
      <c r="P157" s="51"/>
      <c r="Q157" s="51"/>
      <c r="R157" s="51"/>
      <c r="S157" s="51"/>
    </row>
    <row r="158">
      <c r="A158" s="51"/>
      <c r="B158" s="51"/>
      <c r="C158" s="51"/>
      <c r="D158" s="51"/>
      <c r="E158" s="51"/>
      <c r="F158" s="51"/>
      <c r="G158" s="51"/>
      <c r="H158" s="51"/>
      <c r="I158" s="51"/>
      <c r="J158" s="51" t="str">
        <f>IFERROR(__xludf.DUMMYFUNCTION("""COMPUTED_VALUE"""),"")</f>
        <v/>
      </c>
      <c r="K158" s="51" t="str">
        <f>IFERROR(__xludf.DUMMYFUNCTION("""COMPUTED_VALUE"""),"")</f>
        <v/>
      </c>
      <c r="L158" s="51" t="s">
        <v>64</v>
      </c>
      <c r="M158" s="51" t="s">
        <v>64</v>
      </c>
      <c r="N158" s="51"/>
      <c r="O158" s="51"/>
      <c r="P158" s="51"/>
      <c r="Q158" s="51"/>
      <c r="R158" s="51"/>
      <c r="S158" s="51"/>
    </row>
    <row r="159">
      <c r="A159" s="51"/>
      <c r="B159" s="51"/>
      <c r="C159" s="51"/>
      <c r="D159" s="51"/>
      <c r="E159" s="51"/>
      <c r="F159" s="51"/>
      <c r="G159" s="51"/>
      <c r="H159" s="51"/>
      <c r="I159" s="51"/>
      <c r="J159" s="51" t="str">
        <f>IFERROR(__xludf.DUMMYFUNCTION("""COMPUTED_VALUE"""),"")</f>
        <v/>
      </c>
      <c r="K159" s="51" t="str">
        <f>IFERROR(__xludf.DUMMYFUNCTION("""COMPUTED_VALUE"""),"")</f>
        <v/>
      </c>
      <c r="L159" s="51" t="s">
        <v>64</v>
      </c>
      <c r="M159" s="51" t="s">
        <v>64</v>
      </c>
      <c r="N159" s="51"/>
      <c r="O159" s="51"/>
      <c r="P159" s="51"/>
      <c r="Q159" s="51"/>
      <c r="R159" s="51"/>
      <c r="S159" s="51"/>
    </row>
    <row r="160">
      <c r="A160" s="51"/>
      <c r="B160" s="51"/>
      <c r="C160" s="51"/>
      <c r="D160" s="51"/>
      <c r="E160" s="51"/>
      <c r="F160" s="51"/>
      <c r="G160" s="51"/>
      <c r="H160" s="51"/>
      <c r="I160" s="51"/>
      <c r="J160" s="51" t="str">
        <f>IFERROR(__xludf.DUMMYFUNCTION("""COMPUTED_VALUE"""),"")</f>
        <v/>
      </c>
      <c r="K160" s="51" t="str">
        <f>IFERROR(__xludf.DUMMYFUNCTION("""COMPUTED_VALUE"""),"")</f>
        <v/>
      </c>
      <c r="L160" s="51" t="s">
        <v>64</v>
      </c>
      <c r="M160" s="51" t="s">
        <v>64</v>
      </c>
      <c r="N160" s="51"/>
      <c r="O160" s="51"/>
      <c r="P160" s="51"/>
      <c r="Q160" s="51"/>
      <c r="R160" s="51"/>
      <c r="S160" s="51"/>
    </row>
    <row r="161">
      <c r="A161" s="51"/>
      <c r="B161" s="51"/>
      <c r="C161" s="51"/>
      <c r="D161" s="51"/>
      <c r="E161" s="51"/>
      <c r="F161" s="51"/>
      <c r="G161" s="51"/>
      <c r="H161" s="51"/>
      <c r="I161" s="51"/>
      <c r="J161" s="51" t="str">
        <f>IFERROR(__xludf.DUMMYFUNCTION("""COMPUTED_VALUE"""),"")</f>
        <v/>
      </c>
      <c r="K161" s="51" t="str">
        <f>IFERROR(__xludf.DUMMYFUNCTION("""COMPUTED_VALUE"""),"")</f>
        <v/>
      </c>
      <c r="L161" s="51" t="s">
        <v>64</v>
      </c>
      <c r="M161" s="51" t="s">
        <v>64</v>
      </c>
      <c r="N161" s="51"/>
      <c r="O161" s="51"/>
      <c r="P161" s="51"/>
      <c r="Q161" s="51"/>
      <c r="R161" s="51"/>
      <c r="S161" s="51"/>
    </row>
    <row r="162">
      <c r="A162" s="51"/>
      <c r="B162" s="51"/>
      <c r="C162" s="51"/>
      <c r="D162" s="51"/>
      <c r="E162" s="51"/>
      <c r="F162" s="51"/>
      <c r="G162" s="51"/>
      <c r="H162" s="51"/>
      <c r="I162" s="51"/>
      <c r="J162" s="51" t="str">
        <f>IFERROR(__xludf.DUMMYFUNCTION("""COMPUTED_VALUE"""),"")</f>
        <v/>
      </c>
      <c r="K162" s="51" t="str">
        <f>IFERROR(__xludf.DUMMYFUNCTION("""COMPUTED_VALUE"""),"")</f>
        <v/>
      </c>
      <c r="L162" s="51" t="s">
        <v>64</v>
      </c>
      <c r="M162" s="51" t="s">
        <v>64</v>
      </c>
      <c r="N162" s="51"/>
      <c r="O162" s="51"/>
      <c r="P162" s="51"/>
      <c r="Q162" s="51"/>
      <c r="R162" s="51"/>
      <c r="S162" s="51"/>
    </row>
    <row r="163">
      <c r="A163" s="51"/>
      <c r="B163" s="51"/>
      <c r="C163" s="51"/>
      <c r="D163" s="51"/>
      <c r="E163" s="51"/>
      <c r="F163" s="51"/>
      <c r="G163" s="51"/>
      <c r="H163" s="51"/>
      <c r="I163" s="51"/>
      <c r="J163" s="51" t="str">
        <f>IFERROR(__xludf.DUMMYFUNCTION("""COMPUTED_VALUE"""),"")</f>
        <v/>
      </c>
      <c r="K163" s="51" t="str">
        <f>IFERROR(__xludf.DUMMYFUNCTION("""COMPUTED_VALUE"""),"")</f>
        <v/>
      </c>
      <c r="L163" s="51" t="s">
        <v>64</v>
      </c>
      <c r="M163" s="51" t="s">
        <v>64</v>
      </c>
      <c r="N163" s="51"/>
      <c r="O163" s="51"/>
      <c r="P163" s="51"/>
      <c r="Q163" s="51"/>
      <c r="R163" s="51"/>
      <c r="S163" s="51"/>
    </row>
    <row r="164">
      <c r="A164" s="51"/>
      <c r="B164" s="51"/>
      <c r="C164" s="51"/>
      <c r="D164" s="51"/>
      <c r="E164" s="51"/>
      <c r="F164" s="51"/>
      <c r="G164" s="51"/>
      <c r="H164" s="51"/>
      <c r="I164" s="51"/>
      <c r="J164" s="51" t="str">
        <f>IFERROR(__xludf.DUMMYFUNCTION("""COMPUTED_VALUE"""),"")</f>
        <v/>
      </c>
      <c r="K164" s="51" t="str">
        <f>IFERROR(__xludf.DUMMYFUNCTION("""COMPUTED_VALUE"""),"")</f>
        <v/>
      </c>
      <c r="L164" s="51" t="s">
        <v>64</v>
      </c>
      <c r="M164" s="51" t="s">
        <v>64</v>
      </c>
      <c r="N164" s="51"/>
      <c r="O164" s="51"/>
      <c r="P164" s="51"/>
      <c r="Q164" s="51"/>
      <c r="R164" s="51"/>
      <c r="S164" s="51"/>
    </row>
    <row r="165">
      <c r="A165" s="51"/>
      <c r="B165" s="51"/>
      <c r="C165" s="51"/>
      <c r="D165" s="51"/>
      <c r="E165" s="51"/>
      <c r="F165" s="51"/>
      <c r="G165" s="51"/>
      <c r="H165" s="51"/>
      <c r="I165" s="51"/>
      <c r="J165" s="51" t="str">
        <f>IFERROR(__xludf.DUMMYFUNCTION("""COMPUTED_VALUE"""),"")</f>
        <v/>
      </c>
      <c r="K165" s="51" t="str">
        <f>IFERROR(__xludf.DUMMYFUNCTION("""COMPUTED_VALUE"""),"")</f>
        <v/>
      </c>
      <c r="L165" s="51" t="s">
        <v>64</v>
      </c>
      <c r="M165" s="51" t="s">
        <v>64</v>
      </c>
      <c r="N165" s="51"/>
      <c r="O165" s="51"/>
      <c r="P165" s="51"/>
      <c r="Q165" s="51"/>
      <c r="R165" s="51"/>
      <c r="S165" s="51"/>
    </row>
    <row r="166">
      <c r="A166" s="51"/>
      <c r="B166" s="51"/>
      <c r="C166" s="51"/>
      <c r="D166" s="51"/>
      <c r="E166" s="51"/>
      <c r="F166" s="51"/>
      <c r="G166" s="51"/>
      <c r="H166" s="51"/>
      <c r="I166" s="51"/>
      <c r="J166" s="51" t="str">
        <f>IFERROR(__xludf.DUMMYFUNCTION("""COMPUTED_VALUE"""),"")</f>
        <v/>
      </c>
      <c r="K166" s="51" t="str">
        <f>IFERROR(__xludf.DUMMYFUNCTION("""COMPUTED_VALUE"""),"")</f>
        <v/>
      </c>
      <c r="L166" s="51" t="s">
        <v>64</v>
      </c>
      <c r="M166" s="51" t="s">
        <v>64</v>
      </c>
      <c r="N166" s="51"/>
      <c r="O166" s="51"/>
      <c r="P166" s="51"/>
      <c r="Q166" s="51"/>
      <c r="R166" s="51"/>
      <c r="S166" s="51"/>
    </row>
    <row r="167">
      <c r="A167" s="51"/>
      <c r="B167" s="51"/>
      <c r="C167" s="51"/>
      <c r="D167" s="51"/>
      <c r="E167" s="51"/>
      <c r="F167" s="51"/>
      <c r="G167" s="51"/>
      <c r="H167" s="51"/>
      <c r="I167" s="51"/>
      <c r="J167" s="51" t="str">
        <f>IFERROR(__xludf.DUMMYFUNCTION("""COMPUTED_VALUE"""),"")</f>
        <v/>
      </c>
      <c r="K167" s="51" t="str">
        <f>IFERROR(__xludf.DUMMYFUNCTION("""COMPUTED_VALUE"""),"")</f>
        <v/>
      </c>
      <c r="L167" s="51" t="s">
        <v>64</v>
      </c>
      <c r="M167" s="51" t="s">
        <v>64</v>
      </c>
      <c r="N167" s="51"/>
      <c r="O167" s="51"/>
      <c r="P167" s="51"/>
      <c r="Q167" s="51"/>
      <c r="R167" s="51"/>
      <c r="S167" s="51"/>
    </row>
    <row r="168">
      <c r="A168" s="51"/>
      <c r="B168" s="51"/>
      <c r="C168" s="51"/>
      <c r="D168" s="51"/>
      <c r="E168" s="51"/>
      <c r="F168" s="51"/>
      <c r="G168" s="51"/>
      <c r="H168" s="51"/>
      <c r="I168" s="51"/>
      <c r="J168" s="51" t="str">
        <f>IFERROR(__xludf.DUMMYFUNCTION("""COMPUTED_VALUE"""),"")</f>
        <v/>
      </c>
      <c r="K168" s="51" t="str">
        <f>IFERROR(__xludf.DUMMYFUNCTION("""COMPUTED_VALUE"""),"")</f>
        <v/>
      </c>
      <c r="L168" s="51" t="s">
        <v>64</v>
      </c>
      <c r="M168" s="51" t="s">
        <v>64</v>
      </c>
      <c r="N168" s="51"/>
      <c r="O168" s="51"/>
      <c r="P168" s="51"/>
      <c r="Q168" s="51"/>
      <c r="R168" s="51"/>
      <c r="S168" s="51"/>
    </row>
    <row r="169">
      <c r="A169" s="51"/>
      <c r="B169" s="51"/>
      <c r="C169" s="51"/>
      <c r="D169" s="51"/>
      <c r="E169" s="51"/>
      <c r="F169" s="51"/>
      <c r="G169" s="51"/>
      <c r="H169" s="51"/>
      <c r="I169" s="51"/>
      <c r="J169" s="51" t="str">
        <f>IFERROR(__xludf.DUMMYFUNCTION("""COMPUTED_VALUE"""),"")</f>
        <v/>
      </c>
      <c r="K169" s="51" t="str">
        <f>IFERROR(__xludf.DUMMYFUNCTION("""COMPUTED_VALUE"""),"")</f>
        <v/>
      </c>
      <c r="L169" s="51" t="s">
        <v>64</v>
      </c>
      <c r="M169" s="51" t="s">
        <v>64</v>
      </c>
      <c r="N169" s="51"/>
      <c r="O169" s="51"/>
      <c r="P169" s="51"/>
      <c r="Q169" s="51"/>
      <c r="R169" s="51"/>
      <c r="S169" s="51"/>
    </row>
    <row r="170">
      <c r="A170" s="51"/>
      <c r="B170" s="51"/>
      <c r="C170" s="51"/>
      <c r="D170" s="51"/>
      <c r="E170" s="51"/>
      <c r="F170" s="51"/>
      <c r="G170" s="51"/>
      <c r="H170" s="51"/>
      <c r="I170" s="51"/>
      <c r="J170" s="51" t="str">
        <f>IFERROR(__xludf.DUMMYFUNCTION("""COMPUTED_VALUE"""),"")</f>
        <v/>
      </c>
      <c r="K170" s="51" t="str">
        <f>IFERROR(__xludf.DUMMYFUNCTION("""COMPUTED_VALUE"""),"")</f>
        <v/>
      </c>
      <c r="L170" s="51" t="s">
        <v>64</v>
      </c>
      <c r="M170" s="51" t="s">
        <v>64</v>
      </c>
      <c r="N170" s="51"/>
      <c r="O170" s="51"/>
      <c r="P170" s="51"/>
      <c r="Q170" s="51"/>
      <c r="R170" s="51"/>
      <c r="S170" s="51"/>
    </row>
    <row r="171">
      <c r="A171" s="51"/>
      <c r="B171" s="51"/>
      <c r="C171" s="51"/>
      <c r="D171" s="51"/>
      <c r="E171" s="51"/>
      <c r="F171" s="51"/>
      <c r="G171" s="51"/>
      <c r="H171" s="51"/>
      <c r="I171" s="51"/>
      <c r="J171" s="51" t="str">
        <f>IFERROR(__xludf.DUMMYFUNCTION("""COMPUTED_VALUE"""),"")</f>
        <v/>
      </c>
      <c r="K171" s="51" t="str">
        <f>IFERROR(__xludf.DUMMYFUNCTION("""COMPUTED_VALUE"""),"")</f>
        <v/>
      </c>
      <c r="L171" s="51" t="s">
        <v>64</v>
      </c>
      <c r="M171" s="51" t="s">
        <v>64</v>
      </c>
      <c r="N171" s="51"/>
      <c r="O171" s="51"/>
      <c r="P171" s="51"/>
      <c r="Q171" s="51"/>
      <c r="R171" s="51"/>
      <c r="S171" s="51"/>
    </row>
    <row r="172">
      <c r="A172" s="51"/>
      <c r="B172" s="51"/>
      <c r="C172" s="51"/>
      <c r="D172" s="51"/>
      <c r="E172" s="51"/>
      <c r="F172" s="51"/>
      <c r="G172" s="51"/>
      <c r="H172" s="51"/>
      <c r="I172" s="51"/>
      <c r="J172" s="51" t="str">
        <f>IFERROR(__xludf.DUMMYFUNCTION("""COMPUTED_VALUE"""),"")</f>
        <v/>
      </c>
      <c r="K172" s="51" t="str">
        <f>IFERROR(__xludf.DUMMYFUNCTION("""COMPUTED_VALUE"""),"")</f>
        <v/>
      </c>
      <c r="L172" s="51" t="s">
        <v>64</v>
      </c>
      <c r="M172" s="51" t="s">
        <v>64</v>
      </c>
      <c r="N172" s="51"/>
      <c r="O172" s="51"/>
      <c r="P172" s="51"/>
      <c r="Q172" s="51"/>
      <c r="R172" s="51"/>
      <c r="S172" s="51"/>
    </row>
    <row r="173">
      <c r="A173" s="51"/>
      <c r="B173" s="51"/>
      <c r="C173" s="51"/>
      <c r="D173" s="51"/>
      <c r="E173" s="51"/>
      <c r="F173" s="51"/>
      <c r="G173" s="51"/>
      <c r="H173" s="51"/>
      <c r="I173" s="51"/>
      <c r="J173" s="51" t="str">
        <f>IFERROR(__xludf.DUMMYFUNCTION("""COMPUTED_VALUE"""),"")</f>
        <v/>
      </c>
      <c r="K173" s="51" t="str">
        <f>IFERROR(__xludf.DUMMYFUNCTION("""COMPUTED_VALUE"""),"")</f>
        <v/>
      </c>
      <c r="L173" s="51" t="s">
        <v>64</v>
      </c>
      <c r="M173" s="51" t="s">
        <v>64</v>
      </c>
      <c r="N173" s="51"/>
      <c r="O173" s="51"/>
      <c r="P173" s="51"/>
      <c r="Q173" s="51"/>
      <c r="R173" s="51"/>
      <c r="S173" s="51"/>
    </row>
    <row r="174">
      <c r="A174" s="51"/>
      <c r="B174" s="51"/>
      <c r="C174" s="51"/>
      <c r="D174" s="51"/>
      <c r="E174" s="51"/>
      <c r="F174" s="51"/>
      <c r="G174" s="51"/>
      <c r="H174" s="51"/>
      <c r="I174" s="51"/>
      <c r="J174" s="51" t="str">
        <f>IFERROR(__xludf.DUMMYFUNCTION("""COMPUTED_VALUE"""),"")</f>
        <v/>
      </c>
      <c r="K174" s="51" t="str">
        <f>IFERROR(__xludf.DUMMYFUNCTION("""COMPUTED_VALUE"""),"")</f>
        <v/>
      </c>
      <c r="L174" s="51" t="s">
        <v>64</v>
      </c>
      <c r="M174" s="51" t="s">
        <v>64</v>
      </c>
      <c r="N174" s="51"/>
      <c r="O174" s="51"/>
      <c r="P174" s="51"/>
      <c r="Q174" s="51"/>
      <c r="R174" s="51"/>
      <c r="S174" s="51"/>
    </row>
    <row r="175">
      <c r="A175" s="51"/>
      <c r="B175" s="51"/>
      <c r="C175" s="51"/>
      <c r="D175" s="51"/>
      <c r="E175" s="51"/>
      <c r="F175" s="51"/>
      <c r="G175" s="51"/>
      <c r="H175" s="51"/>
      <c r="I175" s="51"/>
      <c r="J175" s="51" t="str">
        <f>IFERROR(__xludf.DUMMYFUNCTION("""COMPUTED_VALUE"""),"")</f>
        <v/>
      </c>
      <c r="K175" s="51" t="str">
        <f>IFERROR(__xludf.DUMMYFUNCTION("""COMPUTED_VALUE"""),"")</f>
        <v/>
      </c>
      <c r="L175" s="51" t="s">
        <v>64</v>
      </c>
      <c r="M175" s="51" t="s">
        <v>64</v>
      </c>
      <c r="N175" s="51"/>
      <c r="O175" s="51"/>
      <c r="P175" s="51"/>
      <c r="Q175" s="51"/>
      <c r="R175" s="51"/>
      <c r="S175" s="51"/>
    </row>
    <row r="176">
      <c r="A176" s="51"/>
      <c r="B176" s="51"/>
      <c r="C176" s="51"/>
      <c r="D176" s="51"/>
      <c r="E176" s="51"/>
      <c r="F176" s="51"/>
      <c r="G176" s="51"/>
      <c r="H176" s="51"/>
      <c r="I176" s="51"/>
      <c r="J176" s="51" t="str">
        <f>IFERROR(__xludf.DUMMYFUNCTION("""COMPUTED_VALUE"""),"")</f>
        <v/>
      </c>
      <c r="K176" s="51" t="str">
        <f>IFERROR(__xludf.DUMMYFUNCTION("""COMPUTED_VALUE"""),"")</f>
        <v/>
      </c>
      <c r="L176" s="51" t="s">
        <v>64</v>
      </c>
      <c r="M176" s="51" t="s">
        <v>64</v>
      </c>
      <c r="N176" s="51"/>
      <c r="O176" s="51"/>
      <c r="P176" s="51"/>
      <c r="Q176" s="51"/>
      <c r="R176" s="51"/>
      <c r="S176" s="51"/>
    </row>
    <row r="177">
      <c r="A177" s="51"/>
      <c r="B177" s="51"/>
      <c r="C177" s="51"/>
      <c r="D177" s="51"/>
      <c r="E177" s="51"/>
      <c r="F177" s="51"/>
      <c r="G177" s="51"/>
      <c r="H177" s="51"/>
      <c r="I177" s="51"/>
      <c r="J177" s="51" t="str">
        <f>IFERROR(__xludf.DUMMYFUNCTION("""COMPUTED_VALUE"""),"")</f>
        <v/>
      </c>
      <c r="K177" s="51" t="str">
        <f>IFERROR(__xludf.DUMMYFUNCTION("""COMPUTED_VALUE"""),"")</f>
        <v/>
      </c>
      <c r="L177" s="51" t="s">
        <v>64</v>
      </c>
      <c r="M177" s="51" t="s">
        <v>64</v>
      </c>
      <c r="N177" s="51"/>
      <c r="O177" s="51"/>
      <c r="P177" s="51"/>
      <c r="Q177" s="51"/>
      <c r="R177" s="51"/>
      <c r="S177" s="51"/>
    </row>
    <row r="178">
      <c r="A178" s="51"/>
      <c r="B178" s="51"/>
      <c r="C178" s="51"/>
      <c r="D178" s="51"/>
      <c r="E178" s="51"/>
      <c r="F178" s="51"/>
      <c r="G178" s="51"/>
      <c r="H178" s="51"/>
      <c r="I178" s="51"/>
      <c r="J178" s="51" t="str">
        <f>IFERROR(__xludf.DUMMYFUNCTION("""COMPUTED_VALUE"""),"")</f>
        <v/>
      </c>
      <c r="K178" s="51" t="str">
        <f>IFERROR(__xludf.DUMMYFUNCTION("""COMPUTED_VALUE"""),"")</f>
        <v/>
      </c>
      <c r="L178" s="51" t="s">
        <v>64</v>
      </c>
      <c r="M178" s="51" t="s">
        <v>64</v>
      </c>
      <c r="N178" s="51"/>
      <c r="O178" s="51"/>
      <c r="P178" s="51"/>
      <c r="Q178" s="51"/>
      <c r="R178" s="51"/>
      <c r="S178" s="51"/>
    </row>
    <row r="179">
      <c r="A179" s="51"/>
      <c r="B179" s="51"/>
      <c r="C179" s="51"/>
      <c r="D179" s="51"/>
      <c r="E179" s="51"/>
      <c r="F179" s="51"/>
      <c r="G179" s="51"/>
      <c r="H179" s="51"/>
      <c r="I179" s="51"/>
      <c r="J179" s="51" t="str">
        <f>IFERROR(__xludf.DUMMYFUNCTION("""COMPUTED_VALUE"""),"")</f>
        <v/>
      </c>
      <c r="K179" s="51" t="str">
        <f>IFERROR(__xludf.DUMMYFUNCTION("""COMPUTED_VALUE"""),"")</f>
        <v/>
      </c>
      <c r="L179" s="51" t="s">
        <v>64</v>
      </c>
      <c r="M179" s="51" t="s">
        <v>64</v>
      </c>
      <c r="N179" s="51"/>
      <c r="O179" s="51"/>
      <c r="P179" s="51"/>
      <c r="Q179" s="51"/>
      <c r="R179" s="51"/>
      <c r="S179" s="51"/>
    </row>
    <row r="180">
      <c r="A180" s="51"/>
      <c r="B180" s="51"/>
      <c r="C180" s="51"/>
      <c r="D180" s="51"/>
      <c r="E180" s="51"/>
      <c r="F180" s="51"/>
      <c r="G180" s="51"/>
      <c r="H180" s="51"/>
      <c r="I180" s="51"/>
      <c r="J180" s="51" t="str">
        <f>IFERROR(__xludf.DUMMYFUNCTION("""COMPUTED_VALUE"""),"")</f>
        <v/>
      </c>
      <c r="K180" s="51" t="str">
        <f>IFERROR(__xludf.DUMMYFUNCTION("""COMPUTED_VALUE"""),"")</f>
        <v/>
      </c>
      <c r="L180" s="51" t="s">
        <v>64</v>
      </c>
      <c r="M180" s="51" t="s">
        <v>64</v>
      </c>
      <c r="N180" s="51"/>
      <c r="O180" s="51"/>
      <c r="P180" s="51"/>
      <c r="Q180" s="51"/>
      <c r="R180" s="51"/>
      <c r="S180" s="51"/>
    </row>
    <row r="181">
      <c r="A181" s="51"/>
      <c r="B181" s="51"/>
      <c r="C181" s="51"/>
      <c r="D181" s="51"/>
      <c r="E181" s="51"/>
      <c r="F181" s="51"/>
      <c r="G181" s="51"/>
      <c r="H181" s="51"/>
      <c r="I181" s="51"/>
      <c r="J181" s="51" t="str">
        <f>IFERROR(__xludf.DUMMYFUNCTION("""COMPUTED_VALUE"""),"")</f>
        <v/>
      </c>
      <c r="K181" s="51" t="str">
        <f>IFERROR(__xludf.DUMMYFUNCTION("""COMPUTED_VALUE"""),"")</f>
        <v/>
      </c>
      <c r="L181" s="51" t="s">
        <v>64</v>
      </c>
      <c r="M181" s="51" t="s">
        <v>64</v>
      </c>
      <c r="N181" s="51"/>
      <c r="O181" s="51"/>
      <c r="P181" s="51"/>
      <c r="Q181" s="51"/>
      <c r="R181" s="51"/>
      <c r="S181" s="51"/>
    </row>
    <row r="182">
      <c r="A182" s="51"/>
      <c r="B182" s="51"/>
      <c r="C182" s="51"/>
      <c r="D182" s="51"/>
      <c r="E182" s="51"/>
      <c r="F182" s="51"/>
      <c r="G182" s="51"/>
      <c r="H182" s="51"/>
      <c r="I182" s="51"/>
      <c r="J182" s="51" t="str">
        <f>IFERROR(__xludf.DUMMYFUNCTION("""COMPUTED_VALUE"""),"")</f>
        <v/>
      </c>
      <c r="K182" s="51" t="str">
        <f>IFERROR(__xludf.DUMMYFUNCTION("""COMPUTED_VALUE"""),"")</f>
        <v/>
      </c>
      <c r="L182" s="51" t="s">
        <v>64</v>
      </c>
      <c r="M182" s="51" t="s">
        <v>64</v>
      </c>
      <c r="N182" s="51"/>
      <c r="O182" s="51"/>
      <c r="P182" s="51"/>
      <c r="Q182" s="51"/>
      <c r="R182" s="51"/>
      <c r="S182" s="51"/>
    </row>
    <row r="183">
      <c r="A183" s="51"/>
      <c r="B183" s="51"/>
      <c r="C183" s="51"/>
      <c r="D183" s="51"/>
      <c r="E183" s="51"/>
      <c r="F183" s="51"/>
      <c r="G183" s="51"/>
      <c r="H183" s="51"/>
      <c r="I183" s="51"/>
      <c r="J183" s="51" t="str">
        <f>IFERROR(__xludf.DUMMYFUNCTION("""COMPUTED_VALUE"""),"")</f>
        <v/>
      </c>
      <c r="K183" s="51" t="str">
        <f>IFERROR(__xludf.DUMMYFUNCTION("""COMPUTED_VALUE"""),"")</f>
        <v/>
      </c>
      <c r="L183" s="51" t="s">
        <v>64</v>
      </c>
      <c r="M183" s="51" t="s">
        <v>64</v>
      </c>
      <c r="N183" s="51"/>
      <c r="O183" s="51"/>
      <c r="P183" s="51"/>
      <c r="Q183" s="51"/>
      <c r="R183" s="51"/>
      <c r="S183" s="51"/>
    </row>
    <row r="184">
      <c r="A184" s="51"/>
      <c r="B184" s="51"/>
      <c r="C184" s="51"/>
      <c r="D184" s="51"/>
      <c r="E184" s="51"/>
      <c r="F184" s="51"/>
      <c r="G184" s="51"/>
      <c r="H184" s="51"/>
      <c r="I184" s="51"/>
      <c r="J184" s="51" t="str">
        <f>IFERROR(__xludf.DUMMYFUNCTION("""COMPUTED_VALUE"""),"")</f>
        <v/>
      </c>
      <c r="K184" s="51" t="str">
        <f>IFERROR(__xludf.DUMMYFUNCTION("""COMPUTED_VALUE"""),"")</f>
        <v/>
      </c>
      <c r="L184" s="51" t="s">
        <v>64</v>
      </c>
      <c r="M184" s="51" t="s">
        <v>64</v>
      </c>
      <c r="N184" s="51"/>
      <c r="O184" s="51"/>
      <c r="P184" s="51"/>
      <c r="Q184" s="51"/>
      <c r="R184" s="51"/>
      <c r="S184" s="51"/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 t="str">
        <f>IFERROR(__xludf.DUMMYFUNCTION("""COMPUTED_VALUE"""),"")</f>
        <v/>
      </c>
      <c r="K185" s="51" t="str">
        <f>IFERROR(__xludf.DUMMYFUNCTION("""COMPUTED_VALUE"""),"")</f>
        <v/>
      </c>
      <c r="L185" s="51" t="s">
        <v>64</v>
      </c>
      <c r="M185" s="51" t="s">
        <v>64</v>
      </c>
      <c r="N185" s="51"/>
      <c r="O185" s="51"/>
      <c r="P185" s="51"/>
      <c r="Q185" s="51"/>
      <c r="R185" s="51"/>
      <c r="S185" s="51"/>
    </row>
    <row r="186">
      <c r="A186" s="51"/>
      <c r="B186" s="51"/>
      <c r="C186" s="51"/>
      <c r="D186" s="51"/>
      <c r="E186" s="51"/>
      <c r="F186" s="51"/>
      <c r="G186" s="51"/>
      <c r="H186" s="51"/>
      <c r="I186" s="51"/>
      <c r="J186" s="51" t="str">
        <f>IFERROR(__xludf.DUMMYFUNCTION("""COMPUTED_VALUE"""),"")</f>
        <v/>
      </c>
      <c r="K186" s="51" t="str">
        <f>IFERROR(__xludf.DUMMYFUNCTION("""COMPUTED_VALUE"""),"")</f>
        <v/>
      </c>
      <c r="L186" s="51" t="s">
        <v>64</v>
      </c>
      <c r="M186" s="51" t="s">
        <v>64</v>
      </c>
      <c r="N186" s="51"/>
      <c r="O186" s="51"/>
      <c r="P186" s="51"/>
      <c r="Q186" s="51"/>
      <c r="R186" s="51"/>
      <c r="S186" s="51"/>
    </row>
    <row r="187">
      <c r="A187" s="51"/>
      <c r="B187" s="51"/>
      <c r="C187" s="51"/>
      <c r="D187" s="51"/>
      <c r="E187" s="51"/>
      <c r="F187" s="51"/>
      <c r="G187" s="51"/>
      <c r="H187" s="51"/>
      <c r="I187" s="51"/>
      <c r="J187" s="51" t="str">
        <f>IFERROR(__xludf.DUMMYFUNCTION("""COMPUTED_VALUE"""),"")</f>
        <v/>
      </c>
      <c r="K187" s="51" t="str">
        <f>IFERROR(__xludf.DUMMYFUNCTION("""COMPUTED_VALUE"""),"")</f>
        <v/>
      </c>
      <c r="L187" s="51" t="s">
        <v>64</v>
      </c>
      <c r="M187" s="51" t="s">
        <v>64</v>
      </c>
      <c r="N187" s="51"/>
      <c r="O187" s="51"/>
      <c r="P187" s="51"/>
      <c r="Q187" s="51"/>
      <c r="R187" s="51"/>
      <c r="S187" s="51"/>
    </row>
    <row r="188">
      <c r="A188" s="51"/>
      <c r="B188" s="51"/>
      <c r="C188" s="51"/>
      <c r="D188" s="51"/>
      <c r="E188" s="51"/>
      <c r="F188" s="51"/>
      <c r="G188" s="51"/>
      <c r="H188" s="51"/>
      <c r="I188" s="51"/>
      <c r="J188" s="51" t="str">
        <f>IFERROR(__xludf.DUMMYFUNCTION("""COMPUTED_VALUE"""),"")</f>
        <v/>
      </c>
      <c r="K188" s="51" t="str">
        <f>IFERROR(__xludf.DUMMYFUNCTION("""COMPUTED_VALUE"""),"")</f>
        <v/>
      </c>
      <c r="L188" s="51" t="s">
        <v>64</v>
      </c>
      <c r="M188" s="51" t="s">
        <v>64</v>
      </c>
      <c r="N188" s="51"/>
      <c r="O188" s="51"/>
      <c r="P188" s="51"/>
      <c r="Q188" s="51"/>
      <c r="R188" s="51"/>
      <c r="S188" s="51"/>
    </row>
    <row r="189">
      <c r="A189" s="51"/>
      <c r="B189" s="51"/>
      <c r="C189" s="51"/>
      <c r="D189" s="51"/>
      <c r="E189" s="51"/>
      <c r="F189" s="51"/>
      <c r="G189" s="51"/>
      <c r="H189" s="51"/>
      <c r="I189" s="51"/>
      <c r="J189" s="51" t="str">
        <f>IFERROR(__xludf.DUMMYFUNCTION("""COMPUTED_VALUE"""),"")</f>
        <v/>
      </c>
      <c r="K189" s="51" t="str">
        <f>IFERROR(__xludf.DUMMYFUNCTION("""COMPUTED_VALUE"""),"")</f>
        <v/>
      </c>
      <c r="L189" s="51" t="s">
        <v>64</v>
      </c>
      <c r="M189" s="51" t="s">
        <v>64</v>
      </c>
      <c r="N189" s="51"/>
      <c r="O189" s="51"/>
      <c r="P189" s="51"/>
      <c r="Q189" s="51"/>
      <c r="R189" s="51"/>
      <c r="S189" s="51"/>
    </row>
    <row r="190">
      <c r="A190" s="51"/>
      <c r="B190" s="51"/>
      <c r="C190" s="51"/>
      <c r="D190" s="51"/>
      <c r="E190" s="51"/>
      <c r="F190" s="51"/>
      <c r="G190" s="51"/>
      <c r="H190" s="51"/>
      <c r="I190" s="51"/>
      <c r="J190" s="51" t="str">
        <f>IFERROR(__xludf.DUMMYFUNCTION("""COMPUTED_VALUE"""),"")</f>
        <v/>
      </c>
      <c r="K190" s="51" t="str">
        <f>IFERROR(__xludf.DUMMYFUNCTION("""COMPUTED_VALUE"""),"")</f>
        <v/>
      </c>
      <c r="L190" s="51" t="s">
        <v>64</v>
      </c>
      <c r="M190" s="51" t="s">
        <v>64</v>
      </c>
      <c r="N190" s="51"/>
      <c r="O190" s="51"/>
      <c r="P190" s="51"/>
      <c r="Q190" s="51"/>
      <c r="R190" s="51"/>
      <c r="S190" s="51"/>
    </row>
    <row r="191">
      <c r="A191" s="51"/>
      <c r="B191" s="51"/>
      <c r="C191" s="51"/>
      <c r="D191" s="51"/>
      <c r="E191" s="51"/>
      <c r="F191" s="51"/>
      <c r="G191" s="51"/>
      <c r="H191" s="51"/>
      <c r="I191" s="51"/>
      <c r="J191" s="51" t="str">
        <f>IFERROR(__xludf.DUMMYFUNCTION("""COMPUTED_VALUE"""),"")</f>
        <v/>
      </c>
      <c r="K191" s="51" t="str">
        <f>IFERROR(__xludf.DUMMYFUNCTION("""COMPUTED_VALUE"""),"")</f>
        <v/>
      </c>
      <c r="L191" s="51" t="s">
        <v>64</v>
      </c>
      <c r="M191" s="51" t="s">
        <v>64</v>
      </c>
      <c r="N191" s="51"/>
      <c r="O191" s="51"/>
      <c r="P191" s="51"/>
      <c r="Q191" s="51"/>
      <c r="R191" s="51"/>
      <c r="S191" s="51"/>
    </row>
    <row r="192">
      <c r="A192" s="51"/>
      <c r="B192" s="51"/>
      <c r="C192" s="51"/>
      <c r="D192" s="51"/>
      <c r="E192" s="51"/>
      <c r="F192" s="51"/>
      <c r="G192" s="51"/>
      <c r="H192" s="51"/>
      <c r="I192" s="51"/>
      <c r="J192" s="51" t="str">
        <f>IFERROR(__xludf.DUMMYFUNCTION("""COMPUTED_VALUE"""),"")</f>
        <v/>
      </c>
      <c r="K192" s="51" t="str">
        <f>IFERROR(__xludf.DUMMYFUNCTION("""COMPUTED_VALUE"""),"")</f>
        <v/>
      </c>
      <c r="L192" s="51" t="s">
        <v>64</v>
      </c>
      <c r="M192" s="51" t="s">
        <v>64</v>
      </c>
      <c r="N192" s="51"/>
      <c r="O192" s="51"/>
      <c r="P192" s="51"/>
      <c r="Q192" s="51"/>
      <c r="R192" s="51"/>
      <c r="S192" s="51"/>
    </row>
    <row r="193">
      <c r="A193" s="51"/>
      <c r="B193" s="51"/>
      <c r="C193" s="51"/>
      <c r="D193" s="51"/>
      <c r="E193" s="51"/>
      <c r="F193" s="51"/>
      <c r="G193" s="51"/>
      <c r="H193" s="51"/>
      <c r="I193" s="51"/>
      <c r="J193" s="51" t="str">
        <f>IFERROR(__xludf.DUMMYFUNCTION("""COMPUTED_VALUE"""),"")</f>
        <v/>
      </c>
      <c r="K193" s="51" t="str">
        <f>IFERROR(__xludf.DUMMYFUNCTION("""COMPUTED_VALUE"""),"")</f>
        <v/>
      </c>
      <c r="L193" s="51" t="s">
        <v>64</v>
      </c>
      <c r="M193" s="51" t="s">
        <v>64</v>
      </c>
      <c r="N193" s="51"/>
      <c r="O193" s="51"/>
      <c r="P193" s="51"/>
      <c r="Q193" s="51"/>
      <c r="R193" s="51"/>
      <c r="S193" s="51"/>
    </row>
    <row r="194">
      <c r="A194" s="51"/>
      <c r="B194" s="51"/>
      <c r="C194" s="51"/>
      <c r="D194" s="51"/>
      <c r="E194" s="51"/>
      <c r="F194" s="51"/>
      <c r="G194" s="51"/>
      <c r="H194" s="51"/>
      <c r="I194" s="51"/>
      <c r="J194" s="51" t="str">
        <f>IFERROR(__xludf.DUMMYFUNCTION("""COMPUTED_VALUE"""),"")</f>
        <v/>
      </c>
      <c r="K194" s="51" t="str">
        <f>IFERROR(__xludf.DUMMYFUNCTION("""COMPUTED_VALUE"""),"")</f>
        <v/>
      </c>
      <c r="L194" s="51" t="s">
        <v>64</v>
      </c>
      <c r="M194" s="51" t="s">
        <v>64</v>
      </c>
      <c r="N194" s="51"/>
      <c r="O194" s="51"/>
      <c r="P194" s="51"/>
      <c r="Q194" s="51"/>
      <c r="R194" s="51"/>
      <c r="S194" s="51"/>
    </row>
    <row r="195">
      <c r="A195" s="51"/>
      <c r="B195" s="51"/>
      <c r="C195" s="51"/>
      <c r="D195" s="51"/>
      <c r="E195" s="51"/>
      <c r="F195" s="51"/>
      <c r="G195" s="51"/>
      <c r="H195" s="51"/>
      <c r="I195" s="51"/>
      <c r="J195" s="51" t="str">
        <f>IFERROR(__xludf.DUMMYFUNCTION("""COMPUTED_VALUE"""),"")</f>
        <v/>
      </c>
      <c r="K195" s="51" t="str">
        <f>IFERROR(__xludf.DUMMYFUNCTION("""COMPUTED_VALUE"""),"")</f>
        <v/>
      </c>
      <c r="L195" s="51" t="s">
        <v>64</v>
      </c>
      <c r="M195" s="51" t="s">
        <v>64</v>
      </c>
      <c r="N195" s="51"/>
      <c r="O195" s="51"/>
      <c r="P195" s="51"/>
      <c r="Q195" s="51"/>
      <c r="R195" s="51"/>
      <c r="S195" s="51"/>
    </row>
    <row r="196">
      <c r="A196" s="51"/>
      <c r="B196" s="51"/>
      <c r="C196" s="51"/>
      <c r="D196" s="51"/>
      <c r="E196" s="51"/>
      <c r="F196" s="51"/>
      <c r="G196" s="51"/>
      <c r="H196" s="51"/>
      <c r="I196" s="51"/>
      <c r="J196" s="51" t="str">
        <f>IFERROR(__xludf.DUMMYFUNCTION("""COMPUTED_VALUE"""),"")</f>
        <v/>
      </c>
      <c r="K196" s="51" t="str">
        <f>IFERROR(__xludf.DUMMYFUNCTION("""COMPUTED_VALUE"""),"")</f>
        <v/>
      </c>
      <c r="L196" s="51" t="s">
        <v>64</v>
      </c>
      <c r="M196" s="51" t="s">
        <v>64</v>
      </c>
      <c r="N196" s="51"/>
      <c r="O196" s="51"/>
      <c r="P196" s="51"/>
      <c r="Q196" s="51"/>
      <c r="R196" s="51"/>
      <c r="S196" s="51"/>
    </row>
    <row r="197">
      <c r="A197" s="51"/>
      <c r="B197" s="51"/>
      <c r="C197" s="51"/>
      <c r="D197" s="51"/>
      <c r="E197" s="51"/>
      <c r="F197" s="51"/>
      <c r="G197" s="51"/>
      <c r="H197" s="51"/>
      <c r="I197" s="51"/>
      <c r="J197" s="51" t="str">
        <f>IFERROR(__xludf.DUMMYFUNCTION("""COMPUTED_VALUE"""),"")</f>
        <v/>
      </c>
      <c r="K197" s="51" t="str">
        <f>IFERROR(__xludf.DUMMYFUNCTION("""COMPUTED_VALUE"""),"")</f>
        <v/>
      </c>
      <c r="L197" s="51" t="s">
        <v>64</v>
      </c>
      <c r="M197" s="51" t="s">
        <v>64</v>
      </c>
      <c r="N197" s="51"/>
      <c r="O197" s="51"/>
      <c r="P197" s="51"/>
      <c r="Q197" s="51"/>
      <c r="R197" s="51"/>
      <c r="S197" s="51"/>
    </row>
    <row r="198">
      <c r="A198" s="51"/>
      <c r="B198" s="51"/>
      <c r="C198" s="51"/>
      <c r="D198" s="51"/>
      <c r="E198" s="51"/>
      <c r="F198" s="51"/>
      <c r="G198" s="51"/>
      <c r="H198" s="51"/>
      <c r="I198" s="51"/>
      <c r="J198" s="51" t="str">
        <f>IFERROR(__xludf.DUMMYFUNCTION("""COMPUTED_VALUE"""),"")</f>
        <v/>
      </c>
      <c r="K198" s="51" t="str">
        <f>IFERROR(__xludf.DUMMYFUNCTION("""COMPUTED_VALUE"""),"")</f>
        <v/>
      </c>
      <c r="L198" s="51" t="s">
        <v>64</v>
      </c>
      <c r="M198" s="51" t="s">
        <v>64</v>
      </c>
      <c r="N198" s="51"/>
      <c r="O198" s="51"/>
      <c r="P198" s="51"/>
      <c r="Q198" s="51"/>
      <c r="R198" s="51"/>
      <c r="S198" s="51"/>
    </row>
    <row r="199">
      <c r="A199" s="51"/>
      <c r="B199" s="51"/>
      <c r="C199" s="51"/>
      <c r="D199" s="51"/>
      <c r="E199" s="51"/>
      <c r="F199" s="51"/>
      <c r="G199" s="51"/>
      <c r="H199" s="51"/>
      <c r="I199" s="51"/>
      <c r="J199" s="51" t="str">
        <f>IFERROR(__xludf.DUMMYFUNCTION("""COMPUTED_VALUE"""),"")</f>
        <v/>
      </c>
      <c r="K199" s="51" t="str">
        <f>IFERROR(__xludf.DUMMYFUNCTION("""COMPUTED_VALUE"""),"")</f>
        <v/>
      </c>
      <c r="L199" s="51" t="s">
        <v>64</v>
      </c>
      <c r="M199" s="51" t="s">
        <v>64</v>
      </c>
      <c r="N199" s="51"/>
      <c r="O199" s="51"/>
      <c r="P199" s="51"/>
      <c r="Q199" s="51"/>
      <c r="R199" s="51"/>
      <c r="S199" s="51"/>
    </row>
    <row r="200">
      <c r="A200" s="51"/>
      <c r="B200" s="51"/>
      <c r="C200" s="51"/>
      <c r="D200" s="51"/>
      <c r="E200" s="51"/>
      <c r="F200" s="51"/>
      <c r="G200" s="51"/>
      <c r="H200" s="51"/>
      <c r="I200" s="51"/>
      <c r="J200" s="51" t="str">
        <f>IFERROR(__xludf.DUMMYFUNCTION("""COMPUTED_VALUE"""),"")</f>
        <v/>
      </c>
      <c r="K200" s="51" t="str">
        <f>IFERROR(__xludf.DUMMYFUNCTION("""COMPUTED_VALUE"""),"")</f>
        <v/>
      </c>
      <c r="L200" s="51" t="s">
        <v>64</v>
      </c>
      <c r="M200" s="51" t="s">
        <v>64</v>
      </c>
      <c r="N200" s="51"/>
      <c r="O200" s="51"/>
      <c r="P200" s="51"/>
      <c r="Q200" s="51"/>
      <c r="R200" s="51"/>
      <c r="S200" s="51"/>
    </row>
    <row r="201">
      <c r="A201" s="51"/>
      <c r="B201" s="51"/>
      <c r="C201" s="51"/>
      <c r="D201" s="51"/>
      <c r="E201" s="51"/>
      <c r="F201" s="51"/>
      <c r="G201" s="51"/>
      <c r="H201" s="51"/>
      <c r="I201" s="51"/>
      <c r="J201" s="51" t="str">
        <f>IFERROR(__xludf.DUMMYFUNCTION("""COMPUTED_VALUE"""),"")</f>
        <v/>
      </c>
      <c r="K201" s="51" t="str">
        <f>IFERROR(__xludf.DUMMYFUNCTION("""COMPUTED_VALUE"""),"")</f>
        <v/>
      </c>
      <c r="L201" s="51" t="s">
        <v>64</v>
      </c>
      <c r="M201" s="51" t="s">
        <v>64</v>
      </c>
      <c r="N201" s="51"/>
      <c r="O201" s="51"/>
      <c r="P201" s="51"/>
      <c r="Q201" s="51"/>
      <c r="R201" s="51"/>
      <c r="S201" s="51"/>
    </row>
    <row r="202">
      <c r="A202" s="51"/>
      <c r="B202" s="51"/>
      <c r="C202" s="51"/>
      <c r="D202" s="51"/>
      <c r="E202" s="51"/>
      <c r="F202" s="51"/>
      <c r="G202" s="51"/>
      <c r="H202" s="51"/>
      <c r="I202" s="51"/>
      <c r="J202" s="51" t="str">
        <f>IFERROR(__xludf.DUMMYFUNCTION("""COMPUTED_VALUE"""),"")</f>
        <v/>
      </c>
      <c r="K202" s="51" t="str">
        <f>IFERROR(__xludf.DUMMYFUNCTION("""COMPUTED_VALUE"""),"")</f>
        <v/>
      </c>
      <c r="L202" s="51" t="s">
        <v>64</v>
      </c>
      <c r="M202" s="51" t="s">
        <v>64</v>
      </c>
      <c r="N202" s="51"/>
      <c r="O202" s="51"/>
      <c r="P202" s="51"/>
      <c r="Q202" s="51"/>
      <c r="R202" s="51"/>
      <c r="S202" s="51"/>
    </row>
    <row r="203">
      <c r="A203" s="51"/>
      <c r="B203" s="51"/>
      <c r="C203" s="51"/>
      <c r="D203" s="51"/>
      <c r="E203" s="51"/>
      <c r="F203" s="51"/>
      <c r="G203" s="51"/>
      <c r="H203" s="51"/>
      <c r="I203" s="51"/>
      <c r="J203" s="51" t="str">
        <f>IFERROR(__xludf.DUMMYFUNCTION("""COMPUTED_VALUE"""),"")</f>
        <v/>
      </c>
      <c r="K203" s="51" t="str">
        <f>IFERROR(__xludf.DUMMYFUNCTION("""COMPUTED_VALUE"""),"")</f>
        <v/>
      </c>
      <c r="L203" s="51" t="s">
        <v>64</v>
      </c>
      <c r="M203" s="51" t="s">
        <v>64</v>
      </c>
      <c r="N203" s="51"/>
      <c r="O203" s="51"/>
      <c r="P203" s="51"/>
      <c r="Q203" s="51"/>
      <c r="R203" s="51"/>
      <c r="S203" s="51"/>
    </row>
    <row r="204">
      <c r="A204" s="51"/>
      <c r="B204" s="51"/>
      <c r="C204" s="51"/>
      <c r="D204" s="51"/>
      <c r="E204" s="51"/>
      <c r="F204" s="51"/>
      <c r="G204" s="51"/>
      <c r="H204" s="51"/>
      <c r="I204" s="51"/>
      <c r="J204" s="51" t="str">
        <f>IFERROR(__xludf.DUMMYFUNCTION("""COMPUTED_VALUE"""),"")</f>
        <v/>
      </c>
      <c r="K204" s="51" t="str">
        <f>IFERROR(__xludf.DUMMYFUNCTION("""COMPUTED_VALUE"""),"")</f>
        <v/>
      </c>
      <c r="L204" s="51" t="s">
        <v>64</v>
      </c>
      <c r="M204" s="51" t="s">
        <v>64</v>
      </c>
      <c r="N204" s="51"/>
      <c r="O204" s="51"/>
      <c r="P204" s="51"/>
      <c r="Q204" s="51"/>
      <c r="R204" s="51"/>
      <c r="S204" s="51"/>
    </row>
    <row r="205">
      <c r="A205" s="51"/>
      <c r="B205" s="51"/>
      <c r="C205" s="51"/>
      <c r="D205" s="51"/>
      <c r="E205" s="51"/>
      <c r="F205" s="51"/>
      <c r="G205" s="51"/>
      <c r="H205" s="51"/>
      <c r="I205" s="51"/>
      <c r="J205" s="51" t="str">
        <f>IFERROR(__xludf.DUMMYFUNCTION("""COMPUTED_VALUE"""),"")</f>
        <v/>
      </c>
      <c r="K205" s="51" t="str">
        <f>IFERROR(__xludf.DUMMYFUNCTION("""COMPUTED_VALUE"""),"")</f>
        <v/>
      </c>
      <c r="L205" s="51" t="s">
        <v>64</v>
      </c>
      <c r="M205" s="51" t="s">
        <v>64</v>
      </c>
      <c r="N205" s="51"/>
      <c r="O205" s="51"/>
      <c r="P205" s="51"/>
      <c r="Q205" s="51"/>
      <c r="R205" s="51"/>
      <c r="S205" s="51"/>
    </row>
    <row r="206">
      <c r="A206" s="51"/>
      <c r="B206" s="51"/>
      <c r="C206" s="51"/>
      <c r="D206" s="51"/>
      <c r="E206" s="51"/>
      <c r="F206" s="51"/>
      <c r="G206" s="51"/>
      <c r="H206" s="51"/>
      <c r="I206" s="51"/>
      <c r="J206" s="51" t="str">
        <f>IFERROR(__xludf.DUMMYFUNCTION("""COMPUTED_VALUE"""),"")</f>
        <v/>
      </c>
      <c r="K206" s="51" t="str">
        <f>IFERROR(__xludf.DUMMYFUNCTION("""COMPUTED_VALUE"""),"")</f>
        <v/>
      </c>
      <c r="L206" s="51" t="s">
        <v>64</v>
      </c>
      <c r="M206" s="51" t="s">
        <v>64</v>
      </c>
      <c r="N206" s="51"/>
      <c r="O206" s="51"/>
      <c r="P206" s="51"/>
      <c r="Q206" s="51"/>
      <c r="R206" s="51"/>
      <c r="S206" s="51"/>
    </row>
    <row r="207">
      <c r="A207" s="51"/>
      <c r="B207" s="51"/>
      <c r="C207" s="51"/>
      <c r="D207" s="51"/>
      <c r="E207" s="51"/>
      <c r="F207" s="51"/>
      <c r="G207" s="51"/>
      <c r="H207" s="51"/>
      <c r="I207" s="51"/>
      <c r="J207" s="51" t="str">
        <f>IFERROR(__xludf.DUMMYFUNCTION("""COMPUTED_VALUE"""),"")</f>
        <v/>
      </c>
      <c r="K207" s="51" t="str">
        <f>IFERROR(__xludf.DUMMYFUNCTION("""COMPUTED_VALUE"""),"")</f>
        <v/>
      </c>
      <c r="L207" s="51" t="s">
        <v>64</v>
      </c>
      <c r="M207" s="51" t="s">
        <v>64</v>
      </c>
      <c r="N207" s="51"/>
      <c r="O207" s="51"/>
      <c r="P207" s="51"/>
      <c r="Q207" s="51"/>
      <c r="R207" s="51"/>
      <c r="S207" s="51"/>
    </row>
    <row r="208">
      <c r="A208" s="51"/>
      <c r="B208" s="51"/>
      <c r="C208" s="51"/>
      <c r="D208" s="51"/>
      <c r="E208" s="51"/>
      <c r="F208" s="51"/>
      <c r="G208" s="51"/>
      <c r="H208" s="51"/>
      <c r="I208" s="51"/>
      <c r="J208" s="51" t="str">
        <f>IFERROR(__xludf.DUMMYFUNCTION("""COMPUTED_VALUE"""),"")</f>
        <v/>
      </c>
      <c r="K208" s="51" t="str">
        <f>IFERROR(__xludf.DUMMYFUNCTION("""COMPUTED_VALUE"""),"")</f>
        <v/>
      </c>
      <c r="L208" s="51" t="s">
        <v>64</v>
      </c>
      <c r="M208" s="51" t="s">
        <v>64</v>
      </c>
      <c r="N208" s="51"/>
      <c r="O208" s="51"/>
      <c r="P208" s="51"/>
      <c r="Q208" s="51"/>
      <c r="R208" s="51"/>
      <c r="S208" s="51"/>
    </row>
    <row r="209">
      <c r="A209" s="51"/>
      <c r="B209" s="51"/>
      <c r="C209" s="51"/>
      <c r="D209" s="51"/>
      <c r="E209" s="51"/>
      <c r="F209" s="51"/>
      <c r="G209" s="51"/>
      <c r="H209" s="51"/>
      <c r="I209" s="51"/>
      <c r="J209" s="51" t="str">
        <f>IFERROR(__xludf.DUMMYFUNCTION("""COMPUTED_VALUE"""),"")</f>
        <v/>
      </c>
      <c r="K209" s="51" t="str">
        <f>IFERROR(__xludf.DUMMYFUNCTION("""COMPUTED_VALUE"""),"")</f>
        <v/>
      </c>
      <c r="L209" s="51" t="s">
        <v>64</v>
      </c>
      <c r="M209" s="51" t="s">
        <v>64</v>
      </c>
      <c r="N209" s="51"/>
      <c r="O209" s="51"/>
      <c r="P209" s="51"/>
      <c r="Q209" s="51"/>
      <c r="R209" s="51"/>
      <c r="S209" s="51"/>
    </row>
    <row r="210">
      <c r="A210" s="51"/>
      <c r="B210" s="51"/>
      <c r="C210" s="51"/>
      <c r="D210" s="51"/>
      <c r="E210" s="51"/>
      <c r="F210" s="51"/>
      <c r="G210" s="51"/>
      <c r="H210" s="51"/>
      <c r="I210" s="51"/>
      <c r="J210" s="51" t="str">
        <f>IFERROR(__xludf.DUMMYFUNCTION("""COMPUTED_VALUE"""),"")</f>
        <v/>
      </c>
      <c r="K210" s="51" t="str">
        <f>IFERROR(__xludf.DUMMYFUNCTION("""COMPUTED_VALUE"""),"")</f>
        <v/>
      </c>
      <c r="L210" s="51" t="s">
        <v>64</v>
      </c>
      <c r="M210" s="51" t="s">
        <v>64</v>
      </c>
      <c r="N210" s="51"/>
      <c r="O210" s="51"/>
      <c r="P210" s="51"/>
      <c r="Q210" s="51"/>
      <c r="R210" s="51"/>
      <c r="S210" s="51"/>
    </row>
    <row r="211">
      <c r="A211" s="51"/>
      <c r="B211" s="51"/>
      <c r="C211" s="51"/>
      <c r="D211" s="51"/>
      <c r="E211" s="51"/>
      <c r="F211" s="51"/>
      <c r="G211" s="51"/>
      <c r="H211" s="51"/>
      <c r="I211" s="51"/>
      <c r="J211" s="51" t="str">
        <f>IFERROR(__xludf.DUMMYFUNCTION("""COMPUTED_VALUE"""),"")</f>
        <v/>
      </c>
      <c r="K211" s="51" t="str">
        <f>IFERROR(__xludf.DUMMYFUNCTION("""COMPUTED_VALUE"""),"")</f>
        <v/>
      </c>
      <c r="L211" s="51" t="s">
        <v>64</v>
      </c>
      <c r="M211" s="51" t="s">
        <v>64</v>
      </c>
      <c r="N211" s="51"/>
      <c r="O211" s="51"/>
      <c r="P211" s="51"/>
      <c r="Q211" s="51"/>
      <c r="R211" s="51"/>
      <c r="S211" s="51"/>
    </row>
    <row r="212">
      <c r="A212" s="51"/>
      <c r="B212" s="51"/>
      <c r="C212" s="51"/>
      <c r="D212" s="51"/>
      <c r="E212" s="51"/>
      <c r="F212" s="51"/>
      <c r="G212" s="51"/>
      <c r="H212" s="51"/>
      <c r="I212" s="51"/>
      <c r="J212" s="51" t="str">
        <f>IFERROR(__xludf.DUMMYFUNCTION("""COMPUTED_VALUE"""),"")</f>
        <v/>
      </c>
      <c r="K212" s="51" t="str">
        <f>IFERROR(__xludf.DUMMYFUNCTION("""COMPUTED_VALUE"""),"")</f>
        <v/>
      </c>
      <c r="L212" s="51" t="s">
        <v>64</v>
      </c>
      <c r="M212" s="51" t="s">
        <v>64</v>
      </c>
      <c r="N212" s="51"/>
      <c r="O212" s="51"/>
      <c r="P212" s="51"/>
      <c r="Q212" s="51"/>
      <c r="R212" s="51"/>
      <c r="S212" s="51"/>
    </row>
    <row r="213">
      <c r="A213" s="51"/>
      <c r="B213" s="51"/>
      <c r="C213" s="51"/>
      <c r="D213" s="51"/>
      <c r="E213" s="51"/>
      <c r="F213" s="51"/>
      <c r="G213" s="51"/>
      <c r="H213" s="51"/>
      <c r="I213" s="51"/>
      <c r="J213" s="51" t="str">
        <f>IFERROR(__xludf.DUMMYFUNCTION("""COMPUTED_VALUE"""),"")</f>
        <v/>
      </c>
      <c r="K213" s="51" t="str">
        <f>IFERROR(__xludf.DUMMYFUNCTION("""COMPUTED_VALUE"""),"")</f>
        <v/>
      </c>
      <c r="L213" s="51" t="s">
        <v>64</v>
      </c>
      <c r="M213" s="51" t="s">
        <v>64</v>
      </c>
      <c r="N213" s="51"/>
      <c r="O213" s="51"/>
      <c r="P213" s="51"/>
      <c r="Q213" s="51"/>
      <c r="R213" s="51"/>
      <c r="S213" s="51"/>
    </row>
    <row r="214">
      <c r="A214" s="51"/>
      <c r="B214" s="51"/>
      <c r="C214" s="51"/>
      <c r="D214" s="51"/>
      <c r="E214" s="51"/>
      <c r="F214" s="51"/>
      <c r="G214" s="51"/>
      <c r="H214" s="51"/>
      <c r="I214" s="51"/>
      <c r="J214" s="51" t="str">
        <f>IFERROR(__xludf.DUMMYFUNCTION("""COMPUTED_VALUE"""),"")</f>
        <v/>
      </c>
      <c r="K214" s="51" t="str">
        <f>IFERROR(__xludf.DUMMYFUNCTION("""COMPUTED_VALUE"""),"")</f>
        <v/>
      </c>
      <c r="L214" s="51" t="s">
        <v>64</v>
      </c>
      <c r="M214" s="51" t="s">
        <v>64</v>
      </c>
      <c r="N214" s="51"/>
      <c r="O214" s="51"/>
      <c r="P214" s="51"/>
      <c r="Q214" s="51"/>
      <c r="R214" s="51"/>
      <c r="S214" s="51"/>
    </row>
    <row r="215">
      <c r="A215" s="51"/>
      <c r="B215" s="51"/>
      <c r="C215" s="51"/>
      <c r="D215" s="51"/>
      <c r="E215" s="51"/>
      <c r="F215" s="51"/>
      <c r="G215" s="51"/>
      <c r="H215" s="51"/>
      <c r="I215" s="51"/>
      <c r="J215" s="51" t="str">
        <f>IFERROR(__xludf.DUMMYFUNCTION("""COMPUTED_VALUE"""),"")</f>
        <v/>
      </c>
      <c r="K215" s="51" t="str">
        <f>IFERROR(__xludf.DUMMYFUNCTION("""COMPUTED_VALUE"""),"")</f>
        <v/>
      </c>
      <c r="L215" s="51" t="s">
        <v>64</v>
      </c>
      <c r="M215" s="51" t="s">
        <v>64</v>
      </c>
      <c r="N215" s="51"/>
      <c r="O215" s="51"/>
      <c r="P215" s="51"/>
      <c r="Q215" s="51"/>
      <c r="R215" s="51"/>
      <c r="S215" s="51"/>
    </row>
    <row r="216">
      <c r="A216" s="51"/>
      <c r="B216" s="51"/>
      <c r="C216" s="51"/>
      <c r="D216" s="51"/>
      <c r="E216" s="51"/>
      <c r="F216" s="51"/>
      <c r="G216" s="51"/>
      <c r="H216" s="51"/>
      <c r="I216" s="51"/>
      <c r="J216" s="51" t="str">
        <f>IFERROR(__xludf.DUMMYFUNCTION("""COMPUTED_VALUE"""),"")</f>
        <v/>
      </c>
      <c r="K216" s="51" t="str">
        <f>IFERROR(__xludf.DUMMYFUNCTION("""COMPUTED_VALUE"""),"")</f>
        <v/>
      </c>
      <c r="L216" s="51" t="s">
        <v>64</v>
      </c>
      <c r="M216" s="51" t="s">
        <v>64</v>
      </c>
      <c r="N216" s="51"/>
      <c r="O216" s="51"/>
      <c r="P216" s="51"/>
      <c r="Q216" s="51"/>
      <c r="R216" s="51"/>
      <c r="S216" s="51"/>
    </row>
    <row r="217">
      <c r="A217" s="51"/>
      <c r="B217" s="51"/>
      <c r="C217" s="51"/>
      <c r="D217" s="51"/>
      <c r="E217" s="51"/>
      <c r="F217" s="51"/>
      <c r="G217" s="51"/>
      <c r="H217" s="51"/>
      <c r="I217" s="51"/>
      <c r="J217" s="51" t="str">
        <f>IFERROR(__xludf.DUMMYFUNCTION("""COMPUTED_VALUE"""),"")</f>
        <v/>
      </c>
      <c r="K217" s="51" t="str">
        <f>IFERROR(__xludf.DUMMYFUNCTION("""COMPUTED_VALUE"""),"")</f>
        <v/>
      </c>
      <c r="L217" s="51" t="s">
        <v>64</v>
      </c>
      <c r="M217" s="51" t="s">
        <v>64</v>
      </c>
      <c r="N217" s="51"/>
      <c r="O217" s="51"/>
      <c r="P217" s="51"/>
      <c r="Q217" s="51"/>
      <c r="R217" s="51"/>
      <c r="S217" s="51"/>
    </row>
    <row r="218">
      <c r="A218" s="51"/>
      <c r="B218" s="51"/>
      <c r="C218" s="51"/>
      <c r="D218" s="51"/>
      <c r="E218" s="51"/>
      <c r="F218" s="51"/>
      <c r="G218" s="51"/>
      <c r="H218" s="51"/>
      <c r="I218" s="51"/>
      <c r="J218" s="51" t="str">
        <f>IFERROR(__xludf.DUMMYFUNCTION("""COMPUTED_VALUE"""),"")</f>
        <v/>
      </c>
      <c r="K218" s="51" t="str">
        <f>IFERROR(__xludf.DUMMYFUNCTION("""COMPUTED_VALUE"""),"")</f>
        <v/>
      </c>
      <c r="L218" s="51" t="s">
        <v>64</v>
      </c>
      <c r="M218" s="51" t="s">
        <v>64</v>
      </c>
      <c r="N218" s="51"/>
      <c r="O218" s="51"/>
      <c r="P218" s="51"/>
      <c r="Q218" s="51"/>
      <c r="R218" s="51"/>
      <c r="S218" s="51"/>
    </row>
    <row r="219">
      <c r="A219" s="51"/>
      <c r="B219" s="51"/>
      <c r="C219" s="51"/>
      <c r="D219" s="51"/>
      <c r="E219" s="51"/>
      <c r="F219" s="51"/>
      <c r="G219" s="51"/>
      <c r="H219" s="51"/>
      <c r="I219" s="51"/>
      <c r="J219" s="51" t="str">
        <f>IFERROR(__xludf.DUMMYFUNCTION("""COMPUTED_VALUE"""),"")</f>
        <v/>
      </c>
      <c r="K219" s="51" t="str">
        <f>IFERROR(__xludf.DUMMYFUNCTION("""COMPUTED_VALUE"""),"")</f>
        <v/>
      </c>
      <c r="L219" s="51" t="s">
        <v>64</v>
      </c>
      <c r="M219" s="51" t="s">
        <v>64</v>
      </c>
      <c r="N219" s="51"/>
      <c r="O219" s="51"/>
      <c r="P219" s="51"/>
      <c r="Q219" s="51"/>
      <c r="R219" s="51"/>
      <c r="S219" s="51"/>
    </row>
    <row r="220">
      <c r="A220" s="51"/>
      <c r="B220" s="51"/>
      <c r="C220" s="51"/>
      <c r="D220" s="51"/>
      <c r="E220" s="51"/>
      <c r="F220" s="51"/>
      <c r="G220" s="51"/>
      <c r="H220" s="51"/>
      <c r="I220" s="51"/>
      <c r="J220" s="51" t="str">
        <f>IFERROR(__xludf.DUMMYFUNCTION("""COMPUTED_VALUE"""),"")</f>
        <v/>
      </c>
      <c r="K220" s="51" t="str">
        <f>IFERROR(__xludf.DUMMYFUNCTION("""COMPUTED_VALUE"""),"")</f>
        <v/>
      </c>
      <c r="L220" s="51" t="s">
        <v>64</v>
      </c>
      <c r="M220" s="51" t="s">
        <v>64</v>
      </c>
      <c r="N220" s="51"/>
      <c r="O220" s="51"/>
      <c r="P220" s="51"/>
      <c r="Q220" s="51"/>
      <c r="R220" s="51"/>
      <c r="S220" s="51"/>
    </row>
    <row r="221">
      <c r="A221" s="51"/>
      <c r="B221" s="51"/>
      <c r="C221" s="51"/>
      <c r="D221" s="51"/>
      <c r="E221" s="51"/>
      <c r="F221" s="51"/>
      <c r="G221" s="51"/>
      <c r="H221" s="51"/>
      <c r="I221" s="51"/>
      <c r="J221" s="51" t="str">
        <f>IFERROR(__xludf.DUMMYFUNCTION("""COMPUTED_VALUE"""),"")</f>
        <v/>
      </c>
      <c r="K221" s="51" t="str">
        <f>IFERROR(__xludf.DUMMYFUNCTION("""COMPUTED_VALUE"""),"")</f>
        <v/>
      </c>
      <c r="L221" s="51" t="s">
        <v>64</v>
      </c>
      <c r="M221" s="51" t="s">
        <v>64</v>
      </c>
      <c r="N221" s="51"/>
      <c r="O221" s="51"/>
      <c r="P221" s="51"/>
      <c r="Q221" s="51"/>
      <c r="R221" s="51"/>
      <c r="S221" s="51"/>
    </row>
    <row r="222">
      <c r="A222" s="51"/>
      <c r="B222" s="51"/>
      <c r="C222" s="51"/>
      <c r="D222" s="51"/>
      <c r="E222" s="51"/>
      <c r="F222" s="51"/>
      <c r="G222" s="51"/>
      <c r="H222" s="51"/>
      <c r="I222" s="51"/>
      <c r="J222" s="51" t="str">
        <f>IFERROR(__xludf.DUMMYFUNCTION("""COMPUTED_VALUE"""),"")</f>
        <v/>
      </c>
      <c r="K222" s="51" t="str">
        <f>IFERROR(__xludf.DUMMYFUNCTION("""COMPUTED_VALUE"""),"")</f>
        <v/>
      </c>
      <c r="L222" s="51" t="s">
        <v>64</v>
      </c>
      <c r="M222" s="51" t="s">
        <v>64</v>
      </c>
      <c r="N222" s="51"/>
      <c r="O222" s="51"/>
      <c r="P222" s="51"/>
      <c r="Q222" s="51"/>
      <c r="R222" s="51"/>
      <c r="S222" s="51"/>
    </row>
    <row r="223">
      <c r="A223" s="51"/>
      <c r="B223" s="51"/>
      <c r="C223" s="51"/>
      <c r="D223" s="51"/>
      <c r="E223" s="51"/>
      <c r="F223" s="51"/>
      <c r="G223" s="51"/>
      <c r="H223" s="51"/>
      <c r="I223" s="51"/>
      <c r="J223" s="51" t="str">
        <f>IFERROR(__xludf.DUMMYFUNCTION("""COMPUTED_VALUE"""),"")</f>
        <v/>
      </c>
      <c r="K223" s="51" t="str">
        <f>IFERROR(__xludf.DUMMYFUNCTION("""COMPUTED_VALUE"""),"")</f>
        <v/>
      </c>
      <c r="L223" s="51" t="s">
        <v>64</v>
      </c>
      <c r="M223" s="51" t="s">
        <v>64</v>
      </c>
      <c r="N223" s="51"/>
      <c r="O223" s="51"/>
      <c r="P223" s="51"/>
      <c r="Q223" s="51"/>
      <c r="R223" s="51"/>
      <c r="S223" s="51"/>
    </row>
    <row r="224">
      <c r="A224" s="51"/>
      <c r="B224" s="51"/>
      <c r="C224" s="51"/>
      <c r="D224" s="51"/>
      <c r="E224" s="51"/>
      <c r="F224" s="51"/>
      <c r="G224" s="51"/>
      <c r="H224" s="51"/>
      <c r="I224" s="51"/>
      <c r="J224" s="51" t="str">
        <f>IFERROR(__xludf.DUMMYFUNCTION("""COMPUTED_VALUE"""),"")</f>
        <v/>
      </c>
      <c r="K224" s="51" t="str">
        <f>IFERROR(__xludf.DUMMYFUNCTION("""COMPUTED_VALUE"""),"")</f>
        <v/>
      </c>
      <c r="L224" s="51" t="s">
        <v>64</v>
      </c>
      <c r="M224" s="51" t="s">
        <v>64</v>
      </c>
      <c r="N224" s="51"/>
      <c r="O224" s="51"/>
      <c r="P224" s="51"/>
      <c r="Q224" s="51"/>
      <c r="R224" s="51"/>
      <c r="S224" s="51"/>
    </row>
    <row r="225">
      <c r="A225" s="51"/>
      <c r="B225" s="51"/>
      <c r="C225" s="51"/>
      <c r="D225" s="51"/>
      <c r="E225" s="51"/>
      <c r="F225" s="51"/>
      <c r="G225" s="51"/>
      <c r="H225" s="51"/>
      <c r="I225" s="51"/>
      <c r="J225" s="51" t="str">
        <f>IFERROR(__xludf.DUMMYFUNCTION("""COMPUTED_VALUE"""),"")</f>
        <v/>
      </c>
      <c r="K225" s="51" t="str">
        <f>IFERROR(__xludf.DUMMYFUNCTION("""COMPUTED_VALUE"""),"")</f>
        <v/>
      </c>
      <c r="L225" s="51" t="s">
        <v>64</v>
      </c>
      <c r="M225" s="51" t="s">
        <v>64</v>
      </c>
      <c r="N225" s="51"/>
      <c r="O225" s="51"/>
      <c r="P225" s="51"/>
      <c r="Q225" s="51"/>
      <c r="R225" s="51"/>
      <c r="S225" s="51"/>
    </row>
    <row r="226">
      <c r="A226" s="51"/>
      <c r="B226" s="51"/>
      <c r="C226" s="51"/>
      <c r="D226" s="51"/>
      <c r="E226" s="51"/>
      <c r="F226" s="51"/>
      <c r="G226" s="51"/>
      <c r="H226" s="51"/>
      <c r="I226" s="51"/>
      <c r="J226" s="51" t="str">
        <f>IFERROR(__xludf.DUMMYFUNCTION("""COMPUTED_VALUE"""),"")</f>
        <v/>
      </c>
      <c r="K226" s="51" t="str">
        <f>IFERROR(__xludf.DUMMYFUNCTION("""COMPUTED_VALUE"""),"")</f>
        <v/>
      </c>
      <c r="L226" s="51" t="s">
        <v>64</v>
      </c>
      <c r="M226" s="51" t="s">
        <v>64</v>
      </c>
      <c r="N226" s="51"/>
      <c r="O226" s="51"/>
      <c r="P226" s="51"/>
      <c r="Q226" s="51"/>
      <c r="R226" s="51"/>
      <c r="S226" s="51"/>
    </row>
    <row r="227">
      <c r="A227" s="51"/>
      <c r="B227" s="51"/>
      <c r="C227" s="51"/>
      <c r="D227" s="51"/>
      <c r="E227" s="51"/>
      <c r="F227" s="51"/>
      <c r="G227" s="51"/>
      <c r="H227" s="51"/>
      <c r="I227" s="51"/>
      <c r="J227" s="51" t="str">
        <f>IFERROR(__xludf.DUMMYFUNCTION("""COMPUTED_VALUE"""),"")</f>
        <v/>
      </c>
      <c r="K227" s="51" t="str">
        <f>IFERROR(__xludf.DUMMYFUNCTION("""COMPUTED_VALUE"""),"")</f>
        <v/>
      </c>
      <c r="L227" s="51" t="s">
        <v>64</v>
      </c>
      <c r="M227" s="51" t="s">
        <v>64</v>
      </c>
      <c r="N227" s="51"/>
      <c r="O227" s="51"/>
      <c r="P227" s="51"/>
      <c r="Q227" s="51"/>
      <c r="R227" s="51"/>
      <c r="S227" s="51"/>
    </row>
    <row r="228">
      <c r="A228" s="51"/>
      <c r="B228" s="51"/>
      <c r="C228" s="51"/>
      <c r="D228" s="51"/>
      <c r="E228" s="51"/>
      <c r="F228" s="51"/>
      <c r="G228" s="51"/>
      <c r="H228" s="51"/>
      <c r="I228" s="51"/>
      <c r="J228" s="51" t="str">
        <f>IFERROR(__xludf.DUMMYFUNCTION("""COMPUTED_VALUE"""),"")</f>
        <v/>
      </c>
      <c r="K228" s="51" t="str">
        <f>IFERROR(__xludf.DUMMYFUNCTION("""COMPUTED_VALUE"""),"")</f>
        <v/>
      </c>
      <c r="L228" s="51" t="s">
        <v>64</v>
      </c>
      <c r="M228" s="51" t="s">
        <v>64</v>
      </c>
      <c r="N228" s="51"/>
      <c r="O228" s="51"/>
      <c r="P228" s="51"/>
      <c r="Q228" s="51"/>
      <c r="R228" s="51"/>
      <c r="S228" s="51"/>
    </row>
    <row r="229">
      <c r="A229" s="51"/>
      <c r="B229" s="51"/>
      <c r="C229" s="51"/>
      <c r="D229" s="51"/>
      <c r="E229" s="51"/>
      <c r="F229" s="51"/>
      <c r="G229" s="51"/>
      <c r="H229" s="51"/>
      <c r="I229" s="51"/>
      <c r="J229" s="51" t="str">
        <f>IFERROR(__xludf.DUMMYFUNCTION("""COMPUTED_VALUE"""),"")</f>
        <v/>
      </c>
      <c r="K229" s="51" t="str">
        <f>IFERROR(__xludf.DUMMYFUNCTION("""COMPUTED_VALUE"""),"")</f>
        <v/>
      </c>
      <c r="L229" s="51" t="s">
        <v>64</v>
      </c>
      <c r="M229" s="51" t="s">
        <v>64</v>
      </c>
      <c r="N229" s="51"/>
      <c r="O229" s="51"/>
      <c r="P229" s="51"/>
      <c r="Q229" s="51"/>
      <c r="R229" s="51"/>
      <c r="S229" s="51"/>
    </row>
    <row r="230">
      <c r="A230" s="51"/>
      <c r="B230" s="51"/>
      <c r="C230" s="51"/>
      <c r="D230" s="51"/>
      <c r="E230" s="51"/>
      <c r="F230" s="51"/>
      <c r="G230" s="51"/>
      <c r="H230" s="51"/>
      <c r="I230" s="51"/>
      <c r="J230" s="51" t="str">
        <f>IFERROR(__xludf.DUMMYFUNCTION("""COMPUTED_VALUE"""),"")</f>
        <v/>
      </c>
      <c r="K230" s="51" t="str">
        <f>IFERROR(__xludf.DUMMYFUNCTION("""COMPUTED_VALUE"""),"")</f>
        <v/>
      </c>
      <c r="L230" s="51" t="s">
        <v>64</v>
      </c>
      <c r="M230" s="51" t="s">
        <v>64</v>
      </c>
      <c r="N230" s="51"/>
      <c r="O230" s="51"/>
      <c r="P230" s="51"/>
      <c r="Q230" s="51"/>
      <c r="R230" s="51"/>
      <c r="S230" s="51"/>
    </row>
    <row r="231">
      <c r="A231" s="51"/>
      <c r="B231" s="51"/>
      <c r="C231" s="51"/>
      <c r="D231" s="51"/>
      <c r="E231" s="51"/>
      <c r="F231" s="51"/>
      <c r="G231" s="51"/>
      <c r="H231" s="51"/>
      <c r="I231" s="51"/>
      <c r="J231" s="51" t="str">
        <f>IFERROR(__xludf.DUMMYFUNCTION("""COMPUTED_VALUE"""),"")</f>
        <v/>
      </c>
      <c r="K231" s="51" t="str">
        <f>IFERROR(__xludf.DUMMYFUNCTION("""COMPUTED_VALUE"""),"")</f>
        <v/>
      </c>
      <c r="L231" s="51" t="s">
        <v>64</v>
      </c>
      <c r="M231" s="51" t="s">
        <v>64</v>
      </c>
      <c r="N231" s="51"/>
      <c r="O231" s="51"/>
      <c r="P231" s="51"/>
      <c r="Q231" s="51"/>
      <c r="R231" s="51"/>
      <c r="S231" s="51"/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 t="str">
        <f>IFERROR(__xludf.DUMMYFUNCTION("""COMPUTED_VALUE"""),"")</f>
        <v/>
      </c>
      <c r="K232" s="51" t="str">
        <f>IFERROR(__xludf.DUMMYFUNCTION("""COMPUTED_VALUE"""),"")</f>
        <v/>
      </c>
      <c r="L232" s="51" t="s">
        <v>64</v>
      </c>
      <c r="M232" s="51" t="s">
        <v>64</v>
      </c>
      <c r="N232" s="51"/>
      <c r="O232" s="51"/>
      <c r="P232" s="51"/>
      <c r="Q232" s="51"/>
      <c r="R232" s="51"/>
      <c r="S232" s="51"/>
    </row>
    <row r="233">
      <c r="A233" s="51"/>
      <c r="B233" s="51"/>
      <c r="C233" s="51"/>
      <c r="D233" s="51"/>
      <c r="E233" s="51"/>
      <c r="F233" s="51"/>
      <c r="G233" s="51"/>
      <c r="H233" s="51"/>
      <c r="I233" s="51"/>
      <c r="J233" s="51" t="str">
        <f>IFERROR(__xludf.DUMMYFUNCTION("""COMPUTED_VALUE"""),"")</f>
        <v/>
      </c>
      <c r="K233" s="51" t="str">
        <f>IFERROR(__xludf.DUMMYFUNCTION("""COMPUTED_VALUE"""),"")</f>
        <v/>
      </c>
      <c r="L233" s="51" t="s">
        <v>64</v>
      </c>
      <c r="M233" s="51" t="s">
        <v>64</v>
      </c>
      <c r="N233" s="51"/>
      <c r="O233" s="51"/>
      <c r="P233" s="51"/>
      <c r="Q233" s="51"/>
      <c r="R233" s="51"/>
      <c r="S233" s="51"/>
    </row>
    <row r="234">
      <c r="A234" s="51"/>
      <c r="B234" s="51"/>
      <c r="C234" s="51"/>
      <c r="D234" s="51"/>
      <c r="E234" s="51"/>
      <c r="F234" s="51"/>
      <c r="G234" s="51"/>
      <c r="H234" s="51"/>
      <c r="I234" s="51"/>
      <c r="J234" s="51" t="str">
        <f>IFERROR(__xludf.DUMMYFUNCTION("""COMPUTED_VALUE"""),"")</f>
        <v/>
      </c>
      <c r="K234" s="51" t="str">
        <f>IFERROR(__xludf.DUMMYFUNCTION("""COMPUTED_VALUE"""),"")</f>
        <v/>
      </c>
      <c r="L234" s="51" t="s">
        <v>64</v>
      </c>
      <c r="M234" s="51" t="s">
        <v>64</v>
      </c>
      <c r="N234" s="51"/>
      <c r="O234" s="51"/>
      <c r="P234" s="51"/>
      <c r="Q234" s="51"/>
      <c r="R234" s="51"/>
      <c r="S234" s="51"/>
    </row>
    <row r="235">
      <c r="A235" s="51"/>
      <c r="B235" s="51"/>
      <c r="C235" s="51"/>
      <c r="D235" s="51"/>
      <c r="E235" s="51"/>
      <c r="F235" s="51"/>
      <c r="G235" s="51"/>
      <c r="H235" s="51"/>
      <c r="I235" s="51"/>
      <c r="J235" s="51" t="str">
        <f>IFERROR(__xludf.DUMMYFUNCTION("""COMPUTED_VALUE"""),"")</f>
        <v/>
      </c>
      <c r="K235" s="51" t="str">
        <f>IFERROR(__xludf.DUMMYFUNCTION("""COMPUTED_VALUE"""),"")</f>
        <v/>
      </c>
      <c r="L235" s="51" t="s">
        <v>64</v>
      </c>
      <c r="M235" s="51" t="s">
        <v>64</v>
      </c>
      <c r="N235" s="51"/>
      <c r="O235" s="51"/>
      <c r="P235" s="51"/>
      <c r="Q235" s="51"/>
      <c r="R235" s="51"/>
      <c r="S235" s="51"/>
    </row>
    <row r="236">
      <c r="A236" s="51"/>
      <c r="B236" s="51"/>
      <c r="C236" s="51"/>
      <c r="D236" s="51"/>
      <c r="E236" s="51"/>
      <c r="F236" s="51"/>
      <c r="G236" s="51"/>
      <c r="H236" s="51"/>
      <c r="I236" s="51"/>
      <c r="J236" s="51" t="str">
        <f>IFERROR(__xludf.DUMMYFUNCTION("""COMPUTED_VALUE"""),"")</f>
        <v/>
      </c>
      <c r="K236" s="51" t="str">
        <f>IFERROR(__xludf.DUMMYFUNCTION("""COMPUTED_VALUE"""),"")</f>
        <v/>
      </c>
      <c r="L236" s="51" t="s">
        <v>64</v>
      </c>
      <c r="M236" s="51" t="s">
        <v>64</v>
      </c>
      <c r="N236" s="51"/>
      <c r="O236" s="51"/>
      <c r="P236" s="51"/>
      <c r="Q236" s="51"/>
      <c r="R236" s="51"/>
      <c r="S236" s="51"/>
    </row>
    <row r="237">
      <c r="A237" s="51"/>
      <c r="B237" s="51"/>
      <c r="C237" s="51"/>
      <c r="D237" s="51"/>
      <c r="E237" s="51"/>
      <c r="F237" s="51"/>
      <c r="G237" s="51"/>
      <c r="H237" s="51"/>
      <c r="I237" s="51"/>
      <c r="J237" s="51" t="str">
        <f>IFERROR(__xludf.DUMMYFUNCTION("""COMPUTED_VALUE"""),"")</f>
        <v/>
      </c>
      <c r="K237" s="51" t="str">
        <f>IFERROR(__xludf.DUMMYFUNCTION("""COMPUTED_VALUE"""),"")</f>
        <v/>
      </c>
      <c r="L237" s="51" t="s">
        <v>64</v>
      </c>
      <c r="M237" s="51" t="s">
        <v>64</v>
      </c>
      <c r="N237" s="51"/>
      <c r="O237" s="51"/>
      <c r="P237" s="51"/>
      <c r="Q237" s="51"/>
      <c r="R237" s="51"/>
      <c r="S237" s="51"/>
    </row>
    <row r="238">
      <c r="A238" s="51"/>
      <c r="B238" s="51"/>
      <c r="C238" s="51"/>
      <c r="D238" s="51"/>
      <c r="E238" s="51"/>
      <c r="F238" s="51"/>
      <c r="G238" s="51"/>
      <c r="H238" s="51"/>
      <c r="I238" s="51"/>
      <c r="J238" s="51" t="str">
        <f>IFERROR(__xludf.DUMMYFUNCTION("""COMPUTED_VALUE"""),"")</f>
        <v/>
      </c>
      <c r="K238" s="51" t="str">
        <f>IFERROR(__xludf.DUMMYFUNCTION("""COMPUTED_VALUE"""),"")</f>
        <v/>
      </c>
      <c r="L238" s="51" t="s">
        <v>64</v>
      </c>
      <c r="M238" s="51" t="s">
        <v>64</v>
      </c>
      <c r="N238" s="51"/>
      <c r="O238" s="51"/>
      <c r="P238" s="51"/>
      <c r="Q238" s="51"/>
      <c r="R238" s="51"/>
      <c r="S238" s="51"/>
    </row>
    <row r="239">
      <c r="A239" s="51"/>
      <c r="B239" s="51"/>
      <c r="C239" s="51"/>
      <c r="D239" s="51"/>
      <c r="E239" s="51"/>
      <c r="F239" s="51"/>
      <c r="G239" s="51"/>
      <c r="H239" s="51"/>
      <c r="I239" s="51"/>
      <c r="J239" s="51" t="str">
        <f>IFERROR(__xludf.DUMMYFUNCTION("""COMPUTED_VALUE"""),"")</f>
        <v/>
      </c>
      <c r="K239" s="51" t="str">
        <f>IFERROR(__xludf.DUMMYFUNCTION("""COMPUTED_VALUE"""),"")</f>
        <v/>
      </c>
      <c r="L239" s="51" t="s">
        <v>64</v>
      </c>
      <c r="M239" s="51" t="s">
        <v>64</v>
      </c>
      <c r="N239" s="51"/>
      <c r="O239" s="51"/>
      <c r="P239" s="51"/>
      <c r="Q239" s="51"/>
      <c r="R239" s="51"/>
      <c r="S239" s="51"/>
    </row>
    <row r="240">
      <c r="A240" s="51"/>
      <c r="B240" s="51"/>
      <c r="C240" s="51"/>
      <c r="D240" s="51"/>
      <c r="E240" s="51"/>
      <c r="F240" s="51"/>
      <c r="G240" s="51"/>
      <c r="H240" s="51"/>
      <c r="I240" s="51"/>
      <c r="J240" s="51" t="str">
        <f>IFERROR(__xludf.DUMMYFUNCTION("""COMPUTED_VALUE"""),"")</f>
        <v/>
      </c>
      <c r="K240" s="51" t="str">
        <f>IFERROR(__xludf.DUMMYFUNCTION("""COMPUTED_VALUE"""),"")</f>
        <v/>
      </c>
      <c r="L240" s="51" t="s">
        <v>64</v>
      </c>
      <c r="M240" s="51" t="s">
        <v>64</v>
      </c>
      <c r="N240" s="51"/>
      <c r="O240" s="51"/>
      <c r="P240" s="51"/>
      <c r="Q240" s="51"/>
      <c r="R240" s="51"/>
      <c r="S240" s="51"/>
    </row>
    <row r="241">
      <c r="A241" s="51"/>
      <c r="B241" s="51"/>
      <c r="C241" s="51"/>
      <c r="D241" s="51"/>
      <c r="E241" s="51"/>
      <c r="F241" s="51"/>
      <c r="G241" s="51"/>
      <c r="H241" s="51"/>
      <c r="I241" s="51"/>
      <c r="J241" s="51" t="str">
        <f>IFERROR(__xludf.DUMMYFUNCTION("""COMPUTED_VALUE"""),"")</f>
        <v/>
      </c>
      <c r="K241" s="51" t="str">
        <f>IFERROR(__xludf.DUMMYFUNCTION("""COMPUTED_VALUE"""),"")</f>
        <v/>
      </c>
      <c r="L241" s="51" t="s">
        <v>64</v>
      </c>
      <c r="M241" s="51" t="s">
        <v>64</v>
      </c>
      <c r="N241" s="51"/>
      <c r="O241" s="51"/>
      <c r="P241" s="51"/>
      <c r="Q241" s="51"/>
      <c r="R241" s="51"/>
      <c r="S241" s="51"/>
    </row>
    <row r="242">
      <c r="A242" s="51"/>
      <c r="B242" s="51"/>
      <c r="C242" s="51"/>
      <c r="D242" s="51"/>
      <c r="E242" s="51"/>
      <c r="F242" s="51"/>
      <c r="G242" s="51"/>
      <c r="H242" s="51"/>
      <c r="I242" s="51"/>
      <c r="J242" s="51" t="str">
        <f>IFERROR(__xludf.DUMMYFUNCTION("""COMPUTED_VALUE"""),"")</f>
        <v/>
      </c>
      <c r="K242" s="51" t="str">
        <f>IFERROR(__xludf.DUMMYFUNCTION("""COMPUTED_VALUE"""),"")</f>
        <v/>
      </c>
      <c r="L242" s="51" t="s">
        <v>64</v>
      </c>
      <c r="M242" s="51" t="s">
        <v>64</v>
      </c>
      <c r="N242" s="51"/>
      <c r="O242" s="51"/>
      <c r="P242" s="51"/>
      <c r="Q242" s="51"/>
      <c r="R242" s="51"/>
      <c r="S242" s="51"/>
    </row>
    <row r="243">
      <c r="A243" s="51"/>
      <c r="B243" s="51"/>
      <c r="C243" s="51"/>
      <c r="D243" s="51"/>
      <c r="E243" s="51"/>
      <c r="F243" s="51"/>
      <c r="G243" s="51"/>
      <c r="H243" s="51"/>
      <c r="I243" s="51"/>
      <c r="J243" s="51" t="str">
        <f>IFERROR(__xludf.DUMMYFUNCTION("""COMPUTED_VALUE"""),"")</f>
        <v/>
      </c>
      <c r="K243" s="51" t="str">
        <f>IFERROR(__xludf.DUMMYFUNCTION("""COMPUTED_VALUE"""),"")</f>
        <v/>
      </c>
      <c r="L243" s="51" t="s">
        <v>64</v>
      </c>
      <c r="M243" s="51" t="s">
        <v>64</v>
      </c>
      <c r="N243" s="51"/>
      <c r="O243" s="51"/>
      <c r="P243" s="51"/>
      <c r="Q243" s="51"/>
      <c r="R243" s="51"/>
      <c r="S243" s="51"/>
    </row>
    <row r="244">
      <c r="A244" s="51"/>
      <c r="B244" s="51"/>
      <c r="C244" s="51"/>
      <c r="D244" s="51"/>
      <c r="E244" s="51"/>
      <c r="F244" s="51"/>
      <c r="G244" s="51"/>
      <c r="H244" s="51"/>
      <c r="I244" s="51"/>
      <c r="J244" s="51" t="str">
        <f>IFERROR(__xludf.DUMMYFUNCTION("""COMPUTED_VALUE"""),"")</f>
        <v/>
      </c>
      <c r="K244" s="51" t="str">
        <f>IFERROR(__xludf.DUMMYFUNCTION("""COMPUTED_VALUE"""),"")</f>
        <v/>
      </c>
      <c r="L244" s="51" t="s">
        <v>64</v>
      </c>
      <c r="M244" s="51" t="s">
        <v>64</v>
      </c>
      <c r="N244" s="51"/>
      <c r="O244" s="51"/>
      <c r="P244" s="51"/>
      <c r="Q244" s="51"/>
      <c r="R244" s="51"/>
      <c r="S244" s="51"/>
    </row>
    <row r="245">
      <c r="A245" s="51"/>
      <c r="B245" s="51"/>
      <c r="C245" s="51"/>
      <c r="D245" s="51"/>
      <c r="E245" s="51"/>
      <c r="F245" s="51"/>
      <c r="G245" s="51"/>
      <c r="H245" s="51"/>
      <c r="I245" s="51"/>
      <c r="J245" s="51" t="str">
        <f>IFERROR(__xludf.DUMMYFUNCTION("""COMPUTED_VALUE"""),"")</f>
        <v/>
      </c>
      <c r="K245" s="51" t="str">
        <f>IFERROR(__xludf.DUMMYFUNCTION("""COMPUTED_VALUE"""),"")</f>
        <v/>
      </c>
      <c r="L245" s="51" t="s">
        <v>64</v>
      </c>
      <c r="M245" s="51" t="s">
        <v>64</v>
      </c>
      <c r="N245" s="51"/>
      <c r="O245" s="51"/>
      <c r="P245" s="51"/>
      <c r="Q245" s="51"/>
      <c r="R245" s="51"/>
      <c r="S245" s="51"/>
    </row>
    <row r="246">
      <c r="A246" s="51"/>
      <c r="B246" s="51"/>
      <c r="C246" s="51"/>
      <c r="D246" s="51"/>
      <c r="E246" s="51"/>
      <c r="F246" s="51"/>
      <c r="G246" s="51"/>
      <c r="H246" s="51"/>
      <c r="I246" s="51"/>
      <c r="J246" s="51" t="str">
        <f>IFERROR(__xludf.DUMMYFUNCTION("""COMPUTED_VALUE"""),"")</f>
        <v/>
      </c>
      <c r="K246" s="51" t="str">
        <f>IFERROR(__xludf.DUMMYFUNCTION("""COMPUTED_VALUE"""),"")</f>
        <v/>
      </c>
      <c r="L246" s="51" t="s">
        <v>64</v>
      </c>
      <c r="M246" s="51" t="s">
        <v>64</v>
      </c>
      <c r="N246" s="51"/>
      <c r="O246" s="51"/>
      <c r="P246" s="51"/>
      <c r="Q246" s="51"/>
      <c r="R246" s="51"/>
      <c r="S246" s="51"/>
    </row>
    <row r="247">
      <c r="A247" s="51"/>
      <c r="B247" s="51"/>
      <c r="C247" s="51"/>
      <c r="D247" s="51"/>
      <c r="E247" s="51"/>
      <c r="F247" s="51"/>
      <c r="G247" s="51"/>
      <c r="H247" s="51"/>
      <c r="I247" s="51"/>
      <c r="J247" s="51" t="str">
        <f>IFERROR(__xludf.DUMMYFUNCTION("""COMPUTED_VALUE"""),"")</f>
        <v/>
      </c>
      <c r="K247" s="51" t="str">
        <f>IFERROR(__xludf.DUMMYFUNCTION("""COMPUTED_VALUE"""),"")</f>
        <v/>
      </c>
      <c r="L247" s="51" t="s">
        <v>64</v>
      </c>
      <c r="M247" s="51" t="s">
        <v>64</v>
      </c>
      <c r="N247" s="51"/>
      <c r="O247" s="51"/>
      <c r="P247" s="51"/>
      <c r="Q247" s="51"/>
      <c r="R247" s="51"/>
      <c r="S247" s="51"/>
    </row>
    <row r="248">
      <c r="A248" s="51"/>
      <c r="B248" s="51"/>
      <c r="C248" s="51"/>
      <c r="D248" s="51"/>
      <c r="E248" s="51"/>
      <c r="F248" s="51"/>
      <c r="G248" s="51"/>
      <c r="H248" s="51"/>
      <c r="I248" s="51"/>
      <c r="J248" s="51" t="str">
        <f>IFERROR(__xludf.DUMMYFUNCTION("""COMPUTED_VALUE"""),"")</f>
        <v/>
      </c>
      <c r="K248" s="51" t="str">
        <f>IFERROR(__xludf.DUMMYFUNCTION("""COMPUTED_VALUE"""),"")</f>
        <v/>
      </c>
      <c r="L248" s="51" t="s">
        <v>64</v>
      </c>
      <c r="M248" s="51" t="s">
        <v>64</v>
      </c>
      <c r="N248" s="51"/>
      <c r="O248" s="51"/>
      <c r="P248" s="51"/>
      <c r="Q248" s="51"/>
      <c r="R248" s="51"/>
      <c r="S248" s="51"/>
    </row>
    <row r="249">
      <c r="A249" s="51"/>
      <c r="B249" s="51"/>
      <c r="C249" s="51"/>
      <c r="D249" s="51"/>
      <c r="E249" s="51"/>
      <c r="F249" s="51"/>
      <c r="G249" s="51"/>
      <c r="H249" s="51"/>
      <c r="I249" s="51"/>
      <c r="J249" s="51" t="str">
        <f>IFERROR(__xludf.DUMMYFUNCTION("""COMPUTED_VALUE"""),"")</f>
        <v/>
      </c>
      <c r="K249" s="51" t="str">
        <f>IFERROR(__xludf.DUMMYFUNCTION("""COMPUTED_VALUE"""),"")</f>
        <v/>
      </c>
      <c r="L249" s="51" t="s">
        <v>64</v>
      </c>
      <c r="M249" s="51" t="s">
        <v>64</v>
      </c>
      <c r="N249" s="51"/>
      <c r="O249" s="51"/>
      <c r="P249" s="51"/>
      <c r="Q249" s="51"/>
      <c r="R249" s="51"/>
      <c r="S249" s="51"/>
    </row>
    <row r="250">
      <c r="A250" s="51"/>
      <c r="B250" s="51"/>
      <c r="C250" s="51"/>
      <c r="D250" s="51"/>
      <c r="E250" s="51"/>
      <c r="F250" s="51"/>
      <c r="G250" s="51"/>
      <c r="H250" s="51"/>
      <c r="I250" s="51"/>
      <c r="J250" s="51" t="str">
        <f>IFERROR(__xludf.DUMMYFUNCTION("""COMPUTED_VALUE"""),"")</f>
        <v/>
      </c>
      <c r="K250" s="51" t="str">
        <f>IFERROR(__xludf.DUMMYFUNCTION("""COMPUTED_VALUE"""),"")</f>
        <v/>
      </c>
      <c r="L250" s="51" t="s">
        <v>64</v>
      </c>
      <c r="M250" s="51" t="s">
        <v>64</v>
      </c>
      <c r="N250" s="51"/>
      <c r="O250" s="51"/>
      <c r="P250" s="51"/>
      <c r="Q250" s="51"/>
      <c r="R250" s="51"/>
      <c r="S250" s="51"/>
    </row>
    <row r="251">
      <c r="A251" s="51"/>
      <c r="B251" s="51"/>
      <c r="C251" s="51"/>
      <c r="D251" s="51"/>
      <c r="E251" s="51"/>
      <c r="F251" s="51"/>
      <c r="G251" s="51"/>
      <c r="H251" s="51"/>
      <c r="I251" s="51"/>
      <c r="J251" s="51" t="str">
        <f>IFERROR(__xludf.DUMMYFUNCTION("""COMPUTED_VALUE"""),"")</f>
        <v/>
      </c>
      <c r="K251" s="51" t="str">
        <f>IFERROR(__xludf.DUMMYFUNCTION("""COMPUTED_VALUE"""),"")</f>
        <v/>
      </c>
      <c r="L251" s="51" t="s">
        <v>64</v>
      </c>
      <c r="M251" s="51" t="s">
        <v>64</v>
      </c>
      <c r="N251" s="51"/>
      <c r="O251" s="51"/>
      <c r="P251" s="51"/>
      <c r="Q251" s="51"/>
      <c r="R251" s="51"/>
      <c r="S251" s="51"/>
    </row>
    <row r="252">
      <c r="A252" s="51"/>
      <c r="B252" s="51"/>
      <c r="C252" s="51"/>
      <c r="D252" s="51"/>
      <c r="E252" s="51"/>
      <c r="F252" s="51"/>
      <c r="G252" s="51"/>
      <c r="H252" s="51"/>
      <c r="I252" s="51"/>
      <c r="J252" s="51" t="str">
        <f>IFERROR(__xludf.DUMMYFUNCTION("""COMPUTED_VALUE"""),"")</f>
        <v/>
      </c>
      <c r="K252" s="51" t="str">
        <f>IFERROR(__xludf.DUMMYFUNCTION("""COMPUTED_VALUE"""),"")</f>
        <v/>
      </c>
      <c r="L252" s="51" t="s">
        <v>64</v>
      </c>
      <c r="M252" s="51" t="s">
        <v>64</v>
      </c>
      <c r="N252" s="51"/>
      <c r="O252" s="51"/>
      <c r="P252" s="51"/>
      <c r="Q252" s="51"/>
      <c r="R252" s="51"/>
      <c r="S252" s="51"/>
    </row>
    <row r="253">
      <c r="A253" s="51"/>
      <c r="B253" s="51"/>
      <c r="C253" s="51"/>
      <c r="D253" s="51"/>
      <c r="E253" s="51"/>
      <c r="F253" s="51"/>
      <c r="G253" s="51"/>
      <c r="H253" s="51"/>
      <c r="I253" s="51"/>
      <c r="J253" s="51" t="str">
        <f>IFERROR(__xludf.DUMMYFUNCTION("""COMPUTED_VALUE"""),"")</f>
        <v/>
      </c>
      <c r="K253" s="51" t="str">
        <f>IFERROR(__xludf.DUMMYFUNCTION("""COMPUTED_VALUE"""),"")</f>
        <v/>
      </c>
      <c r="L253" s="51" t="s">
        <v>64</v>
      </c>
      <c r="M253" s="51" t="s">
        <v>64</v>
      </c>
      <c r="N253" s="51"/>
      <c r="O253" s="51"/>
      <c r="P253" s="51"/>
      <c r="Q253" s="51"/>
      <c r="R253" s="51"/>
      <c r="S253" s="51"/>
    </row>
    <row r="254">
      <c r="A254" s="51"/>
      <c r="B254" s="51"/>
      <c r="C254" s="51"/>
      <c r="D254" s="51"/>
      <c r="E254" s="51"/>
      <c r="F254" s="51"/>
      <c r="G254" s="51"/>
      <c r="H254" s="51"/>
      <c r="I254" s="51"/>
      <c r="J254" s="51" t="str">
        <f>IFERROR(__xludf.DUMMYFUNCTION("""COMPUTED_VALUE"""),"")</f>
        <v/>
      </c>
      <c r="K254" s="51" t="str">
        <f>IFERROR(__xludf.DUMMYFUNCTION("""COMPUTED_VALUE"""),"")</f>
        <v/>
      </c>
      <c r="L254" s="51" t="s">
        <v>64</v>
      </c>
      <c r="M254" s="51" t="s">
        <v>64</v>
      </c>
      <c r="N254" s="51"/>
      <c r="O254" s="51"/>
      <c r="P254" s="51"/>
      <c r="Q254" s="51"/>
      <c r="R254" s="51"/>
      <c r="S254" s="51"/>
    </row>
    <row r="255">
      <c r="A255" s="51"/>
      <c r="B255" s="51"/>
      <c r="C255" s="51"/>
      <c r="D255" s="51"/>
      <c r="E255" s="51"/>
      <c r="F255" s="51"/>
      <c r="G255" s="51"/>
      <c r="H255" s="51"/>
      <c r="I255" s="51"/>
      <c r="J255" s="51" t="str">
        <f>IFERROR(__xludf.DUMMYFUNCTION("""COMPUTED_VALUE"""),"")</f>
        <v/>
      </c>
      <c r="K255" s="51" t="str">
        <f>IFERROR(__xludf.DUMMYFUNCTION("""COMPUTED_VALUE"""),"")</f>
        <v/>
      </c>
      <c r="L255" s="51" t="s">
        <v>64</v>
      </c>
      <c r="M255" s="51" t="s">
        <v>64</v>
      </c>
      <c r="N255" s="51"/>
      <c r="O255" s="51"/>
      <c r="P255" s="51"/>
      <c r="Q255" s="51"/>
      <c r="R255" s="51"/>
      <c r="S255" s="51"/>
    </row>
    <row r="256">
      <c r="A256" s="51"/>
      <c r="B256" s="51"/>
      <c r="C256" s="51"/>
      <c r="D256" s="51"/>
      <c r="E256" s="51"/>
      <c r="F256" s="51"/>
      <c r="G256" s="51"/>
      <c r="H256" s="51"/>
      <c r="I256" s="51"/>
      <c r="J256" s="51" t="str">
        <f>IFERROR(__xludf.DUMMYFUNCTION("""COMPUTED_VALUE"""),"")</f>
        <v/>
      </c>
      <c r="K256" s="51" t="str">
        <f>IFERROR(__xludf.DUMMYFUNCTION("""COMPUTED_VALUE"""),"")</f>
        <v/>
      </c>
      <c r="L256" s="51" t="s">
        <v>64</v>
      </c>
      <c r="M256" s="51" t="s">
        <v>64</v>
      </c>
      <c r="N256" s="51"/>
      <c r="O256" s="51"/>
      <c r="P256" s="51"/>
      <c r="Q256" s="51"/>
      <c r="R256" s="51"/>
      <c r="S256" s="51"/>
    </row>
    <row r="257">
      <c r="A257" s="51"/>
      <c r="B257" s="51"/>
      <c r="C257" s="51"/>
      <c r="D257" s="51"/>
      <c r="E257" s="51"/>
      <c r="F257" s="51"/>
      <c r="G257" s="51"/>
      <c r="H257" s="51"/>
      <c r="I257" s="51"/>
      <c r="J257" s="51" t="str">
        <f>IFERROR(__xludf.DUMMYFUNCTION("""COMPUTED_VALUE"""),"")</f>
        <v/>
      </c>
      <c r="K257" s="51" t="str">
        <f>IFERROR(__xludf.DUMMYFUNCTION("""COMPUTED_VALUE"""),"")</f>
        <v/>
      </c>
      <c r="L257" s="51" t="s">
        <v>64</v>
      </c>
      <c r="M257" s="51" t="s">
        <v>64</v>
      </c>
      <c r="N257" s="51"/>
      <c r="O257" s="51"/>
      <c r="P257" s="51"/>
      <c r="Q257" s="51"/>
      <c r="R257" s="51"/>
      <c r="S257" s="51"/>
    </row>
    <row r="258">
      <c r="A258" s="51"/>
      <c r="B258" s="51"/>
      <c r="C258" s="51"/>
      <c r="D258" s="51"/>
      <c r="E258" s="51"/>
      <c r="F258" s="51"/>
      <c r="G258" s="51"/>
      <c r="H258" s="51"/>
      <c r="I258" s="51"/>
      <c r="J258" s="51" t="str">
        <f>IFERROR(__xludf.DUMMYFUNCTION("""COMPUTED_VALUE"""),"")</f>
        <v/>
      </c>
      <c r="K258" s="51" t="str">
        <f>IFERROR(__xludf.DUMMYFUNCTION("""COMPUTED_VALUE"""),"")</f>
        <v/>
      </c>
      <c r="L258" s="51" t="s">
        <v>64</v>
      </c>
      <c r="M258" s="51" t="s">
        <v>64</v>
      </c>
      <c r="N258" s="51"/>
      <c r="O258" s="51"/>
      <c r="P258" s="51"/>
      <c r="Q258" s="51"/>
      <c r="R258" s="51"/>
      <c r="S258" s="51"/>
    </row>
    <row r="259">
      <c r="A259" s="51"/>
      <c r="B259" s="51"/>
      <c r="C259" s="51"/>
      <c r="D259" s="51"/>
      <c r="E259" s="51"/>
      <c r="F259" s="51"/>
      <c r="G259" s="51"/>
      <c r="H259" s="51"/>
      <c r="I259" s="51"/>
      <c r="J259" s="51" t="str">
        <f>IFERROR(__xludf.DUMMYFUNCTION("""COMPUTED_VALUE"""),"")</f>
        <v/>
      </c>
      <c r="K259" s="51" t="str">
        <f>IFERROR(__xludf.DUMMYFUNCTION("""COMPUTED_VALUE"""),"")</f>
        <v/>
      </c>
      <c r="L259" s="51" t="s">
        <v>64</v>
      </c>
      <c r="M259" s="51" t="s">
        <v>64</v>
      </c>
      <c r="N259" s="51"/>
      <c r="O259" s="51"/>
      <c r="P259" s="51"/>
      <c r="Q259" s="51"/>
      <c r="R259" s="51"/>
      <c r="S259" s="51"/>
    </row>
    <row r="260">
      <c r="A260" s="51"/>
      <c r="B260" s="51"/>
      <c r="C260" s="51"/>
      <c r="D260" s="51"/>
      <c r="E260" s="51"/>
      <c r="F260" s="51"/>
      <c r="G260" s="51"/>
      <c r="H260" s="51"/>
      <c r="I260" s="51"/>
      <c r="J260" s="51" t="str">
        <f>IFERROR(__xludf.DUMMYFUNCTION("""COMPUTED_VALUE"""),"")</f>
        <v/>
      </c>
      <c r="K260" s="51" t="str">
        <f>IFERROR(__xludf.DUMMYFUNCTION("""COMPUTED_VALUE"""),"")</f>
        <v/>
      </c>
      <c r="L260" s="51" t="s">
        <v>64</v>
      </c>
      <c r="M260" s="51" t="s">
        <v>64</v>
      </c>
      <c r="N260" s="51"/>
      <c r="O260" s="51"/>
      <c r="P260" s="51"/>
      <c r="Q260" s="51"/>
      <c r="R260" s="51"/>
      <c r="S260" s="51"/>
    </row>
    <row r="261">
      <c r="A261" s="51"/>
      <c r="B261" s="51"/>
      <c r="C261" s="51"/>
      <c r="D261" s="51"/>
      <c r="E261" s="51"/>
      <c r="F261" s="51"/>
      <c r="G261" s="51"/>
      <c r="H261" s="51"/>
      <c r="I261" s="51"/>
      <c r="J261" s="51" t="str">
        <f>IFERROR(__xludf.DUMMYFUNCTION("""COMPUTED_VALUE"""),"")</f>
        <v/>
      </c>
      <c r="K261" s="51" t="str">
        <f>IFERROR(__xludf.DUMMYFUNCTION("""COMPUTED_VALUE"""),"")</f>
        <v/>
      </c>
      <c r="L261" s="51" t="s">
        <v>64</v>
      </c>
      <c r="M261" s="51" t="s">
        <v>64</v>
      </c>
      <c r="N261" s="51"/>
      <c r="O261" s="51"/>
      <c r="P261" s="51"/>
      <c r="Q261" s="51"/>
      <c r="R261" s="51"/>
      <c r="S261" s="51"/>
    </row>
    <row r="262">
      <c r="A262" s="51"/>
      <c r="B262" s="51"/>
      <c r="C262" s="51"/>
      <c r="D262" s="51"/>
      <c r="E262" s="51"/>
      <c r="F262" s="51"/>
      <c r="G262" s="51"/>
      <c r="H262" s="51"/>
      <c r="I262" s="51"/>
      <c r="J262" s="51" t="str">
        <f>IFERROR(__xludf.DUMMYFUNCTION("""COMPUTED_VALUE"""),"")</f>
        <v/>
      </c>
      <c r="K262" s="51" t="str">
        <f>IFERROR(__xludf.DUMMYFUNCTION("""COMPUTED_VALUE"""),"")</f>
        <v/>
      </c>
      <c r="L262" s="51" t="s">
        <v>64</v>
      </c>
      <c r="M262" s="51" t="s">
        <v>64</v>
      </c>
      <c r="N262" s="51"/>
      <c r="O262" s="51"/>
      <c r="P262" s="51"/>
      <c r="Q262" s="51"/>
      <c r="R262" s="51"/>
      <c r="S262" s="51"/>
    </row>
    <row r="263">
      <c r="A263" s="51"/>
      <c r="B263" s="51"/>
      <c r="C263" s="51"/>
      <c r="D263" s="51"/>
      <c r="E263" s="51"/>
      <c r="F263" s="51"/>
      <c r="G263" s="51"/>
      <c r="H263" s="51"/>
      <c r="I263" s="51"/>
      <c r="J263" s="51" t="str">
        <f>IFERROR(__xludf.DUMMYFUNCTION("""COMPUTED_VALUE"""),"")</f>
        <v/>
      </c>
      <c r="K263" s="51" t="str">
        <f>IFERROR(__xludf.DUMMYFUNCTION("""COMPUTED_VALUE"""),"")</f>
        <v/>
      </c>
      <c r="L263" s="51" t="s">
        <v>64</v>
      </c>
      <c r="M263" s="51" t="s">
        <v>64</v>
      </c>
      <c r="N263" s="51"/>
      <c r="O263" s="51"/>
      <c r="P263" s="51"/>
      <c r="Q263" s="51"/>
      <c r="R263" s="51"/>
      <c r="S263" s="51"/>
    </row>
    <row r="264">
      <c r="A264" s="51"/>
      <c r="B264" s="51"/>
      <c r="C264" s="51"/>
      <c r="D264" s="51"/>
      <c r="E264" s="51"/>
      <c r="F264" s="51"/>
      <c r="G264" s="51"/>
      <c r="H264" s="51"/>
      <c r="I264" s="51"/>
      <c r="J264" s="51" t="str">
        <f>IFERROR(__xludf.DUMMYFUNCTION("""COMPUTED_VALUE"""),"")</f>
        <v/>
      </c>
      <c r="K264" s="51" t="str">
        <f>IFERROR(__xludf.DUMMYFUNCTION("""COMPUTED_VALUE"""),"")</f>
        <v/>
      </c>
      <c r="L264" s="51" t="s">
        <v>64</v>
      </c>
      <c r="M264" s="51" t="s">
        <v>64</v>
      </c>
      <c r="N264" s="51"/>
      <c r="O264" s="51"/>
      <c r="P264" s="51"/>
      <c r="Q264" s="51"/>
      <c r="R264" s="51"/>
      <c r="S264" s="51"/>
    </row>
    <row r="265">
      <c r="A265" s="51"/>
      <c r="B265" s="51"/>
      <c r="C265" s="51"/>
      <c r="D265" s="51"/>
      <c r="E265" s="51"/>
      <c r="F265" s="51"/>
      <c r="G265" s="51"/>
      <c r="H265" s="51"/>
      <c r="I265" s="51"/>
      <c r="J265" s="51" t="str">
        <f>IFERROR(__xludf.DUMMYFUNCTION("""COMPUTED_VALUE"""),"")</f>
        <v/>
      </c>
      <c r="K265" s="51" t="str">
        <f>IFERROR(__xludf.DUMMYFUNCTION("""COMPUTED_VALUE"""),"")</f>
        <v/>
      </c>
      <c r="L265" s="51" t="s">
        <v>64</v>
      </c>
      <c r="M265" s="51" t="s">
        <v>64</v>
      </c>
      <c r="N265" s="51"/>
      <c r="O265" s="51"/>
      <c r="P265" s="51"/>
      <c r="Q265" s="51"/>
      <c r="R265" s="51"/>
      <c r="S265" s="51"/>
    </row>
    <row r="266">
      <c r="A266" s="51"/>
      <c r="B266" s="51"/>
      <c r="C266" s="51"/>
      <c r="D266" s="51"/>
      <c r="E266" s="51"/>
      <c r="F266" s="51"/>
      <c r="G266" s="51"/>
      <c r="H266" s="51"/>
      <c r="I266" s="51"/>
      <c r="J266" s="51" t="str">
        <f>IFERROR(__xludf.DUMMYFUNCTION("""COMPUTED_VALUE"""),"")</f>
        <v/>
      </c>
      <c r="K266" s="51" t="str">
        <f>IFERROR(__xludf.DUMMYFUNCTION("""COMPUTED_VALUE"""),"")</f>
        <v/>
      </c>
      <c r="L266" s="51" t="s">
        <v>64</v>
      </c>
      <c r="M266" s="51" t="s">
        <v>64</v>
      </c>
      <c r="N266" s="51"/>
      <c r="O266" s="51"/>
      <c r="P266" s="51"/>
      <c r="Q266" s="51"/>
      <c r="R266" s="51"/>
      <c r="S266" s="51"/>
    </row>
    <row r="267">
      <c r="A267" s="51"/>
      <c r="B267" s="51"/>
      <c r="C267" s="51"/>
      <c r="D267" s="51"/>
      <c r="E267" s="51"/>
      <c r="F267" s="51"/>
      <c r="G267" s="51"/>
      <c r="H267" s="51"/>
      <c r="I267" s="51"/>
      <c r="J267" s="51" t="str">
        <f>IFERROR(__xludf.DUMMYFUNCTION("""COMPUTED_VALUE"""),"")</f>
        <v/>
      </c>
      <c r="K267" s="51" t="str">
        <f>IFERROR(__xludf.DUMMYFUNCTION("""COMPUTED_VALUE"""),"")</f>
        <v/>
      </c>
      <c r="L267" s="51" t="s">
        <v>64</v>
      </c>
      <c r="M267" s="51" t="s">
        <v>64</v>
      </c>
      <c r="N267" s="51"/>
      <c r="O267" s="51"/>
      <c r="P267" s="51"/>
      <c r="Q267" s="51"/>
      <c r="R267" s="51"/>
      <c r="S267" s="51"/>
    </row>
    <row r="268">
      <c r="A268" s="51"/>
      <c r="B268" s="51"/>
      <c r="C268" s="51"/>
      <c r="D268" s="51"/>
      <c r="E268" s="51"/>
      <c r="F268" s="51"/>
      <c r="G268" s="51"/>
      <c r="H268" s="51"/>
      <c r="I268" s="51"/>
      <c r="J268" s="51" t="str">
        <f>IFERROR(__xludf.DUMMYFUNCTION("""COMPUTED_VALUE"""),"")</f>
        <v/>
      </c>
      <c r="K268" s="51" t="str">
        <f>IFERROR(__xludf.DUMMYFUNCTION("""COMPUTED_VALUE"""),"")</f>
        <v/>
      </c>
      <c r="L268" s="51" t="s">
        <v>64</v>
      </c>
      <c r="M268" s="51" t="s">
        <v>64</v>
      </c>
      <c r="N268" s="51"/>
      <c r="O268" s="51"/>
      <c r="P268" s="51"/>
      <c r="Q268" s="51"/>
      <c r="R268" s="51"/>
      <c r="S268" s="51"/>
    </row>
    <row r="269">
      <c r="A269" s="51"/>
      <c r="B269" s="51"/>
      <c r="C269" s="51"/>
      <c r="D269" s="51"/>
      <c r="E269" s="51"/>
      <c r="F269" s="51"/>
      <c r="G269" s="51"/>
      <c r="H269" s="51"/>
      <c r="I269" s="51"/>
      <c r="J269" s="51" t="str">
        <f>IFERROR(__xludf.DUMMYFUNCTION("""COMPUTED_VALUE"""),"")</f>
        <v/>
      </c>
      <c r="K269" s="51" t="str">
        <f>IFERROR(__xludf.DUMMYFUNCTION("""COMPUTED_VALUE"""),"")</f>
        <v/>
      </c>
      <c r="L269" s="51" t="s">
        <v>64</v>
      </c>
      <c r="M269" s="51" t="s">
        <v>64</v>
      </c>
      <c r="N269" s="51"/>
      <c r="O269" s="51"/>
      <c r="P269" s="51"/>
      <c r="Q269" s="51"/>
      <c r="R269" s="51"/>
      <c r="S269" s="51"/>
    </row>
    <row r="270">
      <c r="A270" s="51"/>
      <c r="B270" s="51"/>
      <c r="C270" s="51"/>
      <c r="D270" s="51"/>
      <c r="E270" s="51"/>
      <c r="F270" s="51"/>
      <c r="G270" s="51"/>
      <c r="H270" s="51"/>
      <c r="I270" s="51"/>
      <c r="J270" s="51" t="str">
        <f>IFERROR(__xludf.DUMMYFUNCTION("""COMPUTED_VALUE"""),"")</f>
        <v/>
      </c>
      <c r="K270" s="51" t="str">
        <f>IFERROR(__xludf.DUMMYFUNCTION("""COMPUTED_VALUE"""),"")</f>
        <v/>
      </c>
      <c r="L270" s="51" t="s">
        <v>64</v>
      </c>
      <c r="M270" s="51" t="s">
        <v>64</v>
      </c>
      <c r="N270" s="51"/>
      <c r="O270" s="51"/>
      <c r="P270" s="51"/>
      <c r="Q270" s="51"/>
      <c r="R270" s="51"/>
      <c r="S270" s="51"/>
    </row>
    <row r="271">
      <c r="A271" s="51"/>
      <c r="B271" s="51"/>
      <c r="C271" s="51"/>
      <c r="D271" s="51"/>
      <c r="E271" s="51"/>
      <c r="F271" s="51"/>
      <c r="G271" s="51"/>
      <c r="H271" s="51"/>
      <c r="I271" s="51"/>
      <c r="J271" s="51" t="str">
        <f>IFERROR(__xludf.DUMMYFUNCTION("""COMPUTED_VALUE"""),"")</f>
        <v/>
      </c>
      <c r="K271" s="51" t="str">
        <f>IFERROR(__xludf.DUMMYFUNCTION("""COMPUTED_VALUE"""),"")</f>
        <v/>
      </c>
      <c r="L271" s="51" t="s">
        <v>64</v>
      </c>
      <c r="M271" s="51" t="s">
        <v>64</v>
      </c>
      <c r="N271" s="51"/>
      <c r="O271" s="51"/>
      <c r="P271" s="51"/>
      <c r="Q271" s="51"/>
      <c r="R271" s="51"/>
      <c r="S271" s="51"/>
    </row>
    <row r="272">
      <c r="A272" s="51"/>
      <c r="B272" s="51"/>
      <c r="C272" s="51"/>
      <c r="D272" s="51"/>
      <c r="E272" s="51"/>
      <c r="F272" s="51"/>
      <c r="G272" s="51"/>
      <c r="H272" s="51"/>
      <c r="I272" s="51"/>
      <c r="J272" s="51" t="str">
        <f>IFERROR(__xludf.DUMMYFUNCTION("""COMPUTED_VALUE"""),"")</f>
        <v/>
      </c>
      <c r="K272" s="51" t="str">
        <f>IFERROR(__xludf.DUMMYFUNCTION("""COMPUTED_VALUE"""),"")</f>
        <v/>
      </c>
      <c r="L272" s="51" t="s">
        <v>64</v>
      </c>
      <c r="M272" s="51" t="s">
        <v>64</v>
      </c>
      <c r="N272" s="51"/>
      <c r="O272" s="51"/>
      <c r="P272" s="51"/>
      <c r="Q272" s="51"/>
      <c r="R272" s="51"/>
      <c r="S272" s="51"/>
    </row>
    <row r="273">
      <c r="A273" s="51"/>
      <c r="B273" s="51"/>
      <c r="C273" s="51"/>
      <c r="D273" s="51"/>
      <c r="E273" s="51"/>
      <c r="F273" s="51"/>
      <c r="G273" s="51"/>
      <c r="H273" s="51"/>
      <c r="I273" s="51"/>
      <c r="J273" s="51" t="str">
        <f>IFERROR(__xludf.DUMMYFUNCTION("""COMPUTED_VALUE"""),"")</f>
        <v/>
      </c>
      <c r="K273" s="51" t="str">
        <f>IFERROR(__xludf.DUMMYFUNCTION("""COMPUTED_VALUE"""),"")</f>
        <v/>
      </c>
      <c r="L273" s="51" t="s">
        <v>64</v>
      </c>
      <c r="M273" s="51" t="s">
        <v>64</v>
      </c>
      <c r="N273" s="51"/>
      <c r="O273" s="51"/>
      <c r="P273" s="51"/>
      <c r="Q273" s="51"/>
      <c r="R273" s="51"/>
      <c r="S273" s="51"/>
    </row>
    <row r="274">
      <c r="A274" s="51"/>
      <c r="B274" s="51"/>
      <c r="C274" s="51"/>
      <c r="D274" s="51"/>
      <c r="E274" s="51"/>
      <c r="F274" s="51"/>
      <c r="G274" s="51"/>
      <c r="H274" s="51"/>
      <c r="I274" s="51"/>
      <c r="J274" s="51" t="str">
        <f>IFERROR(__xludf.DUMMYFUNCTION("""COMPUTED_VALUE"""),"")</f>
        <v/>
      </c>
      <c r="K274" s="51" t="str">
        <f>IFERROR(__xludf.DUMMYFUNCTION("""COMPUTED_VALUE"""),"")</f>
        <v/>
      </c>
      <c r="L274" s="51" t="s">
        <v>64</v>
      </c>
      <c r="M274" s="51" t="s">
        <v>64</v>
      </c>
      <c r="N274" s="51"/>
      <c r="O274" s="51"/>
      <c r="P274" s="51"/>
      <c r="Q274" s="51"/>
      <c r="R274" s="51"/>
      <c r="S274" s="51"/>
    </row>
    <row r="275">
      <c r="A275" s="51"/>
      <c r="B275" s="51"/>
      <c r="C275" s="51"/>
      <c r="D275" s="51"/>
      <c r="E275" s="51"/>
      <c r="F275" s="51"/>
      <c r="G275" s="51"/>
      <c r="H275" s="51"/>
      <c r="I275" s="51"/>
      <c r="J275" s="51" t="str">
        <f>IFERROR(__xludf.DUMMYFUNCTION("""COMPUTED_VALUE"""),"")</f>
        <v/>
      </c>
      <c r="K275" s="51" t="str">
        <f>IFERROR(__xludf.DUMMYFUNCTION("""COMPUTED_VALUE"""),"")</f>
        <v/>
      </c>
      <c r="L275" s="51" t="s">
        <v>64</v>
      </c>
      <c r="M275" s="51" t="s">
        <v>64</v>
      </c>
      <c r="N275" s="51"/>
      <c r="O275" s="51"/>
      <c r="P275" s="51"/>
      <c r="Q275" s="51"/>
      <c r="R275" s="51"/>
      <c r="S275" s="51"/>
    </row>
    <row r="276">
      <c r="A276" s="51"/>
      <c r="B276" s="51"/>
      <c r="C276" s="51"/>
      <c r="D276" s="51"/>
      <c r="E276" s="51"/>
      <c r="F276" s="51"/>
      <c r="G276" s="51"/>
      <c r="H276" s="51"/>
      <c r="I276" s="51"/>
      <c r="J276" s="51" t="str">
        <f>IFERROR(__xludf.DUMMYFUNCTION("""COMPUTED_VALUE"""),"")</f>
        <v/>
      </c>
      <c r="K276" s="51" t="str">
        <f>IFERROR(__xludf.DUMMYFUNCTION("""COMPUTED_VALUE"""),"")</f>
        <v/>
      </c>
      <c r="L276" s="51" t="s">
        <v>64</v>
      </c>
      <c r="M276" s="51" t="s">
        <v>64</v>
      </c>
      <c r="N276" s="51"/>
      <c r="O276" s="51"/>
      <c r="P276" s="51"/>
      <c r="Q276" s="51"/>
      <c r="R276" s="51"/>
      <c r="S276" s="51"/>
    </row>
    <row r="277">
      <c r="A277" s="51"/>
      <c r="B277" s="51"/>
      <c r="C277" s="51"/>
      <c r="D277" s="51"/>
      <c r="E277" s="51"/>
      <c r="F277" s="51"/>
      <c r="G277" s="51"/>
      <c r="H277" s="51"/>
      <c r="I277" s="51"/>
      <c r="J277" s="51" t="str">
        <f>IFERROR(__xludf.DUMMYFUNCTION("""COMPUTED_VALUE"""),"")</f>
        <v/>
      </c>
      <c r="K277" s="51" t="str">
        <f>IFERROR(__xludf.DUMMYFUNCTION("""COMPUTED_VALUE"""),"")</f>
        <v/>
      </c>
      <c r="L277" s="51" t="s">
        <v>64</v>
      </c>
      <c r="M277" s="51" t="s">
        <v>64</v>
      </c>
      <c r="N277" s="51"/>
      <c r="O277" s="51"/>
      <c r="P277" s="51"/>
      <c r="Q277" s="51"/>
      <c r="R277" s="51"/>
      <c r="S277" s="51"/>
    </row>
    <row r="278">
      <c r="A278" s="51"/>
      <c r="B278" s="51"/>
      <c r="C278" s="51"/>
      <c r="D278" s="51"/>
      <c r="E278" s="51"/>
      <c r="F278" s="51"/>
      <c r="G278" s="51"/>
      <c r="H278" s="51"/>
      <c r="I278" s="51"/>
      <c r="J278" s="51" t="str">
        <f>IFERROR(__xludf.DUMMYFUNCTION("""COMPUTED_VALUE"""),"")</f>
        <v/>
      </c>
      <c r="K278" s="51" t="str">
        <f>IFERROR(__xludf.DUMMYFUNCTION("""COMPUTED_VALUE"""),"")</f>
        <v/>
      </c>
      <c r="L278" s="51" t="s">
        <v>64</v>
      </c>
      <c r="M278" s="51" t="s">
        <v>64</v>
      </c>
      <c r="N278" s="51"/>
      <c r="O278" s="51"/>
      <c r="P278" s="51"/>
      <c r="Q278" s="51"/>
      <c r="R278" s="51"/>
      <c r="S278" s="51"/>
    </row>
    <row r="279">
      <c r="A279" s="51"/>
      <c r="B279" s="51"/>
      <c r="C279" s="51"/>
      <c r="D279" s="51"/>
      <c r="E279" s="51"/>
      <c r="F279" s="51"/>
      <c r="G279" s="51"/>
      <c r="H279" s="51"/>
      <c r="I279" s="51"/>
      <c r="J279" s="51" t="str">
        <f>IFERROR(__xludf.DUMMYFUNCTION("""COMPUTED_VALUE"""),"")</f>
        <v/>
      </c>
      <c r="K279" s="51" t="str">
        <f>IFERROR(__xludf.DUMMYFUNCTION("""COMPUTED_VALUE"""),"")</f>
        <v/>
      </c>
      <c r="L279" s="51" t="s">
        <v>64</v>
      </c>
      <c r="M279" s="51" t="s">
        <v>64</v>
      </c>
      <c r="N279" s="51"/>
      <c r="O279" s="51"/>
      <c r="P279" s="51"/>
      <c r="Q279" s="51"/>
      <c r="R279" s="51"/>
      <c r="S279" s="51"/>
    </row>
    <row r="280">
      <c r="A280" s="51"/>
      <c r="B280" s="51"/>
      <c r="C280" s="51"/>
      <c r="D280" s="51"/>
      <c r="E280" s="51"/>
      <c r="F280" s="51"/>
      <c r="G280" s="51"/>
      <c r="H280" s="51"/>
      <c r="I280" s="51"/>
      <c r="J280" s="51" t="str">
        <f>IFERROR(__xludf.DUMMYFUNCTION("""COMPUTED_VALUE"""),"")</f>
        <v/>
      </c>
      <c r="K280" s="51" t="str">
        <f>IFERROR(__xludf.DUMMYFUNCTION("""COMPUTED_VALUE"""),"")</f>
        <v/>
      </c>
      <c r="L280" s="51" t="s">
        <v>64</v>
      </c>
      <c r="M280" s="51" t="s">
        <v>64</v>
      </c>
      <c r="N280" s="51"/>
      <c r="O280" s="51"/>
      <c r="P280" s="51"/>
      <c r="Q280" s="51"/>
      <c r="R280" s="51"/>
      <c r="S280" s="51"/>
    </row>
    <row r="281">
      <c r="A281" s="51"/>
      <c r="B281" s="51"/>
      <c r="C281" s="51"/>
      <c r="D281" s="51"/>
      <c r="E281" s="51"/>
      <c r="F281" s="51"/>
      <c r="G281" s="51"/>
      <c r="H281" s="51"/>
      <c r="I281" s="51"/>
      <c r="J281" s="51" t="str">
        <f>IFERROR(__xludf.DUMMYFUNCTION("""COMPUTED_VALUE"""),"")</f>
        <v/>
      </c>
      <c r="K281" s="51" t="str">
        <f>IFERROR(__xludf.DUMMYFUNCTION("""COMPUTED_VALUE"""),"")</f>
        <v/>
      </c>
      <c r="L281" s="51" t="s">
        <v>64</v>
      </c>
      <c r="M281" s="51" t="s">
        <v>64</v>
      </c>
      <c r="N281" s="51"/>
      <c r="O281" s="51"/>
      <c r="P281" s="51"/>
      <c r="Q281" s="51"/>
      <c r="R281" s="51"/>
      <c r="S281" s="51"/>
    </row>
    <row r="282">
      <c r="A282" s="51"/>
      <c r="B282" s="51"/>
      <c r="C282" s="51"/>
      <c r="D282" s="51"/>
      <c r="E282" s="51"/>
      <c r="F282" s="51"/>
      <c r="G282" s="51"/>
      <c r="H282" s="51"/>
      <c r="I282" s="51"/>
      <c r="J282" s="51" t="str">
        <f>IFERROR(__xludf.DUMMYFUNCTION("""COMPUTED_VALUE"""),"")</f>
        <v/>
      </c>
      <c r="K282" s="51" t="str">
        <f>IFERROR(__xludf.DUMMYFUNCTION("""COMPUTED_VALUE"""),"")</f>
        <v/>
      </c>
      <c r="L282" s="51" t="s">
        <v>64</v>
      </c>
      <c r="M282" s="51" t="s">
        <v>64</v>
      </c>
      <c r="N282" s="51"/>
      <c r="O282" s="51"/>
      <c r="P282" s="51"/>
      <c r="Q282" s="51"/>
      <c r="R282" s="51"/>
      <c r="S282" s="51"/>
    </row>
    <row r="283">
      <c r="A283" s="51"/>
      <c r="B283" s="51"/>
      <c r="C283" s="51"/>
      <c r="D283" s="51"/>
      <c r="E283" s="51"/>
      <c r="F283" s="51"/>
      <c r="G283" s="51"/>
      <c r="H283" s="51"/>
      <c r="I283" s="51"/>
      <c r="J283" s="51" t="str">
        <f>IFERROR(__xludf.DUMMYFUNCTION("""COMPUTED_VALUE"""),"")</f>
        <v/>
      </c>
      <c r="K283" s="51" t="str">
        <f>IFERROR(__xludf.DUMMYFUNCTION("""COMPUTED_VALUE"""),"")</f>
        <v/>
      </c>
      <c r="L283" s="51" t="s">
        <v>64</v>
      </c>
      <c r="M283" s="51" t="s">
        <v>64</v>
      </c>
      <c r="N283" s="51"/>
      <c r="O283" s="51"/>
      <c r="P283" s="51"/>
      <c r="Q283" s="51"/>
      <c r="R283" s="51"/>
      <c r="S283" s="51"/>
    </row>
    <row r="284">
      <c r="A284" s="51"/>
      <c r="B284" s="51"/>
      <c r="C284" s="51"/>
      <c r="D284" s="51"/>
      <c r="E284" s="51"/>
      <c r="F284" s="51"/>
      <c r="G284" s="51"/>
      <c r="H284" s="51"/>
      <c r="I284" s="51"/>
      <c r="J284" s="51" t="str">
        <f>IFERROR(__xludf.DUMMYFUNCTION("""COMPUTED_VALUE"""),"")</f>
        <v/>
      </c>
      <c r="K284" s="51" t="str">
        <f>IFERROR(__xludf.DUMMYFUNCTION("""COMPUTED_VALUE"""),"")</f>
        <v/>
      </c>
      <c r="L284" s="51" t="s">
        <v>64</v>
      </c>
      <c r="M284" s="51" t="s">
        <v>64</v>
      </c>
      <c r="N284" s="51"/>
      <c r="O284" s="51"/>
      <c r="P284" s="51"/>
      <c r="Q284" s="51"/>
      <c r="R284" s="51"/>
      <c r="S284" s="51"/>
    </row>
    <row r="285">
      <c r="A285" s="51"/>
      <c r="B285" s="51"/>
      <c r="C285" s="51"/>
      <c r="D285" s="51"/>
      <c r="E285" s="51"/>
      <c r="F285" s="51"/>
      <c r="G285" s="51"/>
      <c r="H285" s="51"/>
      <c r="I285" s="51"/>
      <c r="J285" s="51" t="str">
        <f>IFERROR(__xludf.DUMMYFUNCTION("""COMPUTED_VALUE"""),"")</f>
        <v/>
      </c>
      <c r="K285" s="51" t="str">
        <f>IFERROR(__xludf.DUMMYFUNCTION("""COMPUTED_VALUE"""),"")</f>
        <v/>
      </c>
      <c r="L285" s="51" t="s">
        <v>64</v>
      </c>
      <c r="M285" s="51" t="s">
        <v>64</v>
      </c>
      <c r="N285" s="51"/>
      <c r="O285" s="51"/>
      <c r="P285" s="51"/>
      <c r="Q285" s="51"/>
      <c r="R285" s="51"/>
      <c r="S285" s="51"/>
    </row>
    <row r="286">
      <c r="A286" s="51"/>
      <c r="B286" s="51"/>
      <c r="C286" s="51"/>
      <c r="D286" s="51"/>
      <c r="E286" s="51"/>
      <c r="F286" s="51"/>
      <c r="G286" s="51"/>
      <c r="H286" s="51"/>
      <c r="I286" s="51"/>
      <c r="J286" s="51" t="str">
        <f>IFERROR(__xludf.DUMMYFUNCTION("""COMPUTED_VALUE"""),"")</f>
        <v/>
      </c>
      <c r="K286" s="51" t="str">
        <f>IFERROR(__xludf.DUMMYFUNCTION("""COMPUTED_VALUE"""),"")</f>
        <v/>
      </c>
      <c r="L286" s="51" t="s">
        <v>64</v>
      </c>
      <c r="M286" s="51" t="s">
        <v>64</v>
      </c>
      <c r="N286" s="51"/>
      <c r="O286" s="51"/>
      <c r="P286" s="51"/>
      <c r="Q286" s="51"/>
      <c r="R286" s="51"/>
      <c r="S286" s="51"/>
    </row>
    <row r="287">
      <c r="A287" s="51"/>
      <c r="B287" s="51"/>
      <c r="C287" s="51"/>
      <c r="D287" s="51"/>
      <c r="E287" s="51"/>
      <c r="F287" s="51"/>
      <c r="G287" s="51"/>
      <c r="H287" s="51"/>
      <c r="I287" s="51"/>
      <c r="J287" s="51" t="str">
        <f>IFERROR(__xludf.DUMMYFUNCTION("""COMPUTED_VALUE"""),"")</f>
        <v/>
      </c>
      <c r="K287" s="51" t="str">
        <f>IFERROR(__xludf.DUMMYFUNCTION("""COMPUTED_VALUE"""),"")</f>
        <v/>
      </c>
      <c r="L287" s="51" t="s">
        <v>64</v>
      </c>
      <c r="M287" s="51" t="s">
        <v>64</v>
      </c>
      <c r="N287" s="51"/>
      <c r="O287" s="51"/>
      <c r="P287" s="51"/>
      <c r="Q287" s="51"/>
      <c r="R287" s="51"/>
      <c r="S287" s="51"/>
    </row>
    <row r="288">
      <c r="A288" s="51"/>
      <c r="B288" s="51"/>
      <c r="C288" s="51"/>
      <c r="D288" s="51"/>
      <c r="E288" s="51"/>
      <c r="F288" s="51"/>
      <c r="G288" s="51"/>
      <c r="H288" s="51"/>
      <c r="I288" s="51"/>
      <c r="J288" s="51" t="str">
        <f>IFERROR(__xludf.DUMMYFUNCTION("""COMPUTED_VALUE"""),"")</f>
        <v/>
      </c>
      <c r="K288" s="51" t="str">
        <f>IFERROR(__xludf.DUMMYFUNCTION("""COMPUTED_VALUE"""),"")</f>
        <v/>
      </c>
      <c r="L288" s="51" t="s">
        <v>64</v>
      </c>
      <c r="M288" s="51" t="s">
        <v>64</v>
      </c>
      <c r="N288" s="51"/>
      <c r="O288" s="51"/>
      <c r="P288" s="51"/>
      <c r="Q288" s="51"/>
      <c r="R288" s="51"/>
      <c r="S288" s="51"/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 t="str">
        <f>IFERROR(__xludf.DUMMYFUNCTION("""COMPUTED_VALUE"""),"")</f>
        <v/>
      </c>
      <c r="K289" s="51" t="str">
        <f>IFERROR(__xludf.DUMMYFUNCTION("""COMPUTED_VALUE"""),"")</f>
        <v/>
      </c>
      <c r="L289" s="51" t="s">
        <v>64</v>
      </c>
      <c r="M289" s="51" t="s">
        <v>64</v>
      </c>
      <c r="N289" s="51"/>
      <c r="O289" s="51"/>
      <c r="P289" s="51"/>
      <c r="Q289" s="51"/>
      <c r="R289" s="51"/>
      <c r="S289" s="51"/>
    </row>
    <row r="290">
      <c r="A290" s="51"/>
      <c r="B290" s="51"/>
      <c r="C290" s="51"/>
      <c r="D290" s="51"/>
      <c r="E290" s="51"/>
      <c r="F290" s="51"/>
      <c r="G290" s="51"/>
      <c r="H290" s="51"/>
      <c r="I290" s="51"/>
      <c r="J290" s="51" t="str">
        <f>IFERROR(__xludf.DUMMYFUNCTION("""COMPUTED_VALUE"""),"")</f>
        <v/>
      </c>
      <c r="K290" s="51" t="str">
        <f>IFERROR(__xludf.DUMMYFUNCTION("""COMPUTED_VALUE"""),"")</f>
        <v/>
      </c>
      <c r="L290" s="51" t="s">
        <v>64</v>
      </c>
      <c r="M290" s="51" t="s">
        <v>64</v>
      </c>
      <c r="N290" s="51"/>
      <c r="O290" s="51"/>
      <c r="P290" s="51"/>
      <c r="Q290" s="51"/>
      <c r="R290" s="51"/>
      <c r="S290" s="51"/>
    </row>
    <row r="291">
      <c r="A291" s="51"/>
      <c r="B291" s="51"/>
      <c r="C291" s="51"/>
      <c r="D291" s="51"/>
      <c r="E291" s="51"/>
      <c r="F291" s="51"/>
      <c r="G291" s="51"/>
      <c r="H291" s="51"/>
      <c r="I291" s="51"/>
      <c r="J291" s="51" t="str">
        <f>IFERROR(__xludf.DUMMYFUNCTION("""COMPUTED_VALUE"""),"")</f>
        <v/>
      </c>
      <c r="K291" s="51" t="str">
        <f>IFERROR(__xludf.DUMMYFUNCTION("""COMPUTED_VALUE"""),"")</f>
        <v/>
      </c>
      <c r="L291" s="51" t="s">
        <v>64</v>
      </c>
      <c r="M291" s="51" t="s">
        <v>64</v>
      </c>
      <c r="N291" s="51"/>
      <c r="O291" s="51"/>
      <c r="P291" s="51"/>
      <c r="Q291" s="51"/>
      <c r="R291" s="51"/>
      <c r="S291" s="51"/>
    </row>
    <row r="292">
      <c r="A292" s="51"/>
      <c r="B292" s="51"/>
      <c r="C292" s="51"/>
      <c r="D292" s="51"/>
      <c r="E292" s="51"/>
      <c r="F292" s="51"/>
      <c r="G292" s="51"/>
      <c r="H292" s="51"/>
      <c r="I292" s="51"/>
      <c r="J292" s="51" t="str">
        <f>IFERROR(__xludf.DUMMYFUNCTION("""COMPUTED_VALUE"""),"")</f>
        <v/>
      </c>
      <c r="K292" s="51" t="str">
        <f>IFERROR(__xludf.DUMMYFUNCTION("""COMPUTED_VALUE"""),"")</f>
        <v/>
      </c>
      <c r="L292" s="51" t="s">
        <v>64</v>
      </c>
      <c r="M292" s="51" t="s">
        <v>64</v>
      </c>
      <c r="N292" s="51"/>
      <c r="O292" s="51"/>
      <c r="P292" s="51"/>
      <c r="Q292" s="51"/>
      <c r="R292" s="51"/>
      <c r="S292" s="51"/>
    </row>
    <row r="293">
      <c r="A293" s="51"/>
      <c r="B293" s="51"/>
      <c r="C293" s="51"/>
      <c r="D293" s="51"/>
      <c r="E293" s="51"/>
      <c r="F293" s="51"/>
      <c r="G293" s="51"/>
      <c r="H293" s="51"/>
      <c r="I293" s="51"/>
      <c r="J293" s="51" t="str">
        <f>IFERROR(__xludf.DUMMYFUNCTION("""COMPUTED_VALUE"""),"")</f>
        <v/>
      </c>
      <c r="K293" s="51" t="str">
        <f>IFERROR(__xludf.DUMMYFUNCTION("""COMPUTED_VALUE"""),"")</f>
        <v/>
      </c>
      <c r="L293" s="51" t="s">
        <v>64</v>
      </c>
      <c r="M293" s="51" t="s">
        <v>64</v>
      </c>
      <c r="N293" s="51"/>
      <c r="O293" s="51"/>
      <c r="P293" s="51"/>
      <c r="Q293" s="51"/>
      <c r="R293" s="51"/>
      <c r="S293" s="51"/>
    </row>
    <row r="294">
      <c r="A294" s="51"/>
      <c r="B294" s="51"/>
      <c r="C294" s="51"/>
      <c r="D294" s="51"/>
      <c r="E294" s="51"/>
      <c r="F294" s="51"/>
      <c r="G294" s="51"/>
      <c r="H294" s="51"/>
      <c r="I294" s="51"/>
      <c r="J294" s="51" t="str">
        <f>IFERROR(__xludf.DUMMYFUNCTION("""COMPUTED_VALUE"""),"")</f>
        <v/>
      </c>
      <c r="K294" s="51" t="str">
        <f>IFERROR(__xludf.DUMMYFUNCTION("""COMPUTED_VALUE"""),"")</f>
        <v/>
      </c>
      <c r="L294" s="51" t="s">
        <v>64</v>
      </c>
      <c r="M294" s="51" t="s">
        <v>64</v>
      </c>
      <c r="N294" s="51"/>
      <c r="O294" s="51"/>
      <c r="P294" s="51"/>
      <c r="Q294" s="51"/>
      <c r="R294" s="51"/>
      <c r="S294" s="51"/>
    </row>
    <row r="295">
      <c r="A295" s="51"/>
      <c r="B295" s="51"/>
      <c r="C295" s="51"/>
      <c r="D295" s="51"/>
      <c r="E295" s="51"/>
      <c r="F295" s="51"/>
      <c r="G295" s="51"/>
      <c r="H295" s="51"/>
      <c r="I295" s="51"/>
      <c r="J295" s="51" t="str">
        <f>IFERROR(__xludf.DUMMYFUNCTION("""COMPUTED_VALUE"""),"")</f>
        <v/>
      </c>
      <c r="K295" s="51" t="str">
        <f>IFERROR(__xludf.DUMMYFUNCTION("""COMPUTED_VALUE"""),"")</f>
        <v/>
      </c>
      <c r="L295" s="51" t="s">
        <v>64</v>
      </c>
      <c r="M295" s="51" t="s">
        <v>64</v>
      </c>
      <c r="N295" s="51"/>
      <c r="O295" s="51"/>
      <c r="P295" s="51"/>
      <c r="Q295" s="51"/>
      <c r="R295" s="51"/>
      <c r="S295" s="51"/>
    </row>
    <row r="296">
      <c r="A296" s="51"/>
      <c r="B296" s="51"/>
      <c r="C296" s="51"/>
      <c r="D296" s="51"/>
      <c r="E296" s="51"/>
      <c r="F296" s="51"/>
      <c r="G296" s="51"/>
      <c r="H296" s="51"/>
      <c r="I296" s="51"/>
      <c r="J296" s="51" t="str">
        <f>IFERROR(__xludf.DUMMYFUNCTION("""COMPUTED_VALUE"""),"")</f>
        <v/>
      </c>
      <c r="K296" s="51" t="str">
        <f>IFERROR(__xludf.DUMMYFUNCTION("""COMPUTED_VALUE"""),"")</f>
        <v/>
      </c>
      <c r="L296" s="51" t="s">
        <v>64</v>
      </c>
      <c r="M296" s="51" t="s">
        <v>64</v>
      </c>
      <c r="N296" s="51"/>
      <c r="O296" s="51"/>
      <c r="P296" s="51"/>
      <c r="Q296" s="51"/>
      <c r="R296" s="51"/>
      <c r="S296" s="51"/>
    </row>
    <row r="297">
      <c r="A297" s="51"/>
      <c r="B297" s="51"/>
      <c r="C297" s="51"/>
      <c r="D297" s="51"/>
      <c r="E297" s="51"/>
      <c r="F297" s="51"/>
      <c r="G297" s="51"/>
      <c r="H297" s="51"/>
      <c r="I297" s="51"/>
      <c r="J297" s="51" t="str">
        <f>IFERROR(__xludf.DUMMYFUNCTION("""COMPUTED_VALUE"""),"")</f>
        <v/>
      </c>
      <c r="K297" s="51" t="str">
        <f>IFERROR(__xludf.DUMMYFUNCTION("""COMPUTED_VALUE"""),"")</f>
        <v/>
      </c>
      <c r="L297" s="51" t="s">
        <v>64</v>
      </c>
      <c r="M297" s="51" t="s">
        <v>64</v>
      </c>
      <c r="N297" s="51"/>
      <c r="O297" s="51"/>
      <c r="P297" s="51"/>
      <c r="Q297" s="51"/>
      <c r="R297" s="51"/>
      <c r="S297" s="51"/>
    </row>
    <row r="298">
      <c r="A298" s="51"/>
      <c r="B298" s="51"/>
      <c r="C298" s="51"/>
      <c r="D298" s="51"/>
      <c r="E298" s="51"/>
      <c r="F298" s="51"/>
      <c r="G298" s="51"/>
      <c r="H298" s="51"/>
      <c r="I298" s="51"/>
      <c r="J298" s="51" t="str">
        <f>IFERROR(__xludf.DUMMYFUNCTION("""COMPUTED_VALUE"""),"")</f>
        <v/>
      </c>
      <c r="K298" s="51" t="str">
        <f>IFERROR(__xludf.DUMMYFUNCTION("""COMPUTED_VALUE"""),"")</f>
        <v/>
      </c>
      <c r="L298" s="51" t="s">
        <v>64</v>
      </c>
      <c r="M298" s="51" t="s">
        <v>64</v>
      </c>
      <c r="N298" s="51"/>
      <c r="O298" s="51"/>
      <c r="P298" s="51"/>
      <c r="Q298" s="51"/>
      <c r="R298" s="51"/>
      <c r="S298" s="51"/>
    </row>
    <row r="299">
      <c r="A299" s="51"/>
      <c r="B299" s="51"/>
      <c r="C299" s="51"/>
      <c r="D299" s="51"/>
      <c r="E299" s="51"/>
      <c r="F299" s="51"/>
      <c r="G299" s="51"/>
      <c r="H299" s="51"/>
      <c r="I299" s="51"/>
      <c r="J299" s="51" t="str">
        <f>IFERROR(__xludf.DUMMYFUNCTION("""COMPUTED_VALUE"""),"")</f>
        <v/>
      </c>
      <c r="K299" s="51" t="str">
        <f>IFERROR(__xludf.DUMMYFUNCTION("""COMPUTED_VALUE"""),"")</f>
        <v/>
      </c>
      <c r="L299" s="51" t="s">
        <v>64</v>
      </c>
      <c r="M299" s="51" t="s">
        <v>64</v>
      </c>
      <c r="N299" s="51"/>
      <c r="O299" s="51"/>
      <c r="P299" s="51"/>
      <c r="Q299" s="51"/>
      <c r="R299" s="51"/>
      <c r="S299" s="51"/>
    </row>
    <row r="300">
      <c r="A300" s="51"/>
      <c r="B300" s="51"/>
      <c r="C300" s="51"/>
      <c r="D300" s="51"/>
      <c r="E300" s="51"/>
      <c r="F300" s="51"/>
      <c r="G300" s="51"/>
      <c r="H300" s="51"/>
      <c r="I300" s="51"/>
      <c r="J300" s="51" t="str">
        <f>IFERROR(__xludf.DUMMYFUNCTION("""COMPUTED_VALUE"""),"")</f>
        <v/>
      </c>
      <c r="K300" s="51" t="str">
        <f>IFERROR(__xludf.DUMMYFUNCTION("""COMPUTED_VALUE"""),"")</f>
        <v/>
      </c>
      <c r="L300" s="51" t="s">
        <v>64</v>
      </c>
      <c r="M300" s="51" t="s">
        <v>64</v>
      </c>
      <c r="N300" s="51"/>
      <c r="O300" s="51"/>
      <c r="P300" s="51"/>
      <c r="Q300" s="51"/>
      <c r="R300" s="51"/>
      <c r="S300" s="51"/>
    </row>
    <row r="301">
      <c r="A301" s="51"/>
      <c r="B301" s="51"/>
      <c r="C301" s="51"/>
      <c r="D301" s="51"/>
      <c r="E301" s="51"/>
      <c r="F301" s="51"/>
      <c r="G301" s="51"/>
      <c r="H301" s="51"/>
      <c r="I301" s="51"/>
      <c r="J301" s="51" t="str">
        <f>IFERROR(__xludf.DUMMYFUNCTION("""COMPUTED_VALUE"""),"")</f>
        <v/>
      </c>
      <c r="K301" s="51" t="str">
        <f>IFERROR(__xludf.DUMMYFUNCTION("""COMPUTED_VALUE"""),"")</f>
        <v/>
      </c>
      <c r="L301" s="51" t="s">
        <v>64</v>
      </c>
      <c r="M301" s="51" t="s">
        <v>64</v>
      </c>
      <c r="N301" s="51"/>
      <c r="O301" s="51"/>
      <c r="P301" s="51"/>
      <c r="Q301" s="51"/>
      <c r="R301" s="51"/>
      <c r="S301" s="51"/>
    </row>
    <row r="302">
      <c r="A302" s="51"/>
      <c r="B302" s="51"/>
      <c r="C302" s="51"/>
      <c r="D302" s="51"/>
      <c r="E302" s="51"/>
      <c r="F302" s="51"/>
      <c r="G302" s="51"/>
      <c r="H302" s="51"/>
      <c r="I302" s="51"/>
      <c r="J302" s="51" t="str">
        <f>IFERROR(__xludf.DUMMYFUNCTION("""COMPUTED_VALUE"""),"")</f>
        <v/>
      </c>
      <c r="K302" s="51" t="str">
        <f>IFERROR(__xludf.DUMMYFUNCTION("""COMPUTED_VALUE"""),"")</f>
        <v/>
      </c>
      <c r="L302" s="51" t="s">
        <v>64</v>
      </c>
      <c r="M302" s="51" t="s">
        <v>64</v>
      </c>
      <c r="N302" s="51"/>
      <c r="O302" s="51"/>
      <c r="P302" s="51"/>
      <c r="Q302" s="51"/>
      <c r="R302" s="51"/>
      <c r="S302" s="51"/>
    </row>
    <row r="303">
      <c r="A303" s="51"/>
      <c r="B303" s="51"/>
      <c r="C303" s="51"/>
      <c r="D303" s="51"/>
      <c r="E303" s="51"/>
      <c r="F303" s="51"/>
      <c r="G303" s="51"/>
      <c r="H303" s="51"/>
      <c r="I303" s="51"/>
      <c r="J303" s="51" t="str">
        <f>IFERROR(__xludf.DUMMYFUNCTION("""COMPUTED_VALUE"""),"")</f>
        <v/>
      </c>
      <c r="K303" s="51" t="str">
        <f>IFERROR(__xludf.DUMMYFUNCTION("""COMPUTED_VALUE"""),"")</f>
        <v/>
      </c>
      <c r="L303" s="51" t="s">
        <v>64</v>
      </c>
      <c r="M303" s="51" t="s">
        <v>64</v>
      </c>
      <c r="N303" s="51"/>
      <c r="O303" s="51"/>
      <c r="P303" s="51"/>
      <c r="Q303" s="51"/>
      <c r="R303" s="51"/>
      <c r="S303" s="51"/>
    </row>
    <row r="304">
      <c r="A304" s="51"/>
      <c r="B304" s="51"/>
      <c r="C304" s="51"/>
      <c r="D304" s="51"/>
      <c r="E304" s="51"/>
      <c r="F304" s="51"/>
      <c r="G304" s="51"/>
      <c r="H304" s="51"/>
      <c r="I304" s="51"/>
      <c r="J304" s="51" t="str">
        <f>IFERROR(__xludf.DUMMYFUNCTION("""COMPUTED_VALUE"""),"")</f>
        <v/>
      </c>
      <c r="K304" s="51" t="str">
        <f>IFERROR(__xludf.DUMMYFUNCTION("""COMPUTED_VALUE"""),"")</f>
        <v/>
      </c>
      <c r="L304" s="51" t="s">
        <v>64</v>
      </c>
      <c r="M304" s="51" t="s">
        <v>64</v>
      </c>
      <c r="N304" s="51"/>
      <c r="O304" s="51"/>
      <c r="P304" s="51"/>
      <c r="Q304" s="51"/>
      <c r="R304" s="51"/>
      <c r="S304" s="51"/>
    </row>
    <row r="305">
      <c r="A305" s="51"/>
      <c r="B305" s="51"/>
      <c r="C305" s="51"/>
      <c r="D305" s="51"/>
      <c r="E305" s="51"/>
      <c r="F305" s="51"/>
      <c r="G305" s="51"/>
      <c r="H305" s="51"/>
      <c r="I305" s="51"/>
      <c r="J305" s="51" t="str">
        <f>IFERROR(__xludf.DUMMYFUNCTION("""COMPUTED_VALUE"""),"")</f>
        <v/>
      </c>
      <c r="K305" s="51" t="str">
        <f>IFERROR(__xludf.DUMMYFUNCTION("""COMPUTED_VALUE"""),"")</f>
        <v/>
      </c>
      <c r="L305" s="51" t="s">
        <v>64</v>
      </c>
      <c r="M305" s="51" t="s">
        <v>64</v>
      </c>
      <c r="N305" s="51"/>
      <c r="O305" s="51"/>
      <c r="P305" s="51"/>
      <c r="Q305" s="51"/>
      <c r="R305" s="51"/>
      <c r="S305" s="51"/>
    </row>
    <row r="306">
      <c r="A306" s="51"/>
      <c r="B306" s="51"/>
      <c r="C306" s="51"/>
      <c r="D306" s="51"/>
      <c r="E306" s="51"/>
      <c r="F306" s="51"/>
      <c r="G306" s="51"/>
      <c r="H306" s="51"/>
      <c r="I306" s="51"/>
      <c r="J306" s="51" t="str">
        <f>IFERROR(__xludf.DUMMYFUNCTION("""COMPUTED_VALUE"""),"")</f>
        <v/>
      </c>
      <c r="K306" s="51" t="str">
        <f>IFERROR(__xludf.DUMMYFUNCTION("""COMPUTED_VALUE"""),"")</f>
        <v/>
      </c>
      <c r="L306" s="51" t="s">
        <v>64</v>
      </c>
      <c r="M306" s="51" t="s">
        <v>64</v>
      </c>
      <c r="N306" s="51"/>
      <c r="O306" s="51"/>
      <c r="P306" s="51"/>
      <c r="Q306" s="51"/>
      <c r="R306" s="51"/>
      <c r="S306" s="51"/>
    </row>
    <row r="307">
      <c r="A307" s="51"/>
      <c r="B307" s="51"/>
      <c r="C307" s="51"/>
      <c r="D307" s="51"/>
      <c r="E307" s="51"/>
      <c r="F307" s="51"/>
      <c r="G307" s="51"/>
      <c r="H307" s="51"/>
      <c r="I307" s="51"/>
      <c r="J307" s="51" t="str">
        <f>IFERROR(__xludf.DUMMYFUNCTION("""COMPUTED_VALUE"""),"")</f>
        <v/>
      </c>
      <c r="K307" s="51" t="str">
        <f>IFERROR(__xludf.DUMMYFUNCTION("""COMPUTED_VALUE"""),"")</f>
        <v/>
      </c>
      <c r="L307" s="51" t="s">
        <v>64</v>
      </c>
      <c r="M307" s="51" t="s">
        <v>64</v>
      </c>
      <c r="N307" s="51"/>
      <c r="O307" s="51"/>
      <c r="P307" s="51"/>
      <c r="Q307" s="51"/>
      <c r="R307" s="51"/>
      <c r="S307" s="51"/>
    </row>
    <row r="308">
      <c r="A308" s="51"/>
      <c r="B308" s="51"/>
      <c r="C308" s="51"/>
      <c r="D308" s="51"/>
      <c r="E308" s="51"/>
      <c r="F308" s="51"/>
      <c r="G308" s="51"/>
      <c r="H308" s="51"/>
      <c r="I308" s="51"/>
      <c r="J308" s="51" t="str">
        <f>IFERROR(__xludf.DUMMYFUNCTION("""COMPUTED_VALUE"""),"")</f>
        <v/>
      </c>
      <c r="K308" s="51" t="str">
        <f>IFERROR(__xludf.DUMMYFUNCTION("""COMPUTED_VALUE"""),"")</f>
        <v/>
      </c>
      <c r="L308" s="51" t="s">
        <v>64</v>
      </c>
      <c r="M308" s="51" t="s">
        <v>64</v>
      </c>
      <c r="N308" s="51"/>
      <c r="O308" s="51"/>
      <c r="P308" s="51"/>
      <c r="Q308" s="51"/>
      <c r="R308" s="51"/>
      <c r="S308" s="51"/>
    </row>
    <row r="309">
      <c r="A309" s="51"/>
      <c r="B309" s="51"/>
      <c r="C309" s="51"/>
      <c r="D309" s="51"/>
      <c r="E309" s="51"/>
      <c r="F309" s="51"/>
      <c r="G309" s="51"/>
      <c r="H309" s="51"/>
      <c r="I309" s="51"/>
      <c r="J309" s="51" t="str">
        <f>IFERROR(__xludf.DUMMYFUNCTION("""COMPUTED_VALUE"""),"")</f>
        <v/>
      </c>
      <c r="K309" s="51" t="str">
        <f>IFERROR(__xludf.DUMMYFUNCTION("""COMPUTED_VALUE"""),"")</f>
        <v/>
      </c>
      <c r="L309" s="51" t="s">
        <v>64</v>
      </c>
      <c r="M309" s="51" t="s">
        <v>64</v>
      </c>
      <c r="N309" s="51"/>
      <c r="O309" s="51"/>
      <c r="P309" s="51"/>
      <c r="Q309" s="51"/>
      <c r="R309" s="51"/>
      <c r="S309" s="51"/>
    </row>
    <row r="310">
      <c r="A310" s="51"/>
      <c r="B310" s="51"/>
      <c r="C310" s="51"/>
      <c r="D310" s="51"/>
      <c r="E310" s="51"/>
      <c r="F310" s="51"/>
      <c r="G310" s="51"/>
      <c r="H310" s="51"/>
      <c r="I310" s="51"/>
      <c r="J310" s="51" t="str">
        <f>IFERROR(__xludf.DUMMYFUNCTION("""COMPUTED_VALUE"""),"")</f>
        <v/>
      </c>
      <c r="K310" s="51" t="str">
        <f>IFERROR(__xludf.DUMMYFUNCTION("""COMPUTED_VALUE"""),"")</f>
        <v/>
      </c>
      <c r="L310" s="51" t="s">
        <v>64</v>
      </c>
      <c r="M310" s="51" t="s">
        <v>64</v>
      </c>
      <c r="N310" s="51"/>
      <c r="O310" s="51"/>
      <c r="P310" s="51"/>
      <c r="Q310" s="51"/>
      <c r="R310" s="51"/>
      <c r="S310" s="51"/>
    </row>
    <row r="311">
      <c r="A311" s="51"/>
      <c r="B311" s="51"/>
      <c r="C311" s="51"/>
      <c r="D311" s="51"/>
      <c r="E311" s="51"/>
      <c r="F311" s="51"/>
      <c r="G311" s="51"/>
      <c r="H311" s="51"/>
      <c r="I311" s="51"/>
      <c r="J311" s="51" t="str">
        <f>IFERROR(__xludf.DUMMYFUNCTION("""COMPUTED_VALUE"""),"")</f>
        <v/>
      </c>
      <c r="K311" s="51" t="str">
        <f>IFERROR(__xludf.DUMMYFUNCTION("""COMPUTED_VALUE"""),"")</f>
        <v/>
      </c>
      <c r="L311" s="51" t="s">
        <v>64</v>
      </c>
      <c r="M311" s="51" t="s">
        <v>64</v>
      </c>
      <c r="N311" s="51"/>
      <c r="O311" s="51"/>
      <c r="P311" s="51"/>
      <c r="Q311" s="51"/>
      <c r="R311" s="51"/>
      <c r="S311" s="51"/>
    </row>
    <row r="312">
      <c r="A312" s="51"/>
      <c r="B312" s="51"/>
      <c r="C312" s="51"/>
      <c r="D312" s="51"/>
      <c r="E312" s="51"/>
      <c r="F312" s="51"/>
      <c r="G312" s="51"/>
      <c r="H312" s="51"/>
      <c r="I312" s="51"/>
      <c r="J312" s="51" t="str">
        <f>IFERROR(__xludf.DUMMYFUNCTION("""COMPUTED_VALUE"""),"")</f>
        <v/>
      </c>
      <c r="K312" s="51" t="str">
        <f>IFERROR(__xludf.DUMMYFUNCTION("""COMPUTED_VALUE"""),"")</f>
        <v/>
      </c>
      <c r="L312" s="51" t="s">
        <v>64</v>
      </c>
      <c r="M312" s="51" t="s">
        <v>64</v>
      </c>
      <c r="N312" s="51"/>
      <c r="O312" s="51"/>
      <c r="P312" s="51"/>
      <c r="Q312" s="51"/>
      <c r="R312" s="51"/>
      <c r="S312" s="51"/>
    </row>
    <row r="313">
      <c r="A313" s="51"/>
      <c r="B313" s="51"/>
      <c r="C313" s="51"/>
      <c r="D313" s="51"/>
      <c r="E313" s="51"/>
      <c r="F313" s="51"/>
      <c r="G313" s="51"/>
      <c r="H313" s="51"/>
      <c r="I313" s="51"/>
      <c r="J313" s="51" t="str">
        <f>IFERROR(__xludf.DUMMYFUNCTION("""COMPUTED_VALUE"""),"")</f>
        <v/>
      </c>
      <c r="K313" s="51" t="str">
        <f>IFERROR(__xludf.DUMMYFUNCTION("""COMPUTED_VALUE"""),"")</f>
        <v/>
      </c>
      <c r="L313" s="51" t="s">
        <v>64</v>
      </c>
      <c r="M313" s="51" t="s">
        <v>64</v>
      </c>
      <c r="N313" s="51"/>
      <c r="O313" s="51"/>
      <c r="P313" s="51"/>
      <c r="Q313" s="51"/>
      <c r="R313" s="51"/>
      <c r="S313" s="51"/>
    </row>
    <row r="314">
      <c r="A314" s="51"/>
      <c r="B314" s="51"/>
      <c r="C314" s="51"/>
      <c r="D314" s="51"/>
      <c r="E314" s="51"/>
      <c r="F314" s="51"/>
      <c r="G314" s="51"/>
      <c r="H314" s="51"/>
      <c r="I314" s="51"/>
      <c r="J314" s="51" t="str">
        <f>IFERROR(__xludf.DUMMYFUNCTION("""COMPUTED_VALUE"""),"")</f>
        <v/>
      </c>
      <c r="K314" s="51" t="str">
        <f>IFERROR(__xludf.DUMMYFUNCTION("""COMPUTED_VALUE"""),"")</f>
        <v/>
      </c>
      <c r="L314" s="51" t="s">
        <v>64</v>
      </c>
      <c r="M314" s="51" t="s">
        <v>64</v>
      </c>
      <c r="N314" s="51"/>
      <c r="O314" s="51"/>
      <c r="P314" s="51"/>
      <c r="Q314" s="51"/>
      <c r="R314" s="51"/>
      <c r="S314" s="51"/>
    </row>
    <row r="315">
      <c r="A315" s="51"/>
      <c r="B315" s="51"/>
      <c r="C315" s="51"/>
      <c r="D315" s="51"/>
      <c r="E315" s="51"/>
      <c r="F315" s="51"/>
      <c r="G315" s="51"/>
      <c r="H315" s="51"/>
      <c r="I315" s="51"/>
      <c r="J315" s="51" t="str">
        <f>IFERROR(__xludf.DUMMYFUNCTION("""COMPUTED_VALUE"""),"")</f>
        <v/>
      </c>
      <c r="K315" s="51" t="str">
        <f>IFERROR(__xludf.DUMMYFUNCTION("""COMPUTED_VALUE"""),"")</f>
        <v/>
      </c>
      <c r="L315" s="51" t="s">
        <v>64</v>
      </c>
      <c r="M315" s="51" t="s">
        <v>64</v>
      </c>
      <c r="N315" s="51"/>
      <c r="O315" s="51"/>
      <c r="P315" s="51"/>
      <c r="Q315" s="51"/>
      <c r="R315" s="51"/>
      <c r="S315" s="51"/>
    </row>
    <row r="316">
      <c r="A316" s="51"/>
      <c r="B316" s="51"/>
      <c r="C316" s="51"/>
      <c r="D316" s="51"/>
      <c r="E316" s="51"/>
      <c r="F316" s="51"/>
      <c r="G316" s="51"/>
      <c r="H316" s="51"/>
      <c r="I316" s="51"/>
      <c r="J316" s="51" t="str">
        <f>IFERROR(__xludf.DUMMYFUNCTION("""COMPUTED_VALUE"""),"")</f>
        <v/>
      </c>
      <c r="K316" s="51" t="str">
        <f>IFERROR(__xludf.DUMMYFUNCTION("""COMPUTED_VALUE"""),"")</f>
        <v/>
      </c>
      <c r="L316" s="51" t="s">
        <v>64</v>
      </c>
      <c r="M316" s="51" t="s">
        <v>64</v>
      </c>
      <c r="N316" s="51"/>
      <c r="O316" s="51"/>
      <c r="P316" s="51"/>
      <c r="Q316" s="51"/>
      <c r="R316" s="51"/>
      <c r="S316" s="51"/>
    </row>
    <row r="317">
      <c r="A317" s="51"/>
      <c r="B317" s="51"/>
      <c r="C317" s="51"/>
      <c r="D317" s="51"/>
      <c r="E317" s="51"/>
      <c r="F317" s="51"/>
      <c r="G317" s="51"/>
      <c r="H317" s="51"/>
      <c r="I317" s="51"/>
      <c r="J317" s="51" t="str">
        <f>IFERROR(__xludf.DUMMYFUNCTION("""COMPUTED_VALUE"""),"")</f>
        <v/>
      </c>
      <c r="K317" s="51" t="str">
        <f>IFERROR(__xludf.DUMMYFUNCTION("""COMPUTED_VALUE"""),"")</f>
        <v/>
      </c>
      <c r="L317" s="51" t="s">
        <v>64</v>
      </c>
      <c r="M317" s="51" t="s">
        <v>64</v>
      </c>
      <c r="N317" s="51"/>
      <c r="O317" s="51"/>
      <c r="P317" s="51"/>
      <c r="Q317" s="51"/>
      <c r="R317" s="51"/>
      <c r="S317" s="51"/>
    </row>
    <row r="318">
      <c r="A318" s="51"/>
      <c r="B318" s="51"/>
      <c r="C318" s="51"/>
      <c r="D318" s="51"/>
      <c r="E318" s="51"/>
      <c r="F318" s="51"/>
      <c r="G318" s="51"/>
      <c r="H318" s="51"/>
      <c r="I318" s="51"/>
      <c r="J318" s="51" t="str">
        <f>IFERROR(__xludf.DUMMYFUNCTION("""COMPUTED_VALUE"""),"")</f>
        <v/>
      </c>
      <c r="K318" s="51" t="str">
        <f>IFERROR(__xludf.DUMMYFUNCTION("""COMPUTED_VALUE"""),"")</f>
        <v/>
      </c>
      <c r="L318" s="51" t="s">
        <v>64</v>
      </c>
      <c r="M318" s="51" t="s">
        <v>64</v>
      </c>
      <c r="N318" s="51"/>
      <c r="O318" s="51"/>
      <c r="P318" s="51"/>
      <c r="Q318" s="51"/>
      <c r="R318" s="51"/>
      <c r="S318" s="51"/>
    </row>
    <row r="319">
      <c r="A319" s="51"/>
      <c r="B319" s="51"/>
      <c r="C319" s="51"/>
      <c r="D319" s="51"/>
      <c r="E319" s="51"/>
      <c r="F319" s="51"/>
      <c r="G319" s="51"/>
      <c r="H319" s="51"/>
      <c r="I319" s="51"/>
      <c r="J319" s="51" t="str">
        <f>IFERROR(__xludf.DUMMYFUNCTION("""COMPUTED_VALUE"""),"")</f>
        <v/>
      </c>
      <c r="K319" s="51" t="str">
        <f>IFERROR(__xludf.DUMMYFUNCTION("""COMPUTED_VALUE"""),"")</f>
        <v/>
      </c>
      <c r="L319" s="51" t="s">
        <v>64</v>
      </c>
      <c r="M319" s="51" t="s">
        <v>64</v>
      </c>
      <c r="N319" s="51"/>
      <c r="O319" s="51"/>
      <c r="P319" s="51"/>
      <c r="Q319" s="51"/>
      <c r="R319" s="51"/>
      <c r="S319" s="51"/>
    </row>
    <row r="320">
      <c r="A320" s="51"/>
      <c r="B320" s="51"/>
      <c r="C320" s="51"/>
      <c r="D320" s="51"/>
      <c r="E320" s="51"/>
      <c r="F320" s="51"/>
      <c r="G320" s="51"/>
      <c r="H320" s="51"/>
      <c r="I320" s="51"/>
      <c r="J320" s="51" t="str">
        <f>IFERROR(__xludf.DUMMYFUNCTION("""COMPUTED_VALUE"""),"")</f>
        <v/>
      </c>
      <c r="K320" s="51" t="str">
        <f>IFERROR(__xludf.DUMMYFUNCTION("""COMPUTED_VALUE"""),"")</f>
        <v/>
      </c>
      <c r="L320" s="51" t="s">
        <v>64</v>
      </c>
      <c r="M320" s="51" t="s">
        <v>64</v>
      </c>
      <c r="N320" s="51"/>
      <c r="O320" s="51"/>
      <c r="P320" s="51"/>
      <c r="Q320" s="51"/>
      <c r="R320" s="51"/>
      <c r="S320" s="51"/>
    </row>
    <row r="321">
      <c r="A321" s="51"/>
      <c r="B321" s="51"/>
      <c r="C321" s="51"/>
      <c r="D321" s="51"/>
      <c r="E321" s="51"/>
      <c r="F321" s="51"/>
      <c r="G321" s="51"/>
      <c r="H321" s="51"/>
      <c r="I321" s="51"/>
      <c r="J321" s="51" t="str">
        <f>IFERROR(__xludf.DUMMYFUNCTION("""COMPUTED_VALUE"""),"")</f>
        <v/>
      </c>
      <c r="K321" s="51" t="str">
        <f>IFERROR(__xludf.DUMMYFUNCTION("""COMPUTED_VALUE"""),"")</f>
        <v/>
      </c>
      <c r="L321" s="51" t="s">
        <v>64</v>
      </c>
      <c r="M321" s="51" t="s">
        <v>64</v>
      </c>
      <c r="N321" s="51"/>
      <c r="O321" s="51"/>
      <c r="P321" s="51"/>
      <c r="Q321" s="51"/>
      <c r="R321" s="51"/>
      <c r="S321" s="51"/>
    </row>
    <row r="322">
      <c r="A322" s="51"/>
      <c r="B322" s="51"/>
      <c r="C322" s="51"/>
      <c r="D322" s="51"/>
      <c r="E322" s="51"/>
      <c r="F322" s="51"/>
      <c r="G322" s="51"/>
      <c r="H322" s="51"/>
      <c r="I322" s="51"/>
      <c r="J322" s="51" t="str">
        <f>IFERROR(__xludf.DUMMYFUNCTION("""COMPUTED_VALUE"""),"")</f>
        <v/>
      </c>
      <c r="K322" s="51" t="str">
        <f>IFERROR(__xludf.DUMMYFUNCTION("""COMPUTED_VALUE"""),"")</f>
        <v/>
      </c>
      <c r="L322" s="51" t="s">
        <v>64</v>
      </c>
      <c r="M322" s="51" t="s">
        <v>64</v>
      </c>
      <c r="N322" s="51"/>
      <c r="O322" s="51"/>
      <c r="P322" s="51"/>
      <c r="Q322" s="51"/>
      <c r="R322" s="51"/>
      <c r="S322" s="51"/>
    </row>
    <row r="323">
      <c r="A323" s="51"/>
      <c r="B323" s="51"/>
      <c r="C323" s="51"/>
      <c r="D323" s="51"/>
      <c r="E323" s="51"/>
      <c r="F323" s="51"/>
      <c r="G323" s="51"/>
      <c r="H323" s="51"/>
      <c r="I323" s="51"/>
      <c r="J323" s="51" t="str">
        <f>IFERROR(__xludf.DUMMYFUNCTION("""COMPUTED_VALUE"""),"")</f>
        <v/>
      </c>
      <c r="K323" s="51" t="str">
        <f>IFERROR(__xludf.DUMMYFUNCTION("""COMPUTED_VALUE"""),"")</f>
        <v/>
      </c>
      <c r="L323" s="51" t="s">
        <v>64</v>
      </c>
      <c r="M323" s="51" t="s">
        <v>64</v>
      </c>
      <c r="N323" s="51"/>
      <c r="O323" s="51"/>
      <c r="P323" s="51"/>
      <c r="Q323" s="51"/>
      <c r="R323" s="51"/>
      <c r="S323" s="51"/>
    </row>
    <row r="324">
      <c r="A324" s="51"/>
      <c r="B324" s="51"/>
      <c r="C324" s="51"/>
      <c r="D324" s="51"/>
      <c r="E324" s="51"/>
      <c r="F324" s="51"/>
      <c r="G324" s="51"/>
      <c r="H324" s="51"/>
      <c r="I324" s="51"/>
      <c r="J324" s="51" t="str">
        <f>IFERROR(__xludf.DUMMYFUNCTION("""COMPUTED_VALUE"""),"")</f>
        <v/>
      </c>
      <c r="K324" s="51" t="str">
        <f>IFERROR(__xludf.DUMMYFUNCTION("""COMPUTED_VALUE"""),"")</f>
        <v/>
      </c>
      <c r="L324" s="51" t="s">
        <v>64</v>
      </c>
      <c r="M324" s="51" t="s">
        <v>64</v>
      </c>
      <c r="N324" s="51"/>
      <c r="O324" s="51"/>
      <c r="P324" s="51"/>
      <c r="Q324" s="51"/>
      <c r="R324" s="51"/>
      <c r="S324" s="51"/>
    </row>
    <row r="325">
      <c r="A325" s="51"/>
      <c r="B325" s="51"/>
      <c r="C325" s="51"/>
      <c r="D325" s="51"/>
      <c r="E325" s="51"/>
      <c r="F325" s="51"/>
      <c r="G325" s="51"/>
      <c r="H325" s="51"/>
      <c r="I325" s="51"/>
      <c r="J325" s="51" t="str">
        <f>IFERROR(__xludf.DUMMYFUNCTION("""COMPUTED_VALUE"""),"")</f>
        <v/>
      </c>
      <c r="K325" s="51" t="str">
        <f>IFERROR(__xludf.DUMMYFUNCTION("""COMPUTED_VALUE"""),"")</f>
        <v/>
      </c>
      <c r="L325" s="51" t="s">
        <v>64</v>
      </c>
      <c r="M325" s="51" t="s">
        <v>64</v>
      </c>
      <c r="N325" s="51"/>
      <c r="O325" s="51"/>
      <c r="P325" s="51"/>
      <c r="Q325" s="51"/>
      <c r="R325" s="51"/>
      <c r="S325" s="51"/>
    </row>
    <row r="326">
      <c r="A326" s="51"/>
      <c r="B326" s="51"/>
      <c r="C326" s="51"/>
      <c r="D326" s="51"/>
      <c r="E326" s="51"/>
      <c r="F326" s="51"/>
      <c r="G326" s="51"/>
      <c r="H326" s="51"/>
      <c r="I326" s="51"/>
      <c r="J326" s="51" t="str">
        <f>IFERROR(__xludf.DUMMYFUNCTION("""COMPUTED_VALUE"""),"")</f>
        <v/>
      </c>
      <c r="K326" s="51" t="str">
        <f>IFERROR(__xludf.DUMMYFUNCTION("""COMPUTED_VALUE"""),"")</f>
        <v/>
      </c>
      <c r="L326" s="51" t="s">
        <v>64</v>
      </c>
      <c r="M326" s="51" t="s">
        <v>64</v>
      </c>
      <c r="N326" s="51"/>
      <c r="O326" s="51"/>
      <c r="P326" s="51"/>
      <c r="Q326" s="51"/>
      <c r="R326" s="51"/>
      <c r="S326" s="51"/>
    </row>
    <row r="327">
      <c r="A327" s="51"/>
      <c r="B327" s="51"/>
      <c r="C327" s="51"/>
      <c r="D327" s="51"/>
      <c r="E327" s="51"/>
      <c r="F327" s="51"/>
      <c r="G327" s="51"/>
      <c r="H327" s="51"/>
      <c r="I327" s="51"/>
      <c r="J327" s="51" t="str">
        <f>IFERROR(__xludf.DUMMYFUNCTION("""COMPUTED_VALUE"""),"")</f>
        <v/>
      </c>
      <c r="K327" s="51" t="str">
        <f>IFERROR(__xludf.DUMMYFUNCTION("""COMPUTED_VALUE"""),"")</f>
        <v/>
      </c>
      <c r="L327" s="51" t="s">
        <v>64</v>
      </c>
      <c r="M327" s="51" t="s">
        <v>64</v>
      </c>
      <c r="N327" s="51"/>
      <c r="O327" s="51"/>
      <c r="P327" s="51"/>
      <c r="Q327" s="51"/>
      <c r="R327" s="51"/>
      <c r="S327" s="51"/>
    </row>
    <row r="328">
      <c r="A328" s="51"/>
      <c r="B328" s="51"/>
      <c r="C328" s="51"/>
      <c r="D328" s="51"/>
      <c r="E328" s="51"/>
      <c r="F328" s="51"/>
      <c r="G328" s="51"/>
      <c r="H328" s="51"/>
      <c r="I328" s="51"/>
      <c r="J328" s="51" t="str">
        <f>IFERROR(__xludf.DUMMYFUNCTION("""COMPUTED_VALUE"""),"")</f>
        <v/>
      </c>
      <c r="K328" s="51" t="str">
        <f>IFERROR(__xludf.DUMMYFUNCTION("""COMPUTED_VALUE"""),"")</f>
        <v/>
      </c>
      <c r="L328" s="51" t="s">
        <v>64</v>
      </c>
      <c r="M328" s="51" t="s">
        <v>64</v>
      </c>
      <c r="N328" s="51"/>
      <c r="O328" s="51"/>
      <c r="P328" s="51"/>
      <c r="Q328" s="51"/>
      <c r="R328" s="51"/>
      <c r="S328" s="51"/>
    </row>
    <row r="329">
      <c r="A329" s="51"/>
      <c r="B329" s="51"/>
      <c r="C329" s="51"/>
      <c r="D329" s="51"/>
      <c r="E329" s="51"/>
      <c r="F329" s="51"/>
      <c r="G329" s="51"/>
      <c r="H329" s="51"/>
      <c r="I329" s="51"/>
      <c r="J329" s="51" t="str">
        <f>IFERROR(__xludf.DUMMYFUNCTION("""COMPUTED_VALUE"""),"")</f>
        <v/>
      </c>
      <c r="K329" s="51" t="str">
        <f>IFERROR(__xludf.DUMMYFUNCTION("""COMPUTED_VALUE"""),"")</f>
        <v/>
      </c>
      <c r="L329" s="51" t="s">
        <v>64</v>
      </c>
      <c r="M329" s="51" t="s">
        <v>64</v>
      </c>
      <c r="N329" s="51"/>
      <c r="O329" s="51"/>
      <c r="P329" s="51"/>
      <c r="Q329" s="51"/>
      <c r="R329" s="51"/>
      <c r="S329" s="51"/>
    </row>
    <row r="330">
      <c r="A330" s="51"/>
      <c r="B330" s="51"/>
      <c r="C330" s="51"/>
      <c r="D330" s="51"/>
      <c r="E330" s="51"/>
      <c r="F330" s="51"/>
      <c r="G330" s="51"/>
      <c r="H330" s="51"/>
      <c r="I330" s="51"/>
      <c r="J330" s="51" t="str">
        <f>IFERROR(__xludf.DUMMYFUNCTION("""COMPUTED_VALUE"""),"")</f>
        <v/>
      </c>
      <c r="K330" s="51" t="str">
        <f>IFERROR(__xludf.DUMMYFUNCTION("""COMPUTED_VALUE"""),"")</f>
        <v/>
      </c>
      <c r="L330" s="51" t="s">
        <v>64</v>
      </c>
      <c r="M330" s="51" t="s">
        <v>64</v>
      </c>
      <c r="N330" s="51"/>
      <c r="O330" s="51"/>
      <c r="P330" s="51"/>
      <c r="Q330" s="51"/>
      <c r="R330" s="51"/>
      <c r="S330" s="51"/>
    </row>
    <row r="331">
      <c r="A331" s="51"/>
      <c r="B331" s="51"/>
      <c r="C331" s="51"/>
      <c r="D331" s="51"/>
      <c r="E331" s="51"/>
      <c r="F331" s="51"/>
      <c r="G331" s="51"/>
      <c r="H331" s="51"/>
      <c r="I331" s="51"/>
      <c r="J331" s="51" t="str">
        <f>IFERROR(__xludf.DUMMYFUNCTION("""COMPUTED_VALUE"""),"")</f>
        <v/>
      </c>
      <c r="K331" s="51" t="str">
        <f>IFERROR(__xludf.DUMMYFUNCTION("""COMPUTED_VALUE"""),"")</f>
        <v/>
      </c>
      <c r="L331" s="51" t="s">
        <v>64</v>
      </c>
      <c r="M331" s="51" t="s">
        <v>64</v>
      </c>
      <c r="N331" s="51"/>
      <c r="O331" s="51"/>
      <c r="P331" s="51"/>
      <c r="Q331" s="51"/>
      <c r="R331" s="51"/>
      <c r="S331" s="51"/>
    </row>
    <row r="332">
      <c r="A332" s="51"/>
      <c r="B332" s="51"/>
      <c r="C332" s="51"/>
      <c r="D332" s="51"/>
      <c r="E332" s="51"/>
      <c r="F332" s="51"/>
      <c r="G332" s="51"/>
      <c r="H332" s="51"/>
      <c r="I332" s="51"/>
      <c r="J332" s="51" t="str">
        <f>IFERROR(__xludf.DUMMYFUNCTION("""COMPUTED_VALUE"""),"")</f>
        <v/>
      </c>
      <c r="K332" s="51" t="str">
        <f>IFERROR(__xludf.DUMMYFUNCTION("""COMPUTED_VALUE"""),"")</f>
        <v/>
      </c>
      <c r="L332" s="51" t="s">
        <v>64</v>
      </c>
      <c r="M332" s="51" t="s">
        <v>64</v>
      </c>
      <c r="N332" s="51"/>
      <c r="O332" s="51"/>
      <c r="P332" s="51"/>
      <c r="Q332" s="51"/>
      <c r="R332" s="51"/>
      <c r="S332" s="51"/>
    </row>
    <row r="333">
      <c r="A333" s="51"/>
      <c r="B333" s="51"/>
      <c r="C333" s="51"/>
      <c r="D333" s="51"/>
      <c r="E333" s="51"/>
      <c r="F333" s="51"/>
      <c r="G333" s="51"/>
      <c r="H333" s="51"/>
      <c r="I333" s="51"/>
      <c r="J333" s="51" t="str">
        <f>IFERROR(__xludf.DUMMYFUNCTION("""COMPUTED_VALUE"""),"")</f>
        <v/>
      </c>
      <c r="K333" s="51" t="str">
        <f>IFERROR(__xludf.DUMMYFUNCTION("""COMPUTED_VALUE"""),"")</f>
        <v/>
      </c>
      <c r="L333" s="51" t="s">
        <v>64</v>
      </c>
      <c r="M333" s="51" t="s">
        <v>64</v>
      </c>
      <c r="N333" s="51"/>
      <c r="O333" s="51"/>
      <c r="P333" s="51"/>
      <c r="Q333" s="51"/>
      <c r="R333" s="51"/>
      <c r="S333" s="51"/>
    </row>
    <row r="334">
      <c r="A334" s="51"/>
      <c r="B334" s="51"/>
      <c r="C334" s="51"/>
      <c r="D334" s="51"/>
      <c r="E334" s="51"/>
      <c r="F334" s="51"/>
      <c r="G334" s="51"/>
      <c r="H334" s="51"/>
      <c r="I334" s="51"/>
      <c r="J334" s="51" t="str">
        <f>IFERROR(__xludf.DUMMYFUNCTION("""COMPUTED_VALUE"""),"")</f>
        <v/>
      </c>
      <c r="K334" s="51" t="str">
        <f>IFERROR(__xludf.DUMMYFUNCTION("""COMPUTED_VALUE"""),"")</f>
        <v/>
      </c>
      <c r="L334" s="51" t="s">
        <v>64</v>
      </c>
      <c r="M334" s="51" t="s">
        <v>64</v>
      </c>
      <c r="N334" s="51"/>
      <c r="O334" s="51"/>
      <c r="P334" s="51"/>
      <c r="Q334" s="51"/>
      <c r="R334" s="51"/>
      <c r="S334" s="51"/>
    </row>
    <row r="335">
      <c r="A335" s="51"/>
      <c r="B335" s="51"/>
      <c r="C335" s="51"/>
      <c r="D335" s="51"/>
      <c r="E335" s="51"/>
      <c r="F335" s="51"/>
      <c r="G335" s="51"/>
      <c r="H335" s="51"/>
      <c r="I335" s="51"/>
      <c r="J335" s="51" t="str">
        <f>IFERROR(__xludf.DUMMYFUNCTION("""COMPUTED_VALUE"""),"")</f>
        <v/>
      </c>
      <c r="K335" s="51" t="str">
        <f>IFERROR(__xludf.DUMMYFUNCTION("""COMPUTED_VALUE"""),"")</f>
        <v/>
      </c>
      <c r="L335" s="51" t="s">
        <v>64</v>
      </c>
      <c r="M335" s="51" t="s">
        <v>64</v>
      </c>
      <c r="N335" s="51"/>
      <c r="O335" s="51"/>
      <c r="P335" s="51"/>
      <c r="Q335" s="51"/>
      <c r="R335" s="51"/>
      <c r="S335" s="51"/>
    </row>
    <row r="336">
      <c r="A336" s="51"/>
      <c r="B336" s="51"/>
      <c r="C336" s="51"/>
      <c r="D336" s="51"/>
      <c r="E336" s="51"/>
      <c r="F336" s="51"/>
      <c r="G336" s="51"/>
      <c r="H336" s="51"/>
      <c r="I336" s="51"/>
      <c r="J336" s="51" t="str">
        <f>IFERROR(__xludf.DUMMYFUNCTION("""COMPUTED_VALUE"""),"")</f>
        <v/>
      </c>
      <c r="K336" s="51" t="str">
        <f>IFERROR(__xludf.DUMMYFUNCTION("""COMPUTED_VALUE"""),"")</f>
        <v/>
      </c>
      <c r="L336" s="51" t="s">
        <v>64</v>
      </c>
      <c r="M336" s="51" t="s">
        <v>64</v>
      </c>
      <c r="N336" s="51"/>
      <c r="O336" s="51"/>
      <c r="P336" s="51"/>
      <c r="Q336" s="51"/>
      <c r="R336" s="51"/>
      <c r="S336" s="51"/>
    </row>
    <row r="337">
      <c r="A337" s="51"/>
      <c r="B337" s="51"/>
      <c r="C337" s="51"/>
      <c r="D337" s="51"/>
      <c r="E337" s="51"/>
      <c r="F337" s="51"/>
      <c r="G337" s="51"/>
      <c r="H337" s="51"/>
      <c r="I337" s="51"/>
      <c r="J337" s="51" t="str">
        <f>IFERROR(__xludf.DUMMYFUNCTION("""COMPUTED_VALUE"""),"")</f>
        <v/>
      </c>
      <c r="K337" s="51" t="str">
        <f>IFERROR(__xludf.DUMMYFUNCTION("""COMPUTED_VALUE"""),"")</f>
        <v/>
      </c>
      <c r="L337" s="51" t="s">
        <v>64</v>
      </c>
      <c r="M337" s="51" t="s">
        <v>64</v>
      </c>
      <c r="N337" s="51"/>
      <c r="O337" s="51"/>
      <c r="P337" s="51"/>
      <c r="Q337" s="51"/>
      <c r="R337" s="51"/>
      <c r="S337" s="51"/>
    </row>
    <row r="338">
      <c r="A338" s="51"/>
      <c r="B338" s="51"/>
      <c r="C338" s="51"/>
      <c r="D338" s="51"/>
      <c r="E338" s="51"/>
      <c r="F338" s="51"/>
      <c r="G338" s="51"/>
      <c r="H338" s="51"/>
      <c r="I338" s="51"/>
      <c r="J338" s="51" t="str">
        <f>IFERROR(__xludf.DUMMYFUNCTION("""COMPUTED_VALUE"""),"")</f>
        <v/>
      </c>
      <c r="K338" s="51" t="str">
        <f>IFERROR(__xludf.DUMMYFUNCTION("""COMPUTED_VALUE"""),"")</f>
        <v/>
      </c>
      <c r="L338" s="51" t="s">
        <v>64</v>
      </c>
      <c r="M338" s="51" t="s">
        <v>64</v>
      </c>
      <c r="N338" s="51"/>
      <c r="O338" s="51"/>
      <c r="P338" s="51"/>
      <c r="Q338" s="51"/>
      <c r="R338" s="51"/>
      <c r="S338" s="51"/>
    </row>
    <row r="339">
      <c r="A339" s="51"/>
      <c r="B339" s="51"/>
      <c r="C339" s="51"/>
      <c r="D339" s="51"/>
      <c r="E339" s="51"/>
      <c r="F339" s="51"/>
      <c r="G339" s="51"/>
      <c r="H339" s="51"/>
      <c r="I339" s="51"/>
      <c r="J339" s="51" t="str">
        <f>IFERROR(__xludf.DUMMYFUNCTION("""COMPUTED_VALUE"""),"")</f>
        <v/>
      </c>
      <c r="K339" s="51" t="str">
        <f>IFERROR(__xludf.DUMMYFUNCTION("""COMPUTED_VALUE"""),"")</f>
        <v/>
      </c>
      <c r="L339" s="51" t="s">
        <v>64</v>
      </c>
      <c r="M339" s="51" t="s">
        <v>64</v>
      </c>
      <c r="N339" s="51"/>
      <c r="O339" s="51"/>
      <c r="P339" s="51"/>
      <c r="Q339" s="51"/>
      <c r="R339" s="51"/>
      <c r="S339" s="51"/>
    </row>
    <row r="340">
      <c r="A340" s="51"/>
      <c r="B340" s="51"/>
      <c r="C340" s="51"/>
      <c r="D340" s="51"/>
      <c r="E340" s="51"/>
      <c r="F340" s="51"/>
      <c r="G340" s="51"/>
      <c r="H340" s="51"/>
      <c r="I340" s="51"/>
      <c r="J340" s="51" t="str">
        <f>IFERROR(__xludf.DUMMYFUNCTION("""COMPUTED_VALUE"""),"")</f>
        <v/>
      </c>
      <c r="K340" s="51" t="str">
        <f>IFERROR(__xludf.DUMMYFUNCTION("""COMPUTED_VALUE"""),"")</f>
        <v/>
      </c>
      <c r="L340" s="51" t="s">
        <v>64</v>
      </c>
      <c r="M340" s="51" t="s">
        <v>64</v>
      </c>
      <c r="N340" s="51"/>
      <c r="O340" s="51"/>
      <c r="P340" s="51"/>
      <c r="Q340" s="51"/>
      <c r="R340" s="51"/>
      <c r="S340" s="51"/>
    </row>
    <row r="341">
      <c r="A341" s="51"/>
      <c r="B341" s="51"/>
      <c r="C341" s="51"/>
      <c r="D341" s="51"/>
      <c r="E341" s="51"/>
      <c r="F341" s="51"/>
      <c r="G341" s="51"/>
      <c r="H341" s="51"/>
      <c r="I341" s="51"/>
      <c r="J341" s="51" t="str">
        <f>IFERROR(__xludf.DUMMYFUNCTION("""COMPUTED_VALUE"""),"")</f>
        <v/>
      </c>
      <c r="K341" s="51" t="str">
        <f>IFERROR(__xludf.DUMMYFUNCTION("""COMPUTED_VALUE"""),"")</f>
        <v/>
      </c>
      <c r="L341" s="51" t="s">
        <v>64</v>
      </c>
      <c r="M341" s="51" t="s">
        <v>64</v>
      </c>
      <c r="N341" s="51"/>
      <c r="O341" s="51"/>
      <c r="P341" s="51"/>
      <c r="Q341" s="51"/>
      <c r="R341" s="51"/>
      <c r="S341" s="51"/>
    </row>
    <row r="342">
      <c r="A342" s="51"/>
      <c r="B342" s="51"/>
      <c r="C342" s="51"/>
      <c r="D342" s="51"/>
      <c r="E342" s="51"/>
      <c r="F342" s="51"/>
      <c r="G342" s="51"/>
      <c r="H342" s="51"/>
      <c r="I342" s="51"/>
      <c r="J342" s="51" t="str">
        <f>IFERROR(__xludf.DUMMYFUNCTION("""COMPUTED_VALUE"""),"")</f>
        <v/>
      </c>
      <c r="K342" s="51" t="str">
        <f>IFERROR(__xludf.DUMMYFUNCTION("""COMPUTED_VALUE"""),"")</f>
        <v/>
      </c>
      <c r="L342" s="51" t="s">
        <v>64</v>
      </c>
      <c r="M342" s="51" t="s">
        <v>64</v>
      </c>
      <c r="N342" s="51"/>
      <c r="O342" s="51"/>
      <c r="P342" s="51"/>
      <c r="Q342" s="51"/>
      <c r="R342" s="51"/>
      <c r="S342" s="51"/>
    </row>
    <row r="343">
      <c r="A343" s="51"/>
      <c r="B343" s="51"/>
      <c r="C343" s="51"/>
      <c r="D343" s="51"/>
      <c r="E343" s="51"/>
      <c r="F343" s="51"/>
      <c r="G343" s="51"/>
      <c r="H343" s="51"/>
      <c r="I343" s="51"/>
      <c r="J343" s="51" t="str">
        <f>IFERROR(__xludf.DUMMYFUNCTION("""COMPUTED_VALUE"""),"")</f>
        <v/>
      </c>
      <c r="K343" s="51" t="str">
        <f>IFERROR(__xludf.DUMMYFUNCTION("""COMPUTED_VALUE"""),"")</f>
        <v/>
      </c>
      <c r="L343" s="51" t="s">
        <v>64</v>
      </c>
      <c r="M343" s="51" t="s">
        <v>64</v>
      </c>
      <c r="N343" s="51"/>
      <c r="O343" s="51"/>
      <c r="P343" s="51"/>
      <c r="Q343" s="51"/>
      <c r="R343" s="51"/>
      <c r="S343" s="51"/>
    </row>
    <row r="344">
      <c r="A344" s="51"/>
      <c r="B344" s="51"/>
      <c r="C344" s="51"/>
      <c r="D344" s="51"/>
      <c r="E344" s="51"/>
      <c r="F344" s="51"/>
      <c r="G344" s="51"/>
      <c r="H344" s="51"/>
      <c r="I344" s="51"/>
      <c r="J344" s="51" t="str">
        <f>IFERROR(__xludf.DUMMYFUNCTION("""COMPUTED_VALUE"""),"")</f>
        <v/>
      </c>
      <c r="K344" s="51" t="str">
        <f>IFERROR(__xludf.DUMMYFUNCTION("""COMPUTED_VALUE"""),"")</f>
        <v/>
      </c>
      <c r="L344" s="51" t="s">
        <v>64</v>
      </c>
      <c r="M344" s="51" t="s">
        <v>64</v>
      </c>
      <c r="N344" s="51"/>
      <c r="O344" s="51"/>
      <c r="P344" s="51"/>
      <c r="Q344" s="51"/>
      <c r="R344" s="51"/>
      <c r="S344" s="51"/>
    </row>
    <row r="345">
      <c r="A345" s="51"/>
      <c r="B345" s="51"/>
      <c r="C345" s="51"/>
      <c r="D345" s="51"/>
      <c r="E345" s="51"/>
      <c r="F345" s="51"/>
      <c r="G345" s="51"/>
      <c r="H345" s="51"/>
      <c r="I345" s="51"/>
      <c r="J345" s="51" t="str">
        <f>IFERROR(__xludf.DUMMYFUNCTION("""COMPUTED_VALUE"""),"")</f>
        <v/>
      </c>
      <c r="K345" s="51" t="str">
        <f>IFERROR(__xludf.DUMMYFUNCTION("""COMPUTED_VALUE"""),"")</f>
        <v/>
      </c>
      <c r="L345" s="51" t="s">
        <v>64</v>
      </c>
      <c r="M345" s="51" t="s">
        <v>64</v>
      </c>
      <c r="N345" s="51"/>
      <c r="O345" s="51"/>
      <c r="P345" s="51"/>
      <c r="Q345" s="51"/>
      <c r="R345" s="51"/>
      <c r="S345" s="51"/>
    </row>
    <row r="346">
      <c r="A346" s="51"/>
      <c r="B346" s="51"/>
      <c r="C346" s="51"/>
      <c r="D346" s="51"/>
      <c r="E346" s="51"/>
      <c r="F346" s="51"/>
      <c r="G346" s="51"/>
      <c r="H346" s="51"/>
      <c r="I346" s="51"/>
      <c r="J346" s="51" t="str">
        <f>IFERROR(__xludf.DUMMYFUNCTION("""COMPUTED_VALUE"""),"")</f>
        <v/>
      </c>
      <c r="K346" s="51" t="str">
        <f>IFERROR(__xludf.DUMMYFUNCTION("""COMPUTED_VALUE"""),"")</f>
        <v/>
      </c>
      <c r="L346" s="51" t="s">
        <v>64</v>
      </c>
      <c r="M346" s="51" t="s">
        <v>64</v>
      </c>
      <c r="N346" s="51"/>
      <c r="O346" s="51"/>
      <c r="P346" s="51"/>
      <c r="Q346" s="51"/>
      <c r="R346" s="51"/>
      <c r="S346" s="51"/>
    </row>
    <row r="347">
      <c r="A347" s="51"/>
      <c r="B347" s="51"/>
      <c r="C347" s="51"/>
      <c r="D347" s="51"/>
      <c r="E347" s="51"/>
      <c r="F347" s="51"/>
      <c r="G347" s="51"/>
      <c r="H347" s="51"/>
      <c r="I347" s="51"/>
      <c r="J347" s="51" t="str">
        <f>IFERROR(__xludf.DUMMYFUNCTION("""COMPUTED_VALUE"""),"")</f>
        <v/>
      </c>
      <c r="K347" s="51" t="str">
        <f>IFERROR(__xludf.DUMMYFUNCTION("""COMPUTED_VALUE"""),"")</f>
        <v/>
      </c>
      <c r="L347" s="51" t="s">
        <v>64</v>
      </c>
      <c r="M347" s="51" t="s">
        <v>64</v>
      </c>
      <c r="N347" s="51"/>
      <c r="O347" s="51"/>
      <c r="P347" s="51"/>
      <c r="Q347" s="51"/>
      <c r="R347" s="51"/>
      <c r="S347" s="51"/>
    </row>
    <row r="348">
      <c r="A348" s="51"/>
      <c r="B348" s="51"/>
      <c r="C348" s="51"/>
      <c r="D348" s="51"/>
      <c r="E348" s="51"/>
      <c r="F348" s="51"/>
      <c r="G348" s="51"/>
      <c r="H348" s="51"/>
      <c r="I348" s="51"/>
      <c r="J348" s="51" t="str">
        <f>IFERROR(__xludf.DUMMYFUNCTION("""COMPUTED_VALUE"""),"")</f>
        <v/>
      </c>
      <c r="K348" s="51" t="str">
        <f>IFERROR(__xludf.DUMMYFUNCTION("""COMPUTED_VALUE"""),"")</f>
        <v/>
      </c>
      <c r="L348" s="51" t="s">
        <v>64</v>
      </c>
      <c r="M348" s="51" t="s">
        <v>64</v>
      </c>
      <c r="N348" s="51"/>
      <c r="O348" s="51"/>
      <c r="P348" s="51"/>
      <c r="Q348" s="51"/>
      <c r="R348" s="51"/>
      <c r="S348" s="51"/>
    </row>
    <row r="349">
      <c r="A349" s="51"/>
      <c r="B349" s="51"/>
      <c r="C349" s="51"/>
      <c r="D349" s="51"/>
      <c r="E349" s="51"/>
      <c r="F349" s="51"/>
      <c r="G349" s="51"/>
      <c r="H349" s="51"/>
      <c r="I349" s="51"/>
      <c r="J349" s="51" t="str">
        <f>IFERROR(__xludf.DUMMYFUNCTION("""COMPUTED_VALUE"""),"")</f>
        <v/>
      </c>
      <c r="K349" s="51" t="str">
        <f>IFERROR(__xludf.DUMMYFUNCTION("""COMPUTED_VALUE"""),"")</f>
        <v/>
      </c>
      <c r="L349" s="51" t="s">
        <v>64</v>
      </c>
      <c r="M349" s="51" t="s">
        <v>64</v>
      </c>
      <c r="N349" s="51"/>
      <c r="O349" s="51"/>
      <c r="P349" s="51"/>
      <c r="Q349" s="51"/>
      <c r="R349" s="51"/>
      <c r="S349" s="51"/>
    </row>
    <row r="350">
      <c r="A350" s="51"/>
      <c r="B350" s="51"/>
      <c r="C350" s="51"/>
      <c r="D350" s="51"/>
      <c r="E350" s="51"/>
      <c r="F350" s="51"/>
      <c r="G350" s="51"/>
      <c r="H350" s="51"/>
      <c r="I350" s="51"/>
      <c r="J350" s="51" t="str">
        <f>IFERROR(__xludf.DUMMYFUNCTION("""COMPUTED_VALUE"""),"")</f>
        <v/>
      </c>
      <c r="K350" s="51" t="str">
        <f>IFERROR(__xludf.DUMMYFUNCTION("""COMPUTED_VALUE"""),"")</f>
        <v/>
      </c>
      <c r="L350" s="51" t="s">
        <v>64</v>
      </c>
      <c r="M350" s="51" t="s">
        <v>64</v>
      </c>
      <c r="N350" s="51"/>
      <c r="O350" s="51"/>
      <c r="P350" s="51"/>
      <c r="Q350" s="51"/>
      <c r="R350" s="51"/>
      <c r="S350" s="51"/>
    </row>
    <row r="351">
      <c r="A351" s="51"/>
      <c r="B351" s="51"/>
      <c r="C351" s="51"/>
      <c r="D351" s="51"/>
      <c r="E351" s="51"/>
      <c r="F351" s="51"/>
      <c r="G351" s="51"/>
      <c r="H351" s="51"/>
      <c r="I351" s="51"/>
      <c r="J351" s="51" t="str">
        <f>IFERROR(__xludf.DUMMYFUNCTION("""COMPUTED_VALUE"""),"")</f>
        <v/>
      </c>
      <c r="K351" s="51" t="str">
        <f>IFERROR(__xludf.DUMMYFUNCTION("""COMPUTED_VALUE"""),"")</f>
        <v/>
      </c>
      <c r="L351" s="51" t="s">
        <v>64</v>
      </c>
      <c r="M351" s="51" t="s">
        <v>64</v>
      </c>
      <c r="N351" s="51"/>
      <c r="O351" s="51"/>
      <c r="P351" s="51"/>
      <c r="Q351" s="51"/>
      <c r="R351" s="51"/>
      <c r="S351" s="51"/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 t="str">
        <f>IFERROR(__xludf.DUMMYFUNCTION("""COMPUTED_VALUE"""),"")</f>
        <v/>
      </c>
      <c r="K352" s="51" t="str">
        <f>IFERROR(__xludf.DUMMYFUNCTION("""COMPUTED_VALUE"""),"")</f>
        <v/>
      </c>
      <c r="L352" s="51" t="s">
        <v>64</v>
      </c>
      <c r="M352" s="51" t="s">
        <v>64</v>
      </c>
      <c r="N352" s="51"/>
      <c r="O352" s="51"/>
      <c r="P352" s="51"/>
      <c r="Q352" s="51"/>
      <c r="R352" s="51"/>
      <c r="S352" s="51"/>
    </row>
    <row r="353">
      <c r="A353" s="51"/>
      <c r="B353" s="51"/>
      <c r="C353" s="51"/>
      <c r="D353" s="51"/>
      <c r="E353" s="51"/>
      <c r="F353" s="51"/>
      <c r="G353" s="51"/>
      <c r="H353" s="51"/>
      <c r="I353" s="51"/>
      <c r="J353" s="51" t="str">
        <f>IFERROR(__xludf.DUMMYFUNCTION("""COMPUTED_VALUE"""),"")</f>
        <v/>
      </c>
      <c r="K353" s="51" t="str">
        <f>IFERROR(__xludf.DUMMYFUNCTION("""COMPUTED_VALUE"""),"")</f>
        <v/>
      </c>
      <c r="L353" s="51" t="s">
        <v>64</v>
      </c>
      <c r="M353" s="51" t="s">
        <v>64</v>
      </c>
      <c r="N353" s="51"/>
      <c r="O353" s="51"/>
      <c r="P353" s="51"/>
      <c r="Q353" s="51"/>
      <c r="R353" s="51"/>
      <c r="S353" s="51"/>
    </row>
    <row r="354">
      <c r="A354" s="51"/>
      <c r="B354" s="51"/>
      <c r="C354" s="51"/>
      <c r="D354" s="51"/>
      <c r="E354" s="51"/>
      <c r="F354" s="51"/>
      <c r="G354" s="51"/>
      <c r="H354" s="51"/>
      <c r="I354" s="51"/>
      <c r="J354" s="51" t="str">
        <f>IFERROR(__xludf.DUMMYFUNCTION("""COMPUTED_VALUE"""),"")</f>
        <v/>
      </c>
      <c r="K354" s="51" t="str">
        <f>IFERROR(__xludf.DUMMYFUNCTION("""COMPUTED_VALUE"""),"")</f>
        <v/>
      </c>
      <c r="L354" s="51" t="s">
        <v>64</v>
      </c>
      <c r="M354" s="51" t="s">
        <v>64</v>
      </c>
      <c r="N354" s="51"/>
      <c r="O354" s="51"/>
      <c r="P354" s="51"/>
      <c r="Q354" s="51"/>
      <c r="R354" s="51"/>
      <c r="S354" s="51"/>
    </row>
    <row r="355">
      <c r="A355" s="51"/>
      <c r="B355" s="51"/>
      <c r="C355" s="51"/>
      <c r="D355" s="51"/>
      <c r="E355" s="51"/>
      <c r="F355" s="51"/>
      <c r="G355" s="51"/>
      <c r="H355" s="51"/>
      <c r="I355" s="51"/>
      <c r="J355" s="51" t="str">
        <f>IFERROR(__xludf.DUMMYFUNCTION("""COMPUTED_VALUE"""),"")</f>
        <v/>
      </c>
      <c r="K355" s="51" t="str">
        <f>IFERROR(__xludf.DUMMYFUNCTION("""COMPUTED_VALUE"""),"")</f>
        <v/>
      </c>
      <c r="L355" s="51" t="s">
        <v>64</v>
      </c>
      <c r="M355" s="51" t="s">
        <v>64</v>
      </c>
      <c r="N355" s="51"/>
      <c r="O355" s="51"/>
      <c r="P355" s="51"/>
      <c r="Q355" s="51"/>
      <c r="R355" s="51"/>
      <c r="S355" s="51"/>
    </row>
    <row r="356">
      <c r="A356" s="51"/>
      <c r="B356" s="51"/>
      <c r="C356" s="51"/>
      <c r="D356" s="51"/>
      <c r="E356" s="51"/>
      <c r="F356" s="51"/>
      <c r="G356" s="51"/>
      <c r="H356" s="51"/>
      <c r="I356" s="51"/>
      <c r="J356" s="51" t="str">
        <f>IFERROR(__xludf.DUMMYFUNCTION("""COMPUTED_VALUE"""),"")</f>
        <v/>
      </c>
      <c r="K356" s="51" t="str">
        <f>IFERROR(__xludf.DUMMYFUNCTION("""COMPUTED_VALUE"""),"")</f>
        <v/>
      </c>
      <c r="L356" s="51" t="s">
        <v>64</v>
      </c>
      <c r="M356" s="51" t="s">
        <v>64</v>
      </c>
      <c r="N356" s="51"/>
      <c r="O356" s="51"/>
      <c r="P356" s="51"/>
      <c r="Q356" s="51"/>
      <c r="R356" s="51"/>
      <c r="S356" s="51"/>
    </row>
    <row r="357">
      <c r="A357" s="51"/>
      <c r="B357" s="51"/>
      <c r="C357" s="51"/>
      <c r="D357" s="51"/>
      <c r="E357" s="51"/>
      <c r="F357" s="51"/>
      <c r="G357" s="51"/>
      <c r="H357" s="51"/>
      <c r="I357" s="51"/>
      <c r="J357" s="51" t="str">
        <f>IFERROR(__xludf.DUMMYFUNCTION("""COMPUTED_VALUE"""),"")</f>
        <v/>
      </c>
      <c r="K357" s="51" t="str">
        <f>IFERROR(__xludf.DUMMYFUNCTION("""COMPUTED_VALUE"""),"")</f>
        <v/>
      </c>
      <c r="L357" s="51" t="s">
        <v>64</v>
      </c>
      <c r="M357" s="51" t="s">
        <v>64</v>
      </c>
      <c r="N357" s="51"/>
      <c r="O357" s="51"/>
      <c r="P357" s="51"/>
      <c r="Q357" s="51"/>
      <c r="R357" s="51"/>
      <c r="S357" s="51"/>
    </row>
    <row r="358">
      <c r="A358" s="51"/>
      <c r="B358" s="51"/>
      <c r="C358" s="51"/>
      <c r="D358" s="51"/>
      <c r="E358" s="51"/>
      <c r="F358" s="51"/>
      <c r="G358" s="51"/>
      <c r="H358" s="51"/>
      <c r="I358" s="51"/>
      <c r="J358" s="51" t="str">
        <f>IFERROR(__xludf.DUMMYFUNCTION("""COMPUTED_VALUE"""),"")</f>
        <v/>
      </c>
      <c r="K358" s="51" t="str">
        <f>IFERROR(__xludf.DUMMYFUNCTION("""COMPUTED_VALUE"""),"")</f>
        <v/>
      </c>
      <c r="L358" s="51" t="s">
        <v>64</v>
      </c>
      <c r="M358" s="51" t="s">
        <v>64</v>
      </c>
      <c r="N358" s="51"/>
      <c r="O358" s="51"/>
      <c r="P358" s="51"/>
      <c r="Q358" s="51"/>
      <c r="R358" s="51"/>
      <c r="S358" s="51"/>
    </row>
    <row r="359">
      <c r="A359" s="51"/>
      <c r="B359" s="51"/>
      <c r="C359" s="51"/>
      <c r="D359" s="51"/>
      <c r="E359" s="51"/>
      <c r="F359" s="51"/>
      <c r="G359" s="51"/>
      <c r="H359" s="51"/>
      <c r="I359" s="51"/>
      <c r="J359" s="51" t="str">
        <f>IFERROR(__xludf.DUMMYFUNCTION("""COMPUTED_VALUE"""),"")</f>
        <v/>
      </c>
      <c r="K359" s="51" t="str">
        <f>IFERROR(__xludf.DUMMYFUNCTION("""COMPUTED_VALUE"""),"")</f>
        <v/>
      </c>
      <c r="L359" s="51" t="s">
        <v>64</v>
      </c>
      <c r="M359" s="51" t="s">
        <v>64</v>
      </c>
      <c r="N359" s="51"/>
      <c r="O359" s="51"/>
      <c r="P359" s="51"/>
      <c r="Q359" s="51"/>
      <c r="R359" s="51"/>
      <c r="S359" s="51"/>
    </row>
    <row r="360">
      <c r="A360" s="51"/>
      <c r="B360" s="51"/>
      <c r="C360" s="51"/>
      <c r="D360" s="51"/>
      <c r="E360" s="51"/>
      <c r="F360" s="51"/>
      <c r="G360" s="51"/>
      <c r="H360" s="51"/>
      <c r="I360" s="51"/>
      <c r="J360" s="51" t="str">
        <f>IFERROR(__xludf.DUMMYFUNCTION("""COMPUTED_VALUE"""),"")</f>
        <v/>
      </c>
      <c r="K360" s="51" t="str">
        <f>IFERROR(__xludf.DUMMYFUNCTION("""COMPUTED_VALUE"""),"")</f>
        <v/>
      </c>
      <c r="L360" s="51" t="s">
        <v>64</v>
      </c>
      <c r="M360" s="51" t="s">
        <v>64</v>
      </c>
      <c r="N360" s="51"/>
      <c r="O360" s="51"/>
      <c r="P360" s="51"/>
      <c r="Q360" s="51"/>
      <c r="R360" s="51"/>
      <c r="S360" s="51"/>
    </row>
    <row r="361">
      <c r="A361" s="51"/>
      <c r="B361" s="51"/>
      <c r="C361" s="51"/>
      <c r="D361" s="51"/>
      <c r="E361" s="51"/>
      <c r="F361" s="51"/>
      <c r="G361" s="51"/>
      <c r="H361" s="51"/>
      <c r="I361" s="51"/>
      <c r="J361" s="51" t="str">
        <f>IFERROR(__xludf.DUMMYFUNCTION("""COMPUTED_VALUE"""),"")</f>
        <v/>
      </c>
      <c r="K361" s="51" t="str">
        <f>IFERROR(__xludf.DUMMYFUNCTION("""COMPUTED_VALUE"""),"")</f>
        <v/>
      </c>
      <c r="L361" s="51" t="s">
        <v>64</v>
      </c>
      <c r="M361" s="51" t="s">
        <v>64</v>
      </c>
      <c r="N361" s="51"/>
      <c r="O361" s="51"/>
      <c r="P361" s="51"/>
      <c r="Q361" s="51"/>
      <c r="R361" s="51"/>
      <c r="S361" s="51"/>
    </row>
    <row r="362">
      <c r="A362" s="51"/>
      <c r="B362" s="51"/>
      <c r="C362" s="51"/>
      <c r="D362" s="51"/>
      <c r="E362" s="51"/>
      <c r="F362" s="51"/>
      <c r="G362" s="51"/>
      <c r="H362" s="51"/>
      <c r="I362" s="51"/>
      <c r="J362" s="51" t="str">
        <f>IFERROR(__xludf.DUMMYFUNCTION("""COMPUTED_VALUE"""),"")</f>
        <v/>
      </c>
      <c r="K362" s="51" t="str">
        <f>IFERROR(__xludf.DUMMYFUNCTION("""COMPUTED_VALUE"""),"")</f>
        <v/>
      </c>
      <c r="L362" s="51" t="s">
        <v>64</v>
      </c>
      <c r="M362" s="51" t="s">
        <v>64</v>
      </c>
      <c r="N362" s="51"/>
      <c r="O362" s="51"/>
      <c r="P362" s="51"/>
      <c r="Q362" s="51"/>
      <c r="R362" s="51"/>
      <c r="S362" s="51"/>
    </row>
    <row r="363">
      <c r="A363" s="51"/>
      <c r="B363" s="51"/>
      <c r="C363" s="51"/>
      <c r="D363" s="51"/>
      <c r="E363" s="51"/>
      <c r="F363" s="51"/>
      <c r="G363" s="51"/>
      <c r="H363" s="51"/>
      <c r="I363" s="51"/>
      <c r="J363" s="51" t="str">
        <f>IFERROR(__xludf.DUMMYFUNCTION("""COMPUTED_VALUE"""),"")</f>
        <v/>
      </c>
      <c r="K363" s="51" t="str">
        <f>IFERROR(__xludf.DUMMYFUNCTION("""COMPUTED_VALUE"""),"")</f>
        <v/>
      </c>
      <c r="L363" s="51" t="s">
        <v>64</v>
      </c>
      <c r="M363" s="51" t="s">
        <v>64</v>
      </c>
      <c r="N363" s="51"/>
      <c r="O363" s="51"/>
      <c r="P363" s="51"/>
      <c r="Q363" s="51"/>
      <c r="R363" s="51"/>
      <c r="S363" s="51"/>
    </row>
    <row r="364">
      <c r="A364" s="51"/>
      <c r="B364" s="51"/>
      <c r="C364" s="51"/>
      <c r="D364" s="51"/>
      <c r="E364" s="51"/>
      <c r="F364" s="51"/>
      <c r="G364" s="51"/>
      <c r="H364" s="51"/>
      <c r="I364" s="51"/>
      <c r="J364" s="51" t="str">
        <f>IFERROR(__xludf.DUMMYFUNCTION("""COMPUTED_VALUE"""),"")</f>
        <v/>
      </c>
      <c r="K364" s="51" t="str">
        <f>IFERROR(__xludf.DUMMYFUNCTION("""COMPUTED_VALUE"""),"")</f>
        <v/>
      </c>
      <c r="L364" s="51" t="s">
        <v>64</v>
      </c>
      <c r="M364" s="51" t="s">
        <v>64</v>
      </c>
      <c r="N364" s="51"/>
      <c r="O364" s="51"/>
      <c r="P364" s="51"/>
      <c r="Q364" s="51"/>
      <c r="R364" s="51"/>
      <c r="S364" s="51"/>
    </row>
    <row r="365">
      <c r="A365" s="51"/>
      <c r="B365" s="51"/>
      <c r="C365" s="51"/>
      <c r="D365" s="51"/>
      <c r="E365" s="51"/>
      <c r="F365" s="51"/>
      <c r="G365" s="51"/>
      <c r="H365" s="51"/>
      <c r="I365" s="51"/>
      <c r="J365" s="51" t="str">
        <f>IFERROR(__xludf.DUMMYFUNCTION("""COMPUTED_VALUE"""),"")</f>
        <v/>
      </c>
      <c r="K365" s="51" t="str">
        <f>IFERROR(__xludf.DUMMYFUNCTION("""COMPUTED_VALUE"""),"")</f>
        <v/>
      </c>
      <c r="L365" s="51" t="s">
        <v>64</v>
      </c>
      <c r="M365" s="51" t="s">
        <v>64</v>
      </c>
      <c r="N365" s="51"/>
      <c r="O365" s="51"/>
      <c r="P365" s="51"/>
      <c r="Q365" s="51"/>
      <c r="R365" s="51"/>
      <c r="S365" s="51"/>
    </row>
    <row r="366">
      <c r="A366" s="51"/>
      <c r="B366" s="51"/>
      <c r="C366" s="51"/>
      <c r="D366" s="51"/>
      <c r="E366" s="51"/>
      <c r="F366" s="51"/>
      <c r="G366" s="51"/>
      <c r="H366" s="51"/>
      <c r="I366" s="51"/>
      <c r="J366" s="51" t="str">
        <f>IFERROR(__xludf.DUMMYFUNCTION("""COMPUTED_VALUE"""),"")</f>
        <v/>
      </c>
      <c r="K366" s="51" t="str">
        <f>IFERROR(__xludf.DUMMYFUNCTION("""COMPUTED_VALUE"""),"")</f>
        <v/>
      </c>
      <c r="L366" s="51" t="s">
        <v>64</v>
      </c>
      <c r="M366" s="51" t="s">
        <v>64</v>
      </c>
      <c r="N366" s="51"/>
      <c r="O366" s="51"/>
      <c r="P366" s="51"/>
      <c r="Q366" s="51"/>
      <c r="R366" s="51"/>
      <c r="S366" s="51"/>
    </row>
    <row r="367">
      <c r="A367" s="51"/>
      <c r="B367" s="51"/>
      <c r="C367" s="51"/>
      <c r="D367" s="51"/>
      <c r="E367" s="51"/>
      <c r="F367" s="51"/>
      <c r="G367" s="51"/>
      <c r="H367" s="51"/>
      <c r="I367" s="51"/>
      <c r="J367" s="51" t="str">
        <f>IFERROR(__xludf.DUMMYFUNCTION("""COMPUTED_VALUE"""),"")</f>
        <v/>
      </c>
      <c r="K367" s="51" t="str">
        <f>IFERROR(__xludf.DUMMYFUNCTION("""COMPUTED_VALUE"""),"")</f>
        <v/>
      </c>
      <c r="L367" s="51" t="s">
        <v>64</v>
      </c>
      <c r="M367" s="51" t="s">
        <v>64</v>
      </c>
      <c r="N367" s="51"/>
      <c r="O367" s="51"/>
      <c r="P367" s="51"/>
      <c r="Q367" s="51"/>
      <c r="R367" s="51"/>
      <c r="S367" s="51"/>
    </row>
    <row r="368">
      <c r="A368" s="51"/>
      <c r="B368" s="51"/>
      <c r="C368" s="51"/>
      <c r="D368" s="51"/>
      <c r="E368" s="51"/>
      <c r="F368" s="51"/>
      <c r="G368" s="51"/>
      <c r="H368" s="51"/>
      <c r="I368" s="51"/>
      <c r="J368" s="51" t="str">
        <f>IFERROR(__xludf.DUMMYFUNCTION("""COMPUTED_VALUE"""),"")</f>
        <v/>
      </c>
      <c r="K368" s="51" t="str">
        <f>IFERROR(__xludf.DUMMYFUNCTION("""COMPUTED_VALUE"""),"")</f>
        <v/>
      </c>
      <c r="L368" s="51" t="s">
        <v>64</v>
      </c>
      <c r="M368" s="51" t="s">
        <v>64</v>
      </c>
      <c r="N368" s="51"/>
      <c r="O368" s="51"/>
      <c r="P368" s="51"/>
      <c r="Q368" s="51"/>
      <c r="R368" s="51"/>
      <c r="S368" s="51"/>
    </row>
    <row r="369">
      <c r="A369" s="51"/>
      <c r="B369" s="51"/>
      <c r="C369" s="51"/>
      <c r="D369" s="51"/>
      <c r="E369" s="51"/>
      <c r="F369" s="51"/>
      <c r="G369" s="51"/>
      <c r="H369" s="51"/>
      <c r="I369" s="51"/>
      <c r="J369" s="51" t="str">
        <f>IFERROR(__xludf.DUMMYFUNCTION("""COMPUTED_VALUE"""),"")</f>
        <v/>
      </c>
      <c r="K369" s="51" t="str">
        <f>IFERROR(__xludf.DUMMYFUNCTION("""COMPUTED_VALUE"""),"")</f>
        <v/>
      </c>
      <c r="L369" s="51" t="s">
        <v>64</v>
      </c>
      <c r="M369" s="51" t="s">
        <v>64</v>
      </c>
      <c r="N369" s="51"/>
      <c r="O369" s="51"/>
      <c r="P369" s="51"/>
      <c r="Q369" s="51"/>
      <c r="R369" s="51"/>
      <c r="S369" s="51"/>
    </row>
    <row r="370">
      <c r="A370" s="51"/>
      <c r="B370" s="51"/>
      <c r="C370" s="51"/>
      <c r="D370" s="51"/>
      <c r="E370" s="51"/>
      <c r="F370" s="51"/>
      <c r="G370" s="51"/>
      <c r="H370" s="51"/>
      <c r="I370" s="51"/>
      <c r="J370" s="51" t="str">
        <f>IFERROR(__xludf.DUMMYFUNCTION("""COMPUTED_VALUE"""),"")</f>
        <v/>
      </c>
      <c r="K370" s="51" t="str">
        <f>IFERROR(__xludf.DUMMYFUNCTION("""COMPUTED_VALUE"""),"")</f>
        <v/>
      </c>
      <c r="L370" s="51" t="s">
        <v>64</v>
      </c>
      <c r="M370" s="51" t="s">
        <v>64</v>
      </c>
      <c r="N370" s="51"/>
      <c r="O370" s="51"/>
      <c r="P370" s="51"/>
      <c r="Q370" s="51"/>
      <c r="R370" s="51"/>
      <c r="S370" s="51"/>
    </row>
    <row r="371">
      <c r="A371" s="51"/>
      <c r="B371" s="51"/>
      <c r="C371" s="51"/>
      <c r="D371" s="51"/>
      <c r="E371" s="51"/>
      <c r="F371" s="51"/>
      <c r="G371" s="51"/>
      <c r="H371" s="51"/>
      <c r="I371" s="51"/>
      <c r="J371" s="51" t="str">
        <f>IFERROR(__xludf.DUMMYFUNCTION("""COMPUTED_VALUE"""),"")</f>
        <v/>
      </c>
      <c r="K371" s="51" t="str">
        <f>IFERROR(__xludf.DUMMYFUNCTION("""COMPUTED_VALUE"""),"")</f>
        <v/>
      </c>
      <c r="L371" s="51" t="s">
        <v>64</v>
      </c>
      <c r="M371" s="51" t="s">
        <v>64</v>
      </c>
      <c r="N371" s="51"/>
      <c r="O371" s="51"/>
      <c r="P371" s="51"/>
      <c r="Q371" s="51"/>
      <c r="R371" s="51"/>
      <c r="S371" s="51"/>
    </row>
    <row r="372">
      <c r="A372" s="51"/>
      <c r="B372" s="51"/>
      <c r="C372" s="51"/>
      <c r="D372" s="51"/>
      <c r="E372" s="51"/>
      <c r="F372" s="51"/>
      <c r="G372" s="51"/>
      <c r="H372" s="51"/>
      <c r="I372" s="51"/>
      <c r="J372" s="51" t="str">
        <f>IFERROR(__xludf.DUMMYFUNCTION("""COMPUTED_VALUE"""),"")</f>
        <v/>
      </c>
      <c r="K372" s="51" t="str">
        <f>IFERROR(__xludf.DUMMYFUNCTION("""COMPUTED_VALUE"""),"")</f>
        <v/>
      </c>
      <c r="L372" s="51" t="s">
        <v>64</v>
      </c>
      <c r="M372" s="51" t="s">
        <v>64</v>
      </c>
      <c r="N372" s="51"/>
      <c r="O372" s="51"/>
      <c r="P372" s="51"/>
      <c r="Q372" s="51"/>
      <c r="R372" s="51"/>
      <c r="S372" s="51"/>
    </row>
    <row r="373">
      <c r="A373" s="51"/>
      <c r="B373" s="51"/>
      <c r="C373" s="51"/>
      <c r="D373" s="51"/>
      <c r="E373" s="51"/>
      <c r="F373" s="51"/>
      <c r="G373" s="51"/>
      <c r="H373" s="51"/>
      <c r="I373" s="51"/>
      <c r="J373" s="51" t="str">
        <f>IFERROR(__xludf.DUMMYFUNCTION("""COMPUTED_VALUE"""),"")</f>
        <v/>
      </c>
      <c r="K373" s="51" t="str">
        <f>IFERROR(__xludf.DUMMYFUNCTION("""COMPUTED_VALUE"""),"")</f>
        <v/>
      </c>
      <c r="L373" s="51" t="s">
        <v>64</v>
      </c>
      <c r="M373" s="51" t="s">
        <v>64</v>
      </c>
      <c r="N373" s="51"/>
      <c r="O373" s="51"/>
      <c r="P373" s="51"/>
      <c r="Q373" s="51"/>
      <c r="R373" s="51"/>
      <c r="S373" s="51"/>
    </row>
    <row r="374">
      <c r="A374" s="51"/>
      <c r="B374" s="51"/>
      <c r="C374" s="51"/>
      <c r="D374" s="51"/>
      <c r="E374" s="51"/>
      <c r="F374" s="51"/>
      <c r="G374" s="51"/>
      <c r="H374" s="51"/>
      <c r="I374" s="51"/>
      <c r="J374" s="51" t="str">
        <f>IFERROR(__xludf.DUMMYFUNCTION("""COMPUTED_VALUE"""),"")</f>
        <v/>
      </c>
      <c r="K374" s="51" t="str">
        <f>IFERROR(__xludf.DUMMYFUNCTION("""COMPUTED_VALUE"""),"")</f>
        <v/>
      </c>
      <c r="L374" s="51" t="s">
        <v>64</v>
      </c>
      <c r="M374" s="51" t="s">
        <v>64</v>
      </c>
      <c r="N374" s="51"/>
      <c r="O374" s="51"/>
      <c r="P374" s="51"/>
      <c r="Q374" s="51"/>
      <c r="R374" s="51"/>
      <c r="S374" s="51"/>
    </row>
    <row r="375">
      <c r="A375" s="51"/>
      <c r="B375" s="51"/>
      <c r="C375" s="51"/>
      <c r="D375" s="51"/>
      <c r="E375" s="51"/>
      <c r="F375" s="51"/>
      <c r="G375" s="51"/>
      <c r="H375" s="51"/>
      <c r="I375" s="51"/>
      <c r="J375" s="51" t="str">
        <f>IFERROR(__xludf.DUMMYFUNCTION("""COMPUTED_VALUE"""),"")</f>
        <v/>
      </c>
      <c r="K375" s="51" t="str">
        <f>IFERROR(__xludf.DUMMYFUNCTION("""COMPUTED_VALUE"""),"")</f>
        <v/>
      </c>
      <c r="L375" s="51" t="s">
        <v>64</v>
      </c>
      <c r="M375" s="51" t="s">
        <v>64</v>
      </c>
      <c r="N375" s="51"/>
      <c r="O375" s="51"/>
      <c r="P375" s="51"/>
      <c r="Q375" s="51"/>
      <c r="R375" s="51"/>
      <c r="S375" s="51"/>
    </row>
    <row r="376">
      <c r="A376" s="51"/>
      <c r="B376" s="51"/>
      <c r="C376" s="51"/>
      <c r="D376" s="51"/>
      <c r="E376" s="51"/>
      <c r="F376" s="51"/>
      <c r="G376" s="51"/>
      <c r="H376" s="51"/>
      <c r="I376" s="51"/>
      <c r="J376" s="51" t="str">
        <f>IFERROR(__xludf.DUMMYFUNCTION("""COMPUTED_VALUE"""),"")</f>
        <v/>
      </c>
      <c r="K376" s="51" t="str">
        <f>IFERROR(__xludf.DUMMYFUNCTION("""COMPUTED_VALUE"""),"")</f>
        <v/>
      </c>
      <c r="L376" s="51" t="s">
        <v>64</v>
      </c>
      <c r="M376" s="51" t="s">
        <v>64</v>
      </c>
      <c r="N376" s="51"/>
      <c r="O376" s="51"/>
      <c r="P376" s="51"/>
      <c r="Q376" s="51"/>
      <c r="R376" s="51"/>
      <c r="S376" s="51"/>
    </row>
    <row r="377">
      <c r="A377" s="51"/>
      <c r="B377" s="51"/>
      <c r="C377" s="51"/>
      <c r="D377" s="51"/>
      <c r="E377" s="51"/>
      <c r="F377" s="51"/>
      <c r="G377" s="51"/>
      <c r="H377" s="51"/>
      <c r="I377" s="51"/>
      <c r="J377" s="51" t="str">
        <f>IFERROR(__xludf.DUMMYFUNCTION("""COMPUTED_VALUE"""),"")</f>
        <v/>
      </c>
      <c r="K377" s="51" t="str">
        <f>IFERROR(__xludf.DUMMYFUNCTION("""COMPUTED_VALUE"""),"")</f>
        <v/>
      </c>
      <c r="L377" s="51" t="s">
        <v>64</v>
      </c>
      <c r="M377" s="51" t="s">
        <v>64</v>
      </c>
      <c r="N377" s="51"/>
      <c r="O377" s="51"/>
      <c r="P377" s="51"/>
      <c r="Q377" s="51"/>
      <c r="R377" s="51"/>
      <c r="S377" s="51"/>
    </row>
    <row r="378">
      <c r="A378" s="51"/>
      <c r="B378" s="51"/>
      <c r="C378" s="51"/>
      <c r="D378" s="51"/>
      <c r="E378" s="51"/>
      <c r="F378" s="51"/>
      <c r="G378" s="51"/>
      <c r="H378" s="51"/>
      <c r="I378" s="51"/>
      <c r="J378" s="51" t="str">
        <f>IFERROR(__xludf.DUMMYFUNCTION("""COMPUTED_VALUE"""),"")</f>
        <v/>
      </c>
      <c r="K378" s="51" t="str">
        <f>IFERROR(__xludf.DUMMYFUNCTION("""COMPUTED_VALUE"""),"")</f>
        <v/>
      </c>
      <c r="L378" s="51" t="s">
        <v>64</v>
      </c>
      <c r="M378" s="51" t="s">
        <v>64</v>
      </c>
      <c r="N378" s="51"/>
      <c r="O378" s="51"/>
      <c r="P378" s="51"/>
      <c r="Q378" s="51"/>
      <c r="R378" s="51"/>
      <c r="S378" s="51"/>
    </row>
    <row r="379">
      <c r="A379" s="51"/>
      <c r="B379" s="51"/>
      <c r="C379" s="51"/>
      <c r="D379" s="51"/>
      <c r="E379" s="51"/>
      <c r="F379" s="51"/>
      <c r="G379" s="51"/>
      <c r="H379" s="51"/>
      <c r="I379" s="51"/>
      <c r="J379" s="51" t="str">
        <f>IFERROR(__xludf.DUMMYFUNCTION("""COMPUTED_VALUE"""),"")</f>
        <v/>
      </c>
      <c r="K379" s="51" t="str">
        <f>IFERROR(__xludf.DUMMYFUNCTION("""COMPUTED_VALUE"""),"")</f>
        <v/>
      </c>
      <c r="L379" s="51" t="s">
        <v>64</v>
      </c>
      <c r="M379" s="51" t="s">
        <v>64</v>
      </c>
      <c r="N379" s="51"/>
      <c r="O379" s="51"/>
      <c r="P379" s="51"/>
      <c r="Q379" s="51"/>
      <c r="R379" s="51"/>
      <c r="S379" s="51"/>
    </row>
    <row r="380">
      <c r="A380" s="51"/>
      <c r="B380" s="51"/>
      <c r="C380" s="51"/>
      <c r="D380" s="51"/>
      <c r="E380" s="51"/>
      <c r="F380" s="51"/>
      <c r="G380" s="51"/>
      <c r="H380" s="51"/>
      <c r="I380" s="51"/>
      <c r="J380" s="51" t="str">
        <f>IFERROR(__xludf.DUMMYFUNCTION("""COMPUTED_VALUE"""),"")</f>
        <v/>
      </c>
      <c r="K380" s="51" t="str">
        <f>IFERROR(__xludf.DUMMYFUNCTION("""COMPUTED_VALUE"""),"")</f>
        <v/>
      </c>
      <c r="L380" s="51" t="s">
        <v>64</v>
      </c>
      <c r="M380" s="51" t="s">
        <v>64</v>
      </c>
      <c r="N380" s="51"/>
      <c r="O380" s="51"/>
      <c r="P380" s="51"/>
      <c r="Q380" s="51"/>
      <c r="R380" s="51"/>
      <c r="S380" s="51"/>
    </row>
    <row r="381">
      <c r="A381" s="51"/>
      <c r="B381" s="51"/>
      <c r="C381" s="51"/>
      <c r="D381" s="51"/>
      <c r="E381" s="51"/>
      <c r="F381" s="51"/>
      <c r="G381" s="51"/>
      <c r="H381" s="51"/>
      <c r="I381" s="51"/>
      <c r="J381" s="51" t="str">
        <f>IFERROR(__xludf.DUMMYFUNCTION("""COMPUTED_VALUE"""),"")</f>
        <v/>
      </c>
      <c r="K381" s="51" t="str">
        <f>IFERROR(__xludf.DUMMYFUNCTION("""COMPUTED_VALUE"""),"")</f>
        <v/>
      </c>
      <c r="L381" s="51" t="s">
        <v>64</v>
      </c>
      <c r="M381" s="51" t="s">
        <v>64</v>
      </c>
      <c r="N381" s="51"/>
      <c r="O381" s="51"/>
      <c r="P381" s="51"/>
      <c r="Q381" s="51"/>
      <c r="R381" s="51"/>
      <c r="S381" s="51"/>
    </row>
    <row r="382">
      <c r="A382" s="51"/>
      <c r="B382" s="51"/>
      <c r="C382" s="51"/>
      <c r="D382" s="51"/>
      <c r="E382" s="51"/>
      <c r="F382" s="51"/>
      <c r="G382" s="51"/>
      <c r="H382" s="51"/>
      <c r="I382" s="51"/>
      <c r="J382" s="51" t="str">
        <f>IFERROR(__xludf.DUMMYFUNCTION("""COMPUTED_VALUE"""),"")</f>
        <v/>
      </c>
      <c r="K382" s="51" t="str">
        <f>IFERROR(__xludf.DUMMYFUNCTION("""COMPUTED_VALUE"""),"")</f>
        <v/>
      </c>
      <c r="L382" s="51" t="s">
        <v>64</v>
      </c>
      <c r="M382" s="51" t="s">
        <v>64</v>
      </c>
      <c r="N382" s="51"/>
      <c r="O382" s="51"/>
      <c r="P382" s="51"/>
      <c r="Q382" s="51"/>
      <c r="R382" s="51"/>
      <c r="S382" s="51"/>
    </row>
    <row r="383">
      <c r="A383" s="51"/>
      <c r="B383" s="51"/>
      <c r="C383" s="51"/>
      <c r="D383" s="51"/>
      <c r="E383" s="51"/>
      <c r="F383" s="51"/>
      <c r="G383" s="51"/>
      <c r="H383" s="51"/>
      <c r="I383" s="51"/>
      <c r="J383" s="51" t="str">
        <f>IFERROR(__xludf.DUMMYFUNCTION("""COMPUTED_VALUE"""),"")</f>
        <v/>
      </c>
      <c r="K383" s="51" t="str">
        <f>IFERROR(__xludf.DUMMYFUNCTION("""COMPUTED_VALUE"""),"")</f>
        <v/>
      </c>
      <c r="L383" s="51" t="s">
        <v>64</v>
      </c>
      <c r="M383" s="51" t="s">
        <v>64</v>
      </c>
      <c r="N383" s="51"/>
      <c r="O383" s="51"/>
      <c r="P383" s="51"/>
      <c r="Q383" s="51"/>
      <c r="R383" s="51"/>
      <c r="S383" s="51"/>
    </row>
    <row r="384">
      <c r="A384" s="51"/>
      <c r="B384" s="51"/>
      <c r="C384" s="51"/>
      <c r="D384" s="51"/>
      <c r="E384" s="51"/>
      <c r="F384" s="51"/>
      <c r="G384" s="51"/>
      <c r="H384" s="51"/>
      <c r="I384" s="51"/>
      <c r="J384" s="51" t="str">
        <f>IFERROR(__xludf.DUMMYFUNCTION("""COMPUTED_VALUE"""),"")</f>
        <v/>
      </c>
      <c r="K384" s="51" t="str">
        <f>IFERROR(__xludf.DUMMYFUNCTION("""COMPUTED_VALUE"""),"")</f>
        <v/>
      </c>
      <c r="L384" s="51" t="s">
        <v>64</v>
      </c>
      <c r="M384" s="51" t="s">
        <v>64</v>
      </c>
      <c r="N384" s="51"/>
      <c r="O384" s="51"/>
      <c r="P384" s="51"/>
      <c r="Q384" s="51"/>
      <c r="R384" s="51"/>
      <c r="S384" s="51"/>
    </row>
    <row r="385">
      <c r="A385" s="51"/>
      <c r="B385" s="51"/>
      <c r="C385" s="51"/>
      <c r="D385" s="51"/>
      <c r="E385" s="51"/>
      <c r="F385" s="51"/>
      <c r="G385" s="51"/>
      <c r="H385" s="51"/>
      <c r="I385" s="51"/>
      <c r="J385" s="51" t="str">
        <f>IFERROR(__xludf.DUMMYFUNCTION("""COMPUTED_VALUE"""),"")</f>
        <v/>
      </c>
      <c r="K385" s="51" t="str">
        <f>IFERROR(__xludf.DUMMYFUNCTION("""COMPUTED_VALUE"""),"")</f>
        <v/>
      </c>
      <c r="L385" s="51" t="s">
        <v>64</v>
      </c>
      <c r="M385" s="51" t="s">
        <v>64</v>
      </c>
      <c r="N385" s="51"/>
      <c r="O385" s="51"/>
      <c r="P385" s="51"/>
      <c r="Q385" s="51"/>
      <c r="R385" s="51"/>
      <c r="S385" s="51"/>
    </row>
    <row r="386">
      <c r="A386" s="51"/>
      <c r="B386" s="51"/>
      <c r="C386" s="51"/>
      <c r="D386" s="51"/>
      <c r="E386" s="51"/>
      <c r="F386" s="51"/>
      <c r="G386" s="51"/>
      <c r="H386" s="51"/>
      <c r="I386" s="51"/>
      <c r="J386" s="51" t="str">
        <f>IFERROR(__xludf.DUMMYFUNCTION("""COMPUTED_VALUE"""),"")</f>
        <v/>
      </c>
      <c r="K386" s="51" t="str">
        <f>IFERROR(__xludf.DUMMYFUNCTION("""COMPUTED_VALUE"""),"")</f>
        <v/>
      </c>
      <c r="L386" s="51" t="s">
        <v>64</v>
      </c>
      <c r="M386" s="51" t="s">
        <v>64</v>
      </c>
      <c r="N386" s="51"/>
      <c r="O386" s="51"/>
      <c r="P386" s="51"/>
      <c r="Q386" s="51"/>
      <c r="R386" s="51"/>
      <c r="S386" s="51"/>
    </row>
    <row r="387">
      <c r="A387" s="51"/>
      <c r="B387" s="51"/>
      <c r="C387" s="51"/>
      <c r="D387" s="51"/>
      <c r="E387" s="51"/>
      <c r="F387" s="51"/>
      <c r="G387" s="51"/>
      <c r="H387" s="51"/>
      <c r="I387" s="51"/>
      <c r="J387" s="51" t="str">
        <f>IFERROR(__xludf.DUMMYFUNCTION("""COMPUTED_VALUE"""),"")</f>
        <v/>
      </c>
      <c r="K387" s="51" t="str">
        <f>IFERROR(__xludf.DUMMYFUNCTION("""COMPUTED_VALUE"""),"")</f>
        <v/>
      </c>
      <c r="L387" s="51" t="s">
        <v>64</v>
      </c>
      <c r="M387" s="51" t="s">
        <v>64</v>
      </c>
      <c r="N387" s="51"/>
      <c r="O387" s="51"/>
      <c r="P387" s="51"/>
      <c r="Q387" s="51"/>
      <c r="R387" s="51"/>
      <c r="S387" s="51"/>
    </row>
    <row r="388">
      <c r="A388" s="51"/>
      <c r="B388" s="51"/>
      <c r="C388" s="51"/>
      <c r="D388" s="51"/>
      <c r="E388" s="51"/>
      <c r="F388" s="51"/>
      <c r="G388" s="51"/>
      <c r="H388" s="51"/>
      <c r="I388" s="51"/>
      <c r="J388" s="51" t="str">
        <f>IFERROR(__xludf.DUMMYFUNCTION("""COMPUTED_VALUE"""),"")</f>
        <v/>
      </c>
      <c r="K388" s="51" t="str">
        <f>IFERROR(__xludf.DUMMYFUNCTION("""COMPUTED_VALUE"""),"")</f>
        <v/>
      </c>
      <c r="L388" s="51" t="s">
        <v>64</v>
      </c>
      <c r="M388" s="51" t="s">
        <v>64</v>
      </c>
      <c r="N388" s="51"/>
      <c r="O388" s="51"/>
      <c r="P388" s="51"/>
      <c r="Q388" s="51"/>
      <c r="R388" s="51"/>
      <c r="S388" s="51"/>
    </row>
    <row r="389">
      <c r="A389" s="51"/>
      <c r="B389" s="51"/>
      <c r="C389" s="51"/>
      <c r="D389" s="51"/>
      <c r="E389" s="51"/>
      <c r="F389" s="51"/>
      <c r="G389" s="51"/>
      <c r="H389" s="51"/>
      <c r="I389" s="51"/>
      <c r="J389" s="51" t="str">
        <f>IFERROR(__xludf.DUMMYFUNCTION("""COMPUTED_VALUE"""),"")</f>
        <v/>
      </c>
      <c r="K389" s="51" t="str">
        <f>IFERROR(__xludf.DUMMYFUNCTION("""COMPUTED_VALUE"""),"")</f>
        <v/>
      </c>
      <c r="L389" s="51" t="s">
        <v>64</v>
      </c>
      <c r="M389" s="51" t="s">
        <v>64</v>
      </c>
      <c r="N389" s="51"/>
      <c r="O389" s="51"/>
      <c r="P389" s="51"/>
      <c r="Q389" s="51"/>
      <c r="R389" s="51"/>
      <c r="S389" s="51"/>
    </row>
    <row r="390">
      <c r="A390" s="51"/>
      <c r="B390" s="51"/>
      <c r="C390" s="51"/>
      <c r="D390" s="51"/>
      <c r="E390" s="51"/>
      <c r="F390" s="51"/>
      <c r="G390" s="51"/>
      <c r="H390" s="51"/>
      <c r="I390" s="51"/>
      <c r="J390" s="51" t="str">
        <f>IFERROR(__xludf.DUMMYFUNCTION("""COMPUTED_VALUE"""),"")</f>
        <v/>
      </c>
      <c r="K390" s="51" t="str">
        <f>IFERROR(__xludf.DUMMYFUNCTION("""COMPUTED_VALUE"""),"")</f>
        <v/>
      </c>
      <c r="L390" s="51" t="s">
        <v>64</v>
      </c>
      <c r="M390" s="51" t="s">
        <v>64</v>
      </c>
      <c r="N390" s="51"/>
      <c r="O390" s="51"/>
      <c r="P390" s="51"/>
      <c r="Q390" s="51"/>
      <c r="R390" s="51"/>
      <c r="S390" s="51"/>
    </row>
    <row r="391">
      <c r="A391" s="51"/>
      <c r="B391" s="51"/>
      <c r="C391" s="51"/>
      <c r="D391" s="51"/>
      <c r="E391" s="51"/>
      <c r="F391" s="51"/>
      <c r="G391" s="51"/>
      <c r="H391" s="51"/>
      <c r="I391" s="51"/>
      <c r="J391" s="51" t="str">
        <f>IFERROR(__xludf.DUMMYFUNCTION("""COMPUTED_VALUE"""),"")</f>
        <v/>
      </c>
      <c r="K391" s="51" t="str">
        <f>IFERROR(__xludf.DUMMYFUNCTION("""COMPUTED_VALUE"""),"")</f>
        <v/>
      </c>
      <c r="L391" s="51" t="s">
        <v>64</v>
      </c>
      <c r="M391" s="51" t="s">
        <v>64</v>
      </c>
      <c r="N391" s="51"/>
      <c r="O391" s="51"/>
      <c r="P391" s="51"/>
      <c r="Q391" s="51"/>
      <c r="R391" s="51"/>
      <c r="S391" s="51"/>
    </row>
    <row r="392">
      <c r="A392" s="51"/>
      <c r="B392" s="51"/>
      <c r="C392" s="51"/>
      <c r="D392" s="51"/>
      <c r="E392" s="51"/>
      <c r="F392" s="51"/>
      <c r="G392" s="51"/>
      <c r="H392" s="51"/>
      <c r="I392" s="51"/>
      <c r="J392" s="51" t="str">
        <f>IFERROR(__xludf.DUMMYFUNCTION("""COMPUTED_VALUE"""),"")</f>
        <v/>
      </c>
      <c r="K392" s="51" t="str">
        <f>IFERROR(__xludf.DUMMYFUNCTION("""COMPUTED_VALUE"""),"")</f>
        <v/>
      </c>
      <c r="L392" s="51" t="s">
        <v>64</v>
      </c>
      <c r="M392" s="51" t="s">
        <v>64</v>
      </c>
      <c r="N392" s="51"/>
      <c r="O392" s="51"/>
      <c r="P392" s="51"/>
      <c r="Q392" s="51"/>
      <c r="R392" s="51"/>
      <c r="S392" s="51"/>
    </row>
    <row r="393">
      <c r="A393" s="51"/>
      <c r="B393" s="51"/>
      <c r="C393" s="51"/>
      <c r="D393" s="51"/>
      <c r="E393" s="51"/>
      <c r="F393" s="51"/>
      <c r="G393" s="51"/>
      <c r="H393" s="51"/>
      <c r="I393" s="51"/>
      <c r="J393" s="51" t="str">
        <f>IFERROR(__xludf.DUMMYFUNCTION("""COMPUTED_VALUE"""),"")</f>
        <v/>
      </c>
      <c r="K393" s="51" t="str">
        <f>IFERROR(__xludf.DUMMYFUNCTION("""COMPUTED_VALUE"""),"")</f>
        <v/>
      </c>
      <c r="L393" s="51" t="s">
        <v>64</v>
      </c>
      <c r="M393" s="51" t="s">
        <v>64</v>
      </c>
      <c r="N393" s="51"/>
      <c r="O393" s="51"/>
      <c r="P393" s="51"/>
      <c r="Q393" s="51"/>
      <c r="R393" s="51"/>
      <c r="S393" s="51"/>
    </row>
    <row r="394">
      <c r="A394" s="51"/>
      <c r="B394" s="51"/>
      <c r="C394" s="51"/>
      <c r="D394" s="51"/>
      <c r="E394" s="51"/>
      <c r="F394" s="51"/>
      <c r="G394" s="51"/>
      <c r="H394" s="51"/>
      <c r="I394" s="51"/>
      <c r="J394" s="51" t="str">
        <f>IFERROR(__xludf.DUMMYFUNCTION("""COMPUTED_VALUE"""),"")</f>
        <v/>
      </c>
      <c r="K394" s="51" t="str">
        <f>IFERROR(__xludf.DUMMYFUNCTION("""COMPUTED_VALUE"""),"")</f>
        <v/>
      </c>
      <c r="L394" s="51" t="s">
        <v>64</v>
      </c>
      <c r="M394" s="51" t="s">
        <v>64</v>
      </c>
      <c r="N394" s="51"/>
      <c r="O394" s="51"/>
      <c r="P394" s="51"/>
      <c r="Q394" s="51"/>
      <c r="R394" s="51"/>
      <c r="S394" s="51"/>
    </row>
    <row r="395">
      <c r="A395" s="51"/>
      <c r="B395" s="51"/>
      <c r="C395" s="51"/>
      <c r="D395" s="51"/>
      <c r="E395" s="51"/>
      <c r="F395" s="51"/>
      <c r="G395" s="51"/>
      <c r="H395" s="51"/>
      <c r="I395" s="51"/>
      <c r="J395" s="51" t="str">
        <f>IFERROR(__xludf.DUMMYFUNCTION("""COMPUTED_VALUE"""),"")</f>
        <v/>
      </c>
      <c r="K395" s="51" t="str">
        <f>IFERROR(__xludf.DUMMYFUNCTION("""COMPUTED_VALUE"""),"")</f>
        <v/>
      </c>
      <c r="L395" s="51" t="s">
        <v>64</v>
      </c>
      <c r="M395" s="51" t="s">
        <v>64</v>
      </c>
      <c r="N395" s="51"/>
      <c r="O395" s="51"/>
      <c r="P395" s="51"/>
      <c r="Q395" s="51"/>
      <c r="R395" s="51"/>
      <c r="S395" s="51"/>
    </row>
    <row r="396">
      <c r="A396" s="51"/>
      <c r="B396" s="51"/>
      <c r="C396" s="51"/>
      <c r="D396" s="51"/>
      <c r="E396" s="51"/>
      <c r="F396" s="51"/>
      <c r="G396" s="51"/>
      <c r="H396" s="51"/>
      <c r="I396" s="51"/>
      <c r="J396" s="51" t="str">
        <f>IFERROR(__xludf.DUMMYFUNCTION("""COMPUTED_VALUE"""),"")</f>
        <v/>
      </c>
      <c r="K396" s="51" t="str">
        <f>IFERROR(__xludf.DUMMYFUNCTION("""COMPUTED_VALUE"""),"")</f>
        <v/>
      </c>
      <c r="L396" s="51" t="s">
        <v>64</v>
      </c>
      <c r="M396" s="51" t="s">
        <v>64</v>
      </c>
      <c r="N396" s="51"/>
      <c r="O396" s="51"/>
      <c r="P396" s="51"/>
      <c r="Q396" s="51"/>
      <c r="R396" s="51"/>
      <c r="S396" s="51"/>
    </row>
    <row r="397">
      <c r="A397" s="51"/>
      <c r="B397" s="51"/>
      <c r="C397" s="51"/>
      <c r="D397" s="51"/>
      <c r="E397" s="51"/>
      <c r="F397" s="51"/>
      <c r="G397" s="51"/>
      <c r="H397" s="51"/>
      <c r="I397" s="51"/>
      <c r="J397" s="51" t="str">
        <f>IFERROR(__xludf.DUMMYFUNCTION("""COMPUTED_VALUE"""),"")</f>
        <v/>
      </c>
      <c r="K397" s="51" t="str">
        <f>IFERROR(__xludf.DUMMYFUNCTION("""COMPUTED_VALUE"""),"")</f>
        <v/>
      </c>
      <c r="L397" s="51" t="s">
        <v>64</v>
      </c>
      <c r="M397" s="51" t="s">
        <v>64</v>
      </c>
      <c r="N397" s="51"/>
      <c r="O397" s="51"/>
      <c r="P397" s="51"/>
      <c r="Q397" s="51"/>
      <c r="R397" s="51"/>
      <c r="S397" s="51"/>
    </row>
    <row r="398">
      <c r="A398" s="51"/>
      <c r="B398" s="51"/>
      <c r="C398" s="51"/>
      <c r="D398" s="51"/>
      <c r="E398" s="51"/>
      <c r="F398" s="51"/>
      <c r="G398" s="51"/>
      <c r="H398" s="51"/>
      <c r="I398" s="51"/>
      <c r="J398" s="51" t="str">
        <f>IFERROR(__xludf.DUMMYFUNCTION("""COMPUTED_VALUE"""),"")</f>
        <v/>
      </c>
      <c r="K398" s="51" t="str">
        <f>IFERROR(__xludf.DUMMYFUNCTION("""COMPUTED_VALUE"""),"")</f>
        <v/>
      </c>
      <c r="L398" s="51" t="s">
        <v>64</v>
      </c>
      <c r="M398" s="51" t="s">
        <v>64</v>
      </c>
      <c r="N398" s="51"/>
      <c r="O398" s="51"/>
      <c r="P398" s="51"/>
      <c r="Q398" s="51"/>
      <c r="R398" s="51"/>
      <c r="S398" s="51"/>
    </row>
    <row r="399">
      <c r="A399" s="51"/>
      <c r="B399" s="51"/>
      <c r="C399" s="51"/>
      <c r="D399" s="51"/>
      <c r="E399" s="51"/>
      <c r="F399" s="51"/>
      <c r="G399" s="51"/>
      <c r="H399" s="51"/>
      <c r="I399" s="51"/>
      <c r="J399" s="51" t="str">
        <f>IFERROR(__xludf.DUMMYFUNCTION("""COMPUTED_VALUE"""),"")</f>
        <v/>
      </c>
      <c r="K399" s="51" t="str">
        <f>IFERROR(__xludf.DUMMYFUNCTION("""COMPUTED_VALUE"""),"")</f>
        <v/>
      </c>
      <c r="L399" s="51" t="s">
        <v>64</v>
      </c>
      <c r="M399" s="51" t="s">
        <v>64</v>
      </c>
      <c r="N399" s="51"/>
      <c r="O399" s="51"/>
      <c r="P399" s="51"/>
      <c r="Q399" s="51"/>
      <c r="R399" s="51"/>
      <c r="S399" s="51"/>
    </row>
    <row r="400">
      <c r="A400" s="51"/>
      <c r="B400" s="51"/>
      <c r="C400" s="51"/>
      <c r="D400" s="51"/>
      <c r="E400" s="51"/>
      <c r="F400" s="51"/>
      <c r="G400" s="51"/>
      <c r="H400" s="51"/>
      <c r="I400" s="51"/>
      <c r="J400" s="51" t="str">
        <f>IFERROR(__xludf.DUMMYFUNCTION("""COMPUTED_VALUE"""),"")</f>
        <v/>
      </c>
      <c r="K400" s="51" t="str">
        <f>IFERROR(__xludf.DUMMYFUNCTION("""COMPUTED_VALUE"""),"")</f>
        <v/>
      </c>
      <c r="L400" s="51" t="s">
        <v>64</v>
      </c>
      <c r="M400" s="51" t="s">
        <v>64</v>
      </c>
      <c r="N400" s="51"/>
      <c r="O400" s="51"/>
      <c r="P400" s="51"/>
      <c r="Q400" s="51"/>
      <c r="R400" s="51"/>
      <c r="S400" s="51"/>
    </row>
    <row r="401">
      <c r="A401" s="51"/>
      <c r="B401" s="51"/>
      <c r="C401" s="51"/>
      <c r="D401" s="51"/>
      <c r="E401" s="51"/>
      <c r="F401" s="51"/>
      <c r="G401" s="51"/>
      <c r="H401" s="51"/>
      <c r="I401" s="51"/>
      <c r="J401" s="51" t="str">
        <f>IFERROR(__xludf.DUMMYFUNCTION("""COMPUTED_VALUE"""),"")</f>
        <v/>
      </c>
      <c r="K401" s="51" t="str">
        <f>IFERROR(__xludf.DUMMYFUNCTION("""COMPUTED_VALUE"""),"")</f>
        <v/>
      </c>
      <c r="L401" s="51" t="s">
        <v>64</v>
      </c>
      <c r="M401" s="51" t="s">
        <v>64</v>
      </c>
      <c r="N401" s="51"/>
      <c r="O401" s="51"/>
      <c r="P401" s="51"/>
      <c r="Q401" s="51"/>
      <c r="R401" s="51"/>
      <c r="S401" s="51"/>
    </row>
    <row r="402">
      <c r="A402" s="51"/>
      <c r="B402" s="51"/>
      <c r="C402" s="51"/>
      <c r="D402" s="51"/>
      <c r="E402" s="51"/>
      <c r="F402" s="51"/>
      <c r="G402" s="51"/>
      <c r="H402" s="51"/>
      <c r="I402" s="51"/>
      <c r="J402" s="51" t="str">
        <f>IFERROR(__xludf.DUMMYFUNCTION("""COMPUTED_VALUE"""),"")</f>
        <v/>
      </c>
      <c r="K402" s="51" t="str">
        <f>IFERROR(__xludf.DUMMYFUNCTION("""COMPUTED_VALUE"""),"")</f>
        <v/>
      </c>
      <c r="L402" s="51" t="s">
        <v>64</v>
      </c>
      <c r="M402" s="51" t="s">
        <v>64</v>
      </c>
      <c r="N402" s="51"/>
      <c r="O402" s="51"/>
      <c r="P402" s="51"/>
      <c r="Q402" s="51"/>
      <c r="R402" s="51"/>
      <c r="S402" s="51"/>
    </row>
    <row r="403">
      <c r="A403" s="51"/>
      <c r="B403" s="51"/>
      <c r="C403" s="51"/>
      <c r="D403" s="51"/>
      <c r="E403" s="51"/>
      <c r="F403" s="51"/>
      <c r="G403" s="51"/>
      <c r="H403" s="51"/>
      <c r="I403" s="51"/>
      <c r="J403" s="51" t="str">
        <f>IFERROR(__xludf.DUMMYFUNCTION("""COMPUTED_VALUE"""),"")</f>
        <v/>
      </c>
      <c r="K403" s="51" t="str">
        <f>IFERROR(__xludf.DUMMYFUNCTION("""COMPUTED_VALUE"""),"")</f>
        <v/>
      </c>
      <c r="L403" s="51" t="s">
        <v>64</v>
      </c>
      <c r="M403" s="51" t="s">
        <v>64</v>
      </c>
      <c r="N403" s="51"/>
      <c r="O403" s="51"/>
      <c r="P403" s="51"/>
      <c r="Q403" s="51"/>
      <c r="R403" s="51"/>
      <c r="S403" s="51"/>
    </row>
    <row r="404">
      <c r="A404" s="51"/>
      <c r="B404" s="51"/>
      <c r="C404" s="51"/>
      <c r="D404" s="51"/>
      <c r="E404" s="51"/>
      <c r="F404" s="51"/>
      <c r="G404" s="51"/>
      <c r="H404" s="51"/>
      <c r="I404" s="51"/>
      <c r="J404" s="51" t="str">
        <f>IFERROR(__xludf.DUMMYFUNCTION("""COMPUTED_VALUE"""),"")</f>
        <v/>
      </c>
      <c r="K404" s="51" t="str">
        <f>IFERROR(__xludf.DUMMYFUNCTION("""COMPUTED_VALUE"""),"")</f>
        <v/>
      </c>
      <c r="L404" s="51" t="s">
        <v>64</v>
      </c>
      <c r="M404" s="51" t="s">
        <v>64</v>
      </c>
      <c r="N404" s="51"/>
      <c r="O404" s="51"/>
      <c r="P404" s="51"/>
      <c r="Q404" s="51"/>
      <c r="R404" s="51"/>
      <c r="S404" s="51"/>
    </row>
    <row r="405">
      <c r="A405" s="51"/>
      <c r="B405" s="51"/>
      <c r="C405" s="51"/>
      <c r="D405" s="51"/>
      <c r="E405" s="51"/>
      <c r="F405" s="51"/>
      <c r="G405" s="51"/>
      <c r="H405" s="51"/>
      <c r="I405" s="51"/>
      <c r="J405" s="51" t="str">
        <f>IFERROR(__xludf.DUMMYFUNCTION("""COMPUTED_VALUE"""),"")</f>
        <v/>
      </c>
      <c r="K405" s="51" t="str">
        <f>IFERROR(__xludf.DUMMYFUNCTION("""COMPUTED_VALUE"""),"")</f>
        <v/>
      </c>
      <c r="L405" s="51" t="s">
        <v>64</v>
      </c>
      <c r="M405" s="51" t="s">
        <v>64</v>
      </c>
      <c r="N405" s="51"/>
      <c r="O405" s="51"/>
      <c r="P405" s="51"/>
      <c r="Q405" s="51"/>
      <c r="R405" s="51"/>
      <c r="S405" s="51"/>
    </row>
    <row r="406">
      <c r="A406" s="51"/>
      <c r="B406" s="51"/>
      <c r="C406" s="51"/>
      <c r="D406" s="51"/>
      <c r="E406" s="51"/>
      <c r="F406" s="51"/>
      <c r="G406" s="51"/>
      <c r="H406" s="51"/>
      <c r="I406" s="51"/>
      <c r="J406" s="51" t="str">
        <f>IFERROR(__xludf.DUMMYFUNCTION("""COMPUTED_VALUE"""),"")</f>
        <v/>
      </c>
      <c r="K406" s="51" t="str">
        <f>IFERROR(__xludf.DUMMYFUNCTION("""COMPUTED_VALUE"""),"")</f>
        <v/>
      </c>
      <c r="L406" s="51" t="s">
        <v>64</v>
      </c>
      <c r="M406" s="51" t="s">
        <v>64</v>
      </c>
      <c r="N406" s="51"/>
      <c r="O406" s="51"/>
      <c r="P406" s="51"/>
      <c r="Q406" s="51"/>
      <c r="R406" s="51"/>
      <c r="S406" s="51"/>
    </row>
    <row r="407">
      <c r="A407" s="51"/>
      <c r="B407" s="51"/>
      <c r="C407" s="51"/>
      <c r="D407" s="51"/>
      <c r="E407" s="51"/>
      <c r="F407" s="51"/>
      <c r="G407" s="51"/>
      <c r="H407" s="51"/>
      <c r="I407" s="51"/>
      <c r="J407" s="51" t="str">
        <f>IFERROR(__xludf.DUMMYFUNCTION("""COMPUTED_VALUE"""),"")</f>
        <v/>
      </c>
      <c r="K407" s="51" t="str">
        <f>IFERROR(__xludf.DUMMYFUNCTION("""COMPUTED_VALUE"""),"")</f>
        <v/>
      </c>
      <c r="L407" s="51" t="s">
        <v>64</v>
      </c>
      <c r="M407" s="51" t="s">
        <v>64</v>
      </c>
      <c r="N407" s="51"/>
      <c r="O407" s="51"/>
      <c r="P407" s="51"/>
      <c r="Q407" s="51"/>
      <c r="R407" s="51"/>
      <c r="S407" s="51"/>
    </row>
    <row r="408">
      <c r="A408" s="51"/>
      <c r="B408" s="51"/>
      <c r="C408" s="51"/>
      <c r="D408" s="51"/>
      <c r="E408" s="51"/>
      <c r="F408" s="51"/>
      <c r="G408" s="51"/>
      <c r="H408" s="51"/>
      <c r="I408" s="51"/>
      <c r="J408" s="51" t="str">
        <f>IFERROR(__xludf.DUMMYFUNCTION("""COMPUTED_VALUE"""),"")</f>
        <v/>
      </c>
      <c r="K408" s="51" t="str">
        <f>IFERROR(__xludf.DUMMYFUNCTION("""COMPUTED_VALUE"""),"")</f>
        <v/>
      </c>
      <c r="L408" s="51" t="s">
        <v>64</v>
      </c>
      <c r="M408" s="51" t="s">
        <v>64</v>
      </c>
      <c r="N408" s="51"/>
      <c r="O408" s="51"/>
      <c r="P408" s="51"/>
      <c r="Q408" s="51"/>
      <c r="R408" s="51"/>
      <c r="S408" s="51"/>
    </row>
    <row r="409">
      <c r="A409" s="51"/>
      <c r="B409" s="51"/>
      <c r="C409" s="51"/>
      <c r="D409" s="51"/>
      <c r="E409" s="51"/>
      <c r="F409" s="51"/>
      <c r="G409" s="51"/>
      <c r="H409" s="51"/>
      <c r="I409" s="51"/>
      <c r="J409" s="51" t="str">
        <f>IFERROR(__xludf.DUMMYFUNCTION("""COMPUTED_VALUE"""),"")</f>
        <v/>
      </c>
      <c r="K409" s="51" t="str">
        <f>IFERROR(__xludf.DUMMYFUNCTION("""COMPUTED_VALUE"""),"")</f>
        <v/>
      </c>
      <c r="L409" s="51" t="s">
        <v>64</v>
      </c>
      <c r="M409" s="51" t="s">
        <v>64</v>
      </c>
      <c r="N409" s="51"/>
      <c r="O409" s="51"/>
      <c r="P409" s="51"/>
      <c r="Q409" s="51"/>
      <c r="R409" s="51"/>
      <c r="S409" s="51"/>
    </row>
    <row r="410">
      <c r="A410" s="51"/>
      <c r="B410" s="51"/>
      <c r="C410" s="51"/>
      <c r="D410" s="51"/>
      <c r="E410" s="51"/>
      <c r="F410" s="51"/>
      <c r="G410" s="51"/>
      <c r="H410" s="51"/>
      <c r="I410" s="51"/>
      <c r="J410" s="51" t="str">
        <f>IFERROR(__xludf.DUMMYFUNCTION("""COMPUTED_VALUE"""),"")</f>
        <v/>
      </c>
      <c r="K410" s="51" t="str">
        <f>IFERROR(__xludf.DUMMYFUNCTION("""COMPUTED_VALUE"""),"")</f>
        <v/>
      </c>
      <c r="L410" s="51" t="s">
        <v>64</v>
      </c>
      <c r="M410" s="51" t="s">
        <v>64</v>
      </c>
      <c r="N410" s="51"/>
      <c r="O410" s="51"/>
      <c r="P410" s="51"/>
      <c r="Q410" s="51"/>
      <c r="R410" s="51"/>
      <c r="S410" s="51"/>
    </row>
    <row r="411">
      <c r="A411" s="51"/>
      <c r="B411" s="51"/>
      <c r="C411" s="51"/>
      <c r="D411" s="51"/>
      <c r="E411" s="51"/>
      <c r="F411" s="51"/>
      <c r="G411" s="51"/>
      <c r="H411" s="51"/>
      <c r="I411" s="51"/>
      <c r="J411" s="51" t="str">
        <f>IFERROR(__xludf.DUMMYFUNCTION("""COMPUTED_VALUE"""),"")</f>
        <v/>
      </c>
      <c r="K411" s="51" t="str">
        <f>IFERROR(__xludf.DUMMYFUNCTION("""COMPUTED_VALUE"""),"")</f>
        <v/>
      </c>
      <c r="L411" s="51" t="s">
        <v>64</v>
      </c>
      <c r="M411" s="51" t="s">
        <v>64</v>
      </c>
      <c r="N411" s="51"/>
      <c r="O411" s="51"/>
      <c r="P411" s="51"/>
      <c r="Q411" s="51"/>
      <c r="R411" s="51"/>
      <c r="S411" s="51"/>
    </row>
    <row r="412">
      <c r="A412" s="51"/>
      <c r="B412" s="51"/>
      <c r="C412" s="51"/>
      <c r="D412" s="51"/>
      <c r="E412" s="51"/>
      <c r="F412" s="51"/>
      <c r="G412" s="51"/>
      <c r="H412" s="51"/>
      <c r="I412" s="51"/>
      <c r="J412" s="51" t="str">
        <f>IFERROR(__xludf.DUMMYFUNCTION("""COMPUTED_VALUE"""),"")</f>
        <v/>
      </c>
      <c r="K412" s="51" t="str">
        <f>IFERROR(__xludf.DUMMYFUNCTION("""COMPUTED_VALUE"""),"")</f>
        <v/>
      </c>
      <c r="L412" s="51" t="s">
        <v>64</v>
      </c>
      <c r="M412" s="51" t="s">
        <v>64</v>
      </c>
      <c r="N412" s="51"/>
      <c r="O412" s="51"/>
      <c r="P412" s="51"/>
      <c r="Q412" s="51"/>
      <c r="R412" s="51"/>
      <c r="S412" s="51"/>
    </row>
    <row r="413">
      <c r="A413" s="51"/>
      <c r="B413" s="51"/>
      <c r="C413" s="51"/>
      <c r="D413" s="51"/>
      <c r="E413" s="51"/>
      <c r="F413" s="51"/>
      <c r="G413" s="51"/>
      <c r="H413" s="51"/>
      <c r="I413" s="51"/>
      <c r="J413" s="51" t="str">
        <f>IFERROR(__xludf.DUMMYFUNCTION("""COMPUTED_VALUE"""),"")</f>
        <v/>
      </c>
      <c r="K413" s="51" t="str">
        <f>IFERROR(__xludf.DUMMYFUNCTION("""COMPUTED_VALUE"""),"")</f>
        <v/>
      </c>
      <c r="L413" s="51" t="s">
        <v>64</v>
      </c>
      <c r="M413" s="51" t="s">
        <v>64</v>
      </c>
      <c r="N413" s="51"/>
      <c r="O413" s="51"/>
      <c r="P413" s="51"/>
      <c r="Q413" s="51"/>
      <c r="R413" s="51"/>
      <c r="S413" s="51"/>
    </row>
    <row r="414">
      <c r="A414" s="51"/>
      <c r="B414" s="51"/>
      <c r="C414" s="51"/>
      <c r="D414" s="51"/>
      <c r="E414" s="51"/>
      <c r="F414" s="51"/>
      <c r="G414" s="51"/>
      <c r="H414" s="51"/>
      <c r="I414" s="51"/>
      <c r="J414" s="51" t="str">
        <f>IFERROR(__xludf.DUMMYFUNCTION("""COMPUTED_VALUE"""),"")</f>
        <v/>
      </c>
      <c r="K414" s="51" t="str">
        <f>IFERROR(__xludf.DUMMYFUNCTION("""COMPUTED_VALUE"""),"")</f>
        <v/>
      </c>
      <c r="L414" s="51" t="s">
        <v>64</v>
      </c>
      <c r="M414" s="51" t="s">
        <v>64</v>
      </c>
      <c r="N414" s="51"/>
      <c r="O414" s="51"/>
      <c r="P414" s="51"/>
      <c r="Q414" s="51"/>
      <c r="R414" s="51"/>
      <c r="S414" s="51"/>
    </row>
    <row r="415">
      <c r="A415" s="51"/>
      <c r="B415" s="51"/>
      <c r="C415" s="51"/>
      <c r="D415" s="51"/>
      <c r="E415" s="51"/>
      <c r="F415" s="51"/>
      <c r="G415" s="51"/>
      <c r="H415" s="51"/>
      <c r="I415" s="51"/>
      <c r="J415" s="51" t="str">
        <f>IFERROR(__xludf.DUMMYFUNCTION("""COMPUTED_VALUE"""),"")</f>
        <v/>
      </c>
      <c r="K415" s="51" t="str">
        <f>IFERROR(__xludf.DUMMYFUNCTION("""COMPUTED_VALUE"""),"")</f>
        <v/>
      </c>
      <c r="L415" s="51" t="s">
        <v>64</v>
      </c>
      <c r="M415" s="51" t="s">
        <v>64</v>
      </c>
      <c r="N415" s="51"/>
      <c r="O415" s="51"/>
      <c r="P415" s="51"/>
      <c r="Q415" s="51"/>
      <c r="R415" s="51"/>
      <c r="S415" s="51"/>
    </row>
    <row r="416">
      <c r="A416" s="51"/>
      <c r="B416" s="51"/>
      <c r="C416" s="51"/>
      <c r="D416" s="51"/>
      <c r="E416" s="51"/>
      <c r="F416" s="51"/>
      <c r="G416" s="51"/>
      <c r="H416" s="51"/>
      <c r="I416" s="51"/>
      <c r="J416" s="51" t="str">
        <f>IFERROR(__xludf.DUMMYFUNCTION("""COMPUTED_VALUE"""),"")</f>
        <v/>
      </c>
      <c r="K416" s="51" t="str">
        <f>IFERROR(__xludf.DUMMYFUNCTION("""COMPUTED_VALUE"""),"")</f>
        <v/>
      </c>
      <c r="L416" s="51" t="s">
        <v>64</v>
      </c>
      <c r="M416" s="51" t="s">
        <v>64</v>
      </c>
      <c r="N416" s="51"/>
      <c r="O416" s="51"/>
      <c r="P416" s="51"/>
      <c r="Q416" s="51"/>
      <c r="R416" s="51"/>
      <c r="S416" s="51"/>
    </row>
    <row r="417">
      <c r="A417" s="51"/>
      <c r="B417" s="51"/>
      <c r="C417" s="51"/>
      <c r="D417" s="51"/>
      <c r="E417" s="51"/>
      <c r="F417" s="51"/>
      <c r="G417" s="51"/>
      <c r="H417" s="51"/>
      <c r="I417" s="51"/>
      <c r="J417" s="51" t="str">
        <f>IFERROR(__xludf.DUMMYFUNCTION("""COMPUTED_VALUE"""),"")</f>
        <v/>
      </c>
      <c r="K417" s="51" t="str">
        <f>IFERROR(__xludf.DUMMYFUNCTION("""COMPUTED_VALUE"""),"")</f>
        <v/>
      </c>
      <c r="L417" s="51" t="s">
        <v>64</v>
      </c>
      <c r="M417" s="51" t="s">
        <v>64</v>
      </c>
      <c r="N417" s="51"/>
      <c r="O417" s="51"/>
      <c r="P417" s="51"/>
      <c r="Q417" s="51"/>
      <c r="R417" s="51"/>
      <c r="S417" s="51"/>
    </row>
    <row r="418">
      <c r="A418" s="51"/>
      <c r="B418" s="51"/>
      <c r="C418" s="51"/>
      <c r="D418" s="51"/>
      <c r="E418" s="51"/>
      <c r="F418" s="51"/>
      <c r="G418" s="51"/>
      <c r="H418" s="51"/>
      <c r="I418" s="51"/>
      <c r="J418" s="51" t="str">
        <f>IFERROR(__xludf.DUMMYFUNCTION("""COMPUTED_VALUE"""),"")</f>
        <v/>
      </c>
      <c r="K418" s="51" t="str">
        <f>IFERROR(__xludf.DUMMYFUNCTION("""COMPUTED_VALUE"""),"")</f>
        <v/>
      </c>
      <c r="L418" s="51" t="s">
        <v>64</v>
      </c>
      <c r="M418" s="51" t="s">
        <v>64</v>
      </c>
      <c r="N418" s="51"/>
      <c r="O418" s="51"/>
      <c r="P418" s="51"/>
      <c r="Q418" s="51"/>
      <c r="R418" s="51"/>
      <c r="S418" s="51"/>
    </row>
    <row r="419">
      <c r="A419" s="51"/>
      <c r="B419" s="51"/>
      <c r="C419" s="51"/>
      <c r="D419" s="51"/>
      <c r="E419" s="51"/>
      <c r="F419" s="51"/>
      <c r="G419" s="51"/>
      <c r="H419" s="51"/>
      <c r="I419" s="51"/>
      <c r="J419" s="51" t="str">
        <f>IFERROR(__xludf.DUMMYFUNCTION("""COMPUTED_VALUE"""),"")</f>
        <v/>
      </c>
      <c r="K419" s="51" t="str">
        <f>IFERROR(__xludf.DUMMYFUNCTION("""COMPUTED_VALUE"""),"")</f>
        <v/>
      </c>
      <c r="L419" s="51" t="s">
        <v>64</v>
      </c>
      <c r="M419" s="51" t="s">
        <v>64</v>
      </c>
      <c r="N419" s="51"/>
      <c r="O419" s="51"/>
      <c r="P419" s="51"/>
      <c r="Q419" s="51"/>
      <c r="R419" s="51"/>
      <c r="S419" s="51"/>
    </row>
    <row r="420">
      <c r="A420" s="51"/>
      <c r="B420" s="51"/>
      <c r="C420" s="51"/>
      <c r="D420" s="51"/>
      <c r="E420" s="51"/>
      <c r="F420" s="51"/>
      <c r="G420" s="51"/>
      <c r="H420" s="51"/>
      <c r="I420" s="51"/>
      <c r="J420" s="51" t="str">
        <f>IFERROR(__xludf.DUMMYFUNCTION("""COMPUTED_VALUE"""),"")</f>
        <v/>
      </c>
      <c r="K420" s="51" t="str">
        <f>IFERROR(__xludf.DUMMYFUNCTION("""COMPUTED_VALUE"""),"")</f>
        <v/>
      </c>
      <c r="L420" s="51" t="s">
        <v>64</v>
      </c>
      <c r="M420" s="51" t="s">
        <v>64</v>
      </c>
      <c r="N420" s="51"/>
      <c r="O420" s="51"/>
      <c r="P420" s="51"/>
      <c r="Q420" s="51"/>
      <c r="R420" s="51"/>
      <c r="S420" s="51"/>
    </row>
    <row r="421">
      <c r="A421" s="51"/>
      <c r="B421" s="51"/>
      <c r="C421" s="51"/>
      <c r="D421" s="51"/>
      <c r="E421" s="51"/>
      <c r="F421" s="51"/>
      <c r="G421" s="51"/>
      <c r="H421" s="51"/>
      <c r="I421" s="51"/>
      <c r="J421" s="51" t="str">
        <f>IFERROR(__xludf.DUMMYFUNCTION("""COMPUTED_VALUE"""),"")</f>
        <v/>
      </c>
      <c r="K421" s="51" t="str">
        <f>IFERROR(__xludf.DUMMYFUNCTION("""COMPUTED_VALUE"""),"")</f>
        <v/>
      </c>
      <c r="L421" s="51" t="s">
        <v>64</v>
      </c>
      <c r="M421" s="51" t="s">
        <v>64</v>
      </c>
      <c r="N421" s="51"/>
      <c r="O421" s="51"/>
      <c r="P421" s="51"/>
      <c r="Q421" s="51"/>
      <c r="R421" s="51"/>
      <c r="S421" s="51"/>
    </row>
    <row r="422">
      <c r="A422" s="51"/>
      <c r="B422" s="51"/>
      <c r="C422" s="51"/>
      <c r="D422" s="51"/>
      <c r="E422" s="51"/>
      <c r="F422" s="51"/>
      <c r="G422" s="51"/>
      <c r="H422" s="51"/>
      <c r="I422" s="51"/>
      <c r="J422" s="51" t="str">
        <f>IFERROR(__xludf.DUMMYFUNCTION("""COMPUTED_VALUE"""),"")</f>
        <v/>
      </c>
      <c r="K422" s="51" t="str">
        <f>IFERROR(__xludf.DUMMYFUNCTION("""COMPUTED_VALUE"""),"")</f>
        <v/>
      </c>
      <c r="L422" s="51" t="s">
        <v>64</v>
      </c>
      <c r="M422" s="51" t="s">
        <v>64</v>
      </c>
      <c r="N422" s="51"/>
      <c r="O422" s="51"/>
      <c r="P422" s="51"/>
      <c r="Q422" s="51"/>
      <c r="R422" s="51"/>
      <c r="S422" s="51"/>
    </row>
    <row r="423">
      <c r="A423" s="51"/>
      <c r="B423" s="51"/>
      <c r="C423" s="51"/>
      <c r="D423" s="51"/>
      <c r="E423" s="51"/>
      <c r="F423" s="51"/>
      <c r="G423" s="51"/>
      <c r="H423" s="51"/>
      <c r="I423" s="51"/>
      <c r="J423" s="51" t="str">
        <f>IFERROR(__xludf.DUMMYFUNCTION("""COMPUTED_VALUE"""),"")</f>
        <v/>
      </c>
      <c r="K423" s="51" t="str">
        <f>IFERROR(__xludf.DUMMYFUNCTION("""COMPUTED_VALUE"""),"")</f>
        <v/>
      </c>
      <c r="L423" s="51" t="s">
        <v>64</v>
      </c>
      <c r="M423" s="51" t="s">
        <v>64</v>
      </c>
      <c r="N423" s="51"/>
      <c r="O423" s="51"/>
      <c r="P423" s="51"/>
      <c r="Q423" s="51"/>
      <c r="R423" s="51"/>
      <c r="S423" s="51"/>
    </row>
    <row r="424">
      <c r="A424" s="51"/>
      <c r="B424" s="51"/>
      <c r="C424" s="51"/>
      <c r="D424" s="51"/>
      <c r="E424" s="51"/>
      <c r="F424" s="51"/>
      <c r="G424" s="51"/>
      <c r="H424" s="51"/>
      <c r="I424" s="51"/>
      <c r="J424" s="51" t="str">
        <f>IFERROR(__xludf.DUMMYFUNCTION("""COMPUTED_VALUE"""),"")</f>
        <v/>
      </c>
      <c r="K424" s="51" t="str">
        <f>IFERROR(__xludf.DUMMYFUNCTION("""COMPUTED_VALUE"""),"")</f>
        <v/>
      </c>
      <c r="L424" s="51" t="s">
        <v>64</v>
      </c>
      <c r="M424" s="51" t="s">
        <v>64</v>
      </c>
      <c r="N424" s="51"/>
      <c r="O424" s="51"/>
      <c r="P424" s="51"/>
      <c r="Q424" s="51"/>
      <c r="R424" s="51"/>
      <c r="S424" s="51"/>
    </row>
    <row r="425">
      <c r="A425" s="51"/>
      <c r="B425" s="51"/>
      <c r="C425" s="51"/>
      <c r="D425" s="51"/>
      <c r="E425" s="51"/>
      <c r="F425" s="51"/>
      <c r="G425" s="51"/>
      <c r="H425" s="51"/>
      <c r="I425" s="51"/>
      <c r="J425" s="51" t="str">
        <f>IFERROR(__xludf.DUMMYFUNCTION("""COMPUTED_VALUE"""),"")</f>
        <v/>
      </c>
      <c r="K425" s="51" t="str">
        <f>IFERROR(__xludf.DUMMYFUNCTION("""COMPUTED_VALUE"""),"")</f>
        <v/>
      </c>
      <c r="L425" s="51" t="s">
        <v>64</v>
      </c>
      <c r="M425" s="51" t="s">
        <v>64</v>
      </c>
      <c r="N425" s="51"/>
      <c r="O425" s="51"/>
      <c r="P425" s="51"/>
      <c r="Q425" s="51"/>
      <c r="R425" s="51"/>
      <c r="S425" s="51"/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 t="str">
        <f>IFERROR(__xludf.DUMMYFUNCTION("""COMPUTED_VALUE"""),"")</f>
        <v/>
      </c>
      <c r="K426" s="51" t="str">
        <f>IFERROR(__xludf.DUMMYFUNCTION("""COMPUTED_VALUE"""),"")</f>
        <v/>
      </c>
      <c r="L426" s="51" t="s">
        <v>64</v>
      </c>
      <c r="M426" s="51" t="s">
        <v>64</v>
      </c>
      <c r="N426" s="51"/>
      <c r="O426" s="51"/>
      <c r="P426" s="51"/>
      <c r="Q426" s="51"/>
      <c r="R426" s="51"/>
      <c r="S426" s="51"/>
    </row>
    <row r="427">
      <c r="A427" s="51"/>
      <c r="B427" s="51"/>
      <c r="C427" s="51"/>
      <c r="D427" s="51"/>
      <c r="E427" s="51"/>
      <c r="F427" s="51"/>
      <c r="G427" s="51"/>
      <c r="H427" s="51"/>
      <c r="I427" s="51"/>
      <c r="J427" s="51" t="str">
        <f>IFERROR(__xludf.DUMMYFUNCTION("""COMPUTED_VALUE"""),"")</f>
        <v/>
      </c>
      <c r="K427" s="51" t="str">
        <f>IFERROR(__xludf.DUMMYFUNCTION("""COMPUTED_VALUE"""),"")</f>
        <v/>
      </c>
      <c r="L427" s="51" t="s">
        <v>64</v>
      </c>
      <c r="M427" s="51" t="s">
        <v>64</v>
      </c>
      <c r="N427" s="51"/>
      <c r="O427" s="51"/>
      <c r="P427" s="51"/>
      <c r="Q427" s="51"/>
      <c r="R427" s="51"/>
      <c r="S427" s="51"/>
    </row>
    <row r="428">
      <c r="A428" s="51"/>
      <c r="B428" s="51"/>
      <c r="C428" s="51"/>
      <c r="D428" s="51"/>
      <c r="E428" s="51"/>
      <c r="F428" s="51"/>
      <c r="G428" s="51"/>
      <c r="H428" s="51"/>
      <c r="I428" s="51"/>
      <c r="J428" s="51" t="str">
        <f>IFERROR(__xludf.DUMMYFUNCTION("""COMPUTED_VALUE"""),"")</f>
        <v/>
      </c>
      <c r="K428" s="51" t="str">
        <f>IFERROR(__xludf.DUMMYFUNCTION("""COMPUTED_VALUE"""),"")</f>
        <v/>
      </c>
      <c r="L428" s="51" t="s">
        <v>64</v>
      </c>
      <c r="M428" s="51" t="s">
        <v>64</v>
      </c>
      <c r="N428" s="51"/>
      <c r="O428" s="51"/>
      <c r="P428" s="51"/>
      <c r="Q428" s="51"/>
      <c r="R428" s="51"/>
      <c r="S428" s="51"/>
    </row>
    <row r="429">
      <c r="A429" s="51"/>
      <c r="B429" s="51"/>
      <c r="C429" s="51"/>
      <c r="D429" s="51"/>
      <c r="E429" s="51"/>
      <c r="F429" s="51"/>
      <c r="G429" s="51"/>
      <c r="H429" s="51"/>
      <c r="I429" s="51"/>
      <c r="J429" s="51" t="str">
        <f>IFERROR(__xludf.DUMMYFUNCTION("""COMPUTED_VALUE"""),"")</f>
        <v/>
      </c>
      <c r="K429" s="51" t="str">
        <f>IFERROR(__xludf.DUMMYFUNCTION("""COMPUTED_VALUE"""),"")</f>
        <v/>
      </c>
      <c r="L429" s="51" t="s">
        <v>64</v>
      </c>
      <c r="M429" s="51" t="s">
        <v>64</v>
      </c>
      <c r="N429" s="51"/>
      <c r="O429" s="51"/>
      <c r="P429" s="51"/>
      <c r="Q429" s="51"/>
      <c r="R429" s="51"/>
      <c r="S429" s="51"/>
    </row>
    <row r="430">
      <c r="A430" s="51"/>
      <c r="B430" s="51"/>
      <c r="C430" s="51"/>
      <c r="D430" s="51"/>
      <c r="E430" s="51"/>
      <c r="F430" s="51"/>
      <c r="G430" s="51"/>
      <c r="H430" s="51"/>
      <c r="I430" s="51"/>
      <c r="J430" s="51" t="str">
        <f>IFERROR(__xludf.DUMMYFUNCTION("""COMPUTED_VALUE"""),"")</f>
        <v/>
      </c>
      <c r="K430" s="51" t="str">
        <f>IFERROR(__xludf.DUMMYFUNCTION("""COMPUTED_VALUE"""),"")</f>
        <v/>
      </c>
      <c r="L430" s="51" t="s">
        <v>64</v>
      </c>
      <c r="M430" s="51" t="s">
        <v>64</v>
      </c>
      <c r="N430" s="51"/>
      <c r="O430" s="51"/>
      <c r="P430" s="51"/>
      <c r="Q430" s="51"/>
      <c r="R430" s="51"/>
      <c r="S430" s="51"/>
    </row>
    <row r="431">
      <c r="A431" s="51"/>
      <c r="B431" s="51"/>
      <c r="C431" s="51"/>
      <c r="D431" s="51"/>
      <c r="E431" s="51"/>
      <c r="F431" s="51"/>
      <c r="G431" s="51"/>
      <c r="H431" s="51"/>
      <c r="I431" s="51"/>
      <c r="J431" s="51" t="str">
        <f>IFERROR(__xludf.DUMMYFUNCTION("""COMPUTED_VALUE"""),"")</f>
        <v/>
      </c>
      <c r="K431" s="51" t="str">
        <f>IFERROR(__xludf.DUMMYFUNCTION("""COMPUTED_VALUE"""),"")</f>
        <v/>
      </c>
      <c r="L431" s="51" t="s">
        <v>64</v>
      </c>
      <c r="M431" s="51" t="s">
        <v>64</v>
      </c>
      <c r="N431" s="51"/>
      <c r="O431" s="51"/>
      <c r="P431" s="51"/>
      <c r="Q431" s="51"/>
      <c r="R431" s="51"/>
      <c r="S431" s="51"/>
    </row>
    <row r="432">
      <c r="A432" s="51"/>
      <c r="B432" s="51"/>
      <c r="C432" s="51"/>
      <c r="D432" s="51"/>
      <c r="E432" s="51"/>
      <c r="F432" s="51"/>
      <c r="G432" s="51"/>
      <c r="H432" s="51"/>
      <c r="I432" s="51"/>
      <c r="J432" s="51" t="str">
        <f>IFERROR(__xludf.DUMMYFUNCTION("""COMPUTED_VALUE"""),"")</f>
        <v/>
      </c>
      <c r="K432" s="51" t="str">
        <f>IFERROR(__xludf.DUMMYFUNCTION("""COMPUTED_VALUE"""),"")</f>
        <v/>
      </c>
      <c r="L432" s="51" t="s">
        <v>64</v>
      </c>
      <c r="M432" s="51" t="s">
        <v>64</v>
      </c>
      <c r="N432" s="51"/>
      <c r="O432" s="51"/>
      <c r="P432" s="51"/>
      <c r="Q432" s="51"/>
      <c r="R432" s="51"/>
      <c r="S432" s="51"/>
    </row>
    <row r="433">
      <c r="A433" s="51"/>
      <c r="B433" s="51"/>
      <c r="C433" s="51"/>
      <c r="D433" s="51"/>
      <c r="E433" s="51"/>
      <c r="F433" s="51"/>
      <c r="G433" s="51"/>
      <c r="H433" s="51"/>
      <c r="I433" s="51"/>
      <c r="J433" s="51" t="str">
        <f>IFERROR(__xludf.DUMMYFUNCTION("""COMPUTED_VALUE"""),"")</f>
        <v/>
      </c>
      <c r="K433" s="51" t="str">
        <f>IFERROR(__xludf.DUMMYFUNCTION("""COMPUTED_VALUE"""),"")</f>
        <v/>
      </c>
      <c r="L433" s="51" t="s">
        <v>64</v>
      </c>
      <c r="M433" s="51" t="s">
        <v>64</v>
      </c>
      <c r="N433" s="51"/>
      <c r="O433" s="51"/>
      <c r="P433" s="51"/>
      <c r="Q433" s="51"/>
      <c r="R433" s="51"/>
      <c r="S433" s="51"/>
    </row>
    <row r="434">
      <c r="A434" s="51"/>
      <c r="B434" s="51"/>
      <c r="C434" s="51"/>
      <c r="D434" s="51"/>
      <c r="E434" s="51"/>
      <c r="F434" s="51"/>
      <c r="G434" s="51"/>
      <c r="H434" s="51"/>
      <c r="I434" s="51"/>
      <c r="J434" s="51" t="str">
        <f>IFERROR(__xludf.DUMMYFUNCTION("""COMPUTED_VALUE"""),"")</f>
        <v/>
      </c>
      <c r="K434" s="51" t="str">
        <f>IFERROR(__xludf.DUMMYFUNCTION("""COMPUTED_VALUE"""),"")</f>
        <v/>
      </c>
      <c r="L434" s="51" t="s">
        <v>64</v>
      </c>
      <c r="M434" s="51" t="s">
        <v>64</v>
      </c>
      <c r="N434" s="51"/>
      <c r="O434" s="51"/>
      <c r="P434" s="51"/>
      <c r="Q434" s="51"/>
      <c r="R434" s="51"/>
      <c r="S434" s="51"/>
    </row>
    <row r="435">
      <c r="A435" s="51"/>
      <c r="B435" s="51"/>
      <c r="C435" s="51"/>
      <c r="D435" s="51"/>
      <c r="E435" s="51"/>
      <c r="F435" s="51"/>
      <c r="G435" s="51"/>
      <c r="H435" s="51"/>
      <c r="I435" s="51"/>
      <c r="J435" s="51" t="str">
        <f>IFERROR(__xludf.DUMMYFUNCTION("""COMPUTED_VALUE"""),"")</f>
        <v/>
      </c>
      <c r="K435" s="51" t="str">
        <f>IFERROR(__xludf.DUMMYFUNCTION("""COMPUTED_VALUE"""),"")</f>
        <v/>
      </c>
      <c r="L435" s="51" t="s">
        <v>64</v>
      </c>
      <c r="M435" s="51" t="s">
        <v>64</v>
      </c>
      <c r="N435" s="51"/>
      <c r="O435" s="51"/>
      <c r="P435" s="51"/>
      <c r="Q435" s="51"/>
      <c r="R435" s="51"/>
      <c r="S435" s="51"/>
    </row>
    <row r="436">
      <c r="A436" s="51"/>
      <c r="B436" s="51"/>
      <c r="C436" s="51"/>
      <c r="D436" s="51"/>
      <c r="E436" s="51"/>
      <c r="F436" s="51"/>
      <c r="G436" s="51"/>
      <c r="H436" s="51"/>
      <c r="I436" s="51"/>
      <c r="J436" s="51" t="str">
        <f>IFERROR(__xludf.DUMMYFUNCTION("""COMPUTED_VALUE"""),"")</f>
        <v/>
      </c>
      <c r="K436" s="51" t="str">
        <f>IFERROR(__xludf.DUMMYFUNCTION("""COMPUTED_VALUE"""),"")</f>
        <v/>
      </c>
      <c r="L436" s="51" t="s">
        <v>64</v>
      </c>
      <c r="M436" s="51" t="s">
        <v>64</v>
      </c>
      <c r="N436" s="51"/>
      <c r="O436" s="51"/>
      <c r="P436" s="51"/>
      <c r="Q436" s="51"/>
      <c r="R436" s="51"/>
      <c r="S436" s="51"/>
    </row>
    <row r="437">
      <c r="A437" s="51"/>
      <c r="B437" s="51"/>
      <c r="C437" s="51"/>
      <c r="D437" s="51"/>
      <c r="E437" s="51"/>
      <c r="F437" s="51"/>
      <c r="G437" s="51"/>
      <c r="H437" s="51"/>
      <c r="I437" s="51"/>
      <c r="J437" s="51" t="str">
        <f>IFERROR(__xludf.DUMMYFUNCTION("""COMPUTED_VALUE"""),"")</f>
        <v/>
      </c>
      <c r="K437" s="51" t="str">
        <f>IFERROR(__xludf.DUMMYFUNCTION("""COMPUTED_VALUE"""),"")</f>
        <v/>
      </c>
      <c r="L437" s="51" t="s">
        <v>64</v>
      </c>
      <c r="M437" s="51" t="s">
        <v>64</v>
      </c>
      <c r="N437" s="51"/>
      <c r="O437" s="51"/>
      <c r="P437" s="51"/>
      <c r="Q437" s="51"/>
      <c r="R437" s="51"/>
      <c r="S437" s="51"/>
    </row>
    <row r="438">
      <c r="A438" s="51"/>
      <c r="B438" s="51"/>
      <c r="C438" s="51"/>
      <c r="D438" s="51"/>
      <c r="E438" s="51"/>
      <c r="F438" s="51"/>
      <c r="G438" s="51"/>
      <c r="H438" s="51"/>
      <c r="I438" s="51"/>
      <c r="J438" s="51" t="str">
        <f>IFERROR(__xludf.DUMMYFUNCTION("""COMPUTED_VALUE"""),"")</f>
        <v/>
      </c>
      <c r="K438" s="51" t="str">
        <f>IFERROR(__xludf.DUMMYFUNCTION("""COMPUTED_VALUE"""),"")</f>
        <v/>
      </c>
      <c r="L438" s="51" t="s">
        <v>64</v>
      </c>
      <c r="M438" s="51" t="s">
        <v>64</v>
      </c>
      <c r="N438" s="51"/>
      <c r="O438" s="51"/>
      <c r="P438" s="51"/>
      <c r="Q438" s="51"/>
      <c r="R438" s="51"/>
      <c r="S438" s="51"/>
    </row>
    <row r="439">
      <c r="A439" s="51"/>
      <c r="B439" s="51"/>
      <c r="C439" s="51"/>
      <c r="D439" s="51"/>
      <c r="E439" s="51"/>
      <c r="F439" s="51"/>
      <c r="G439" s="51"/>
      <c r="H439" s="51"/>
      <c r="I439" s="51"/>
      <c r="J439" s="51" t="str">
        <f>IFERROR(__xludf.DUMMYFUNCTION("""COMPUTED_VALUE"""),"")</f>
        <v/>
      </c>
      <c r="K439" s="51" t="str">
        <f>IFERROR(__xludf.DUMMYFUNCTION("""COMPUTED_VALUE"""),"")</f>
        <v/>
      </c>
      <c r="L439" s="51" t="s">
        <v>64</v>
      </c>
      <c r="M439" s="51" t="s">
        <v>64</v>
      </c>
      <c r="N439" s="51"/>
      <c r="O439" s="51"/>
      <c r="P439" s="51"/>
      <c r="Q439" s="51"/>
      <c r="R439" s="51"/>
      <c r="S439" s="51"/>
    </row>
    <row r="440">
      <c r="A440" s="51"/>
      <c r="B440" s="51"/>
      <c r="C440" s="51"/>
      <c r="D440" s="51"/>
      <c r="E440" s="51"/>
      <c r="F440" s="51"/>
      <c r="G440" s="51"/>
      <c r="H440" s="51"/>
      <c r="I440" s="51"/>
      <c r="J440" s="51" t="str">
        <f>IFERROR(__xludf.DUMMYFUNCTION("""COMPUTED_VALUE"""),"")</f>
        <v/>
      </c>
      <c r="K440" s="51" t="str">
        <f>IFERROR(__xludf.DUMMYFUNCTION("""COMPUTED_VALUE"""),"")</f>
        <v/>
      </c>
      <c r="L440" s="51" t="s">
        <v>64</v>
      </c>
      <c r="M440" s="51" t="s">
        <v>64</v>
      </c>
      <c r="N440" s="51"/>
      <c r="O440" s="51"/>
      <c r="P440" s="51"/>
      <c r="Q440" s="51"/>
      <c r="R440" s="51"/>
      <c r="S440" s="51"/>
    </row>
    <row r="441">
      <c r="A441" s="51"/>
      <c r="B441" s="51"/>
      <c r="C441" s="51"/>
      <c r="D441" s="51"/>
      <c r="E441" s="51"/>
      <c r="F441" s="51"/>
      <c r="G441" s="51"/>
      <c r="H441" s="51"/>
      <c r="I441" s="51"/>
      <c r="J441" s="51" t="str">
        <f>IFERROR(__xludf.DUMMYFUNCTION("""COMPUTED_VALUE"""),"")</f>
        <v/>
      </c>
      <c r="K441" s="51" t="str">
        <f>IFERROR(__xludf.DUMMYFUNCTION("""COMPUTED_VALUE"""),"")</f>
        <v/>
      </c>
      <c r="L441" s="51" t="s">
        <v>64</v>
      </c>
      <c r="M441" s="51" t="s">
        <v>64</v>
      </c>
      <c r="N441" s="51"/>
      <c r="O441" s="51"/>
      <c r="P441" s="51"/>
      <c r="Q441" s="51"/>
      <c r="R441" s="51"/>
      <c r="S441" s="51"/>
    </row>
    <row r="442">
      <c r="A442" s="51"/>
      <c r="B442" s="51"/>
      <c r="C442" s="51"/>
      <c r="D442" s="51"/>
      <c r="E442" s="51"/>
      <c r="F442" s="51"/>
      <c r="G442" s="51"/>
      <c r="H442" s="51"/>
      <c r="I442" s="51"/>
      <c r="J442" s="51" t="str">
        <f>IFERROR(__xludf.DUMMYFUNCTION("""COMPUTED_VALUE"""),"")</f>
        <v/>
      </c>
      <c r="K442" s="51" t="str">
        <f>IFERROR(__xludf.DUMMYFUNCTION("""COMPUTED_VALUE"""),"")</f>
        <v/>
      </c>
      <c r="L442" s="51" t="s">
        <v>64</v>
      </c>
      <c r="M442" s="51" t="s">
        <v>64</v>
      </c>
      <c r="N442" s="51"/>
      <c r="O442" s="51"/>
      <c r="P442" s="51"/>
      <c r="Q442" s="51"/>
      <c r="R442" s="51"/>
      <c r="S442" s="51"/>
    </row>
    <row r="443">
      <c r="A443" s="51"/>
      <c r="B443" s="51"/>
      <c r="C443" s="51"/>
      <c r="D443" s="51"/>
      <c r="E443" s="51"/>
      <c r="F443" s="51"/>
      <c r="G443" s="51"/>
      <c r="H443" s="51"/>
      <c r="I443" s="51"/>
      <c r="J443" s="51" t="str">
        <f>IFERROR(__xludf.DUMMYFUNCTION("""COMPUTED_VALUE"""),"")</f>
        <v/>
      </c>
      <c r="K443" s="51" t="str">
        <f>IFERROR(__xludf.DUMMYFUNCTION("""COMPUTED_VALUE"""),"")</f>
        <v/>
      </c>
      <c r="L443" s="51" t="s">
        <v>64</v>
      </c>
      <c r="M443" s="51" t="s">
        <v>64</v>
      </c>
      <c r="N443" s="51"/>
      <c r="O443" s="51"/>
      <c r="P443" s="51"/>
      <c r="Q443" s="51"/>
      <c r="R443" s="51"/>
      <c r="S443" s="51"/>
    </row>
    <row r="444">
      <c r="A444" s="51"/>
      <c r="B444" s="51"/>
      <c r="C444" s="51"/>
      <c r="D444" s="51"/>
      <c r="E444" s="51"/>
      <c r="F444" s="51"/>
      <c r="G444" s="51"/>
      <c r="H444" s="51"/>
      <c r="I444" s="51"/>
      <c r="J444" s="51" t="str">
        <f>IFERROR(__xludf.DUMMYFUNCTION("""COMPUTED_VALUE"""),"")</f>
        <v/>
      </c>
      <c r="K444" s="51" t="str">
        <f>IFERROR(__xludf.DUMMYFUNCTION("""COMPUTED_VALUE"""),"")</f>
        <v/>
      </c>
      <c r="L444" s="51" t="s">
        <v>64</v>
      </c>
      <c r="M444" s="51" t="s">
        <v>64</v>
      </c>
      <c r="N444" s="51"/>
      <c r="O444" s="51"/>
      <c r="P444" s="51"/>
      <c r="Q444" s="51"/>
      <c r="R444" s="51"/>
      <c r="S444" s="51"/>
    </row>
    <row r="445">
      <c r="A445" s="51"/>
      <c r="B445" s="51"/>
      <c r="C445" s="51"/>
      <c r="D445" s="51"/>
      <c r="E445" s="51"/>
      <c r="F445" s="51"/>
      <c r="G445" s="51"/>
      <c r="H445" s="51"/>
      <c r="I445" s="51"/>
      <c r="J445" s="51" t="str">
        <f>IFERROR(__xludf.DUMMYFUNCTION("""COMPUTED_VALUE"""),"")</f>
        <v/>
      </c>
      <c r="K445" s="51" t="str">
        <f>IFERROR(__xludf.DUMMYFUNCTION("""COMPUTED_VALUE"""),"")</f>
        <v/>
      </c>
      <c r="L445" s="51" t="s">
        <v>64</v>
      </c>
      <c r="M445" s="51" t="s">
        <v>64</v>
      </c>
      <c r="N445" s="51"/>
      <c r="O445" s="51"/>
      <c r="P445" s="51"/>
      <c r="Q445" s="51"/>
      <c r="R445" s="51"/>
      <c r="S445" s="51"/>
    </row>
    <row r="446">
      <c r="A446" s="51"/>
      <c r="B446" s="51"/>
      <c r="C446" s="51"/>
      <c r="D446" s="51"/>
      <c r="E446" s="51"/>
      <c r="F446" s="51"/>
      <c r="G446" s="51"/>
      <c r="H446" s="51"/>
      <c r="I446" s="51"/>
      <c r="J446" s="51" t="str">
        <f>IFERROR(__xludf.DUMMYFUNCTION("""COMPUTED_VALUE"""),"")</f>
        <v/>
      </c>
      <c r="K446" s="51" t="str">
        <f>IFERROR(__xludf.DUMMYFUNCTION("""COMPUTED_VALUE"""),"")</f>
        <v/>
      </c>
      <c r="L446" s="51" t="s">
        <v>64</v>
      </c>
      <c r="M446" s="51" t="s">
        <v>64</v>
      </c>
      <c r="N446" s="51"/>
      <c r="O446" s="51"/>
      <c r="P446" s="51"/>
      <c r="Q446" s="51"/>
      <c r="R446" s="51"/>
      <c r="S446" s="51"/>
    </row>
    <row r="447">
      <c r="A447" s="51"/>
      <c r="B447" s="51"/>
      <c r="C447" s="51"/>
      <c r="D447" s="51"/>
      <c r="E447" s="51"/>
      <c r="F447" s="51"/>
      <c r="G447" s="51"/>
      <c r="H447" s="51"/>
      <c r="I447" s="51"/>
      <c r="J447" s="51" t="str">
        <f>IFERROR(__xludf.DUMMYFUNCTION("""COMPUTED_VALUE"""),"")</f>
        <v/>
      </c>
      <c r="K447" s="51" t="str">
        <f>IFERROR(__xludf.DUMMYFUNCTION("""COMPUTED_VALUE"""),"")</f>
        <v/>
      </c>
      <c r="L447" s="51" t="s">
        <v>64</v>
      </c>
      <c r="M447" s="51" t="s">
        <v>64</v>
      </c>
      <c r="N447" s="51"/>
      <c r="O447" s="51"/>
      <c r="P447" s="51"/>
      <c r="Q447" s="51"/>
      <c r="R447" s="51"/>
      <c r="S447" s="51"/>
    </row>
    <row r="448">
      <c r="A448" s="51"/>
      <c r="B448" s="51"/>
      <c r="C448" s="51"/>
      <c r="D448" s="51"/>
      <c r="E448" s="51"/>
      <c r="F448" s="51"/>
      <c r="G448" s="51"/>
      <c r="H448" s="51"/>
      <c r="I448" s="51"/>
      <c r="J448" s="51" t="str">
        <f>IFERROR(__xludf.DUMMYFUNCTION("""COMPUTED_VALUE"""),"")</f>
        <v/>
      </c>
      <c r="K448" s="51" t="str">
        <f>IFERROR(__xludf.DUMMYFUNCTION("""COMPUTED_VALUE"""),"")</f>
        <v/>
      </c>
      <c r="L448" s="51" t="s">
        <v>64</v>
      </c>
      <c r="M448" s="51" t="s">
        <v>64</v>
      </c>
      <c r="N448" s="51"/>
      <c r="O448" s="51"/>
      <c r="P448" s="51"/>
      <c r="Q448" s="51"/>
      <c r="R448" s="51"/>
      <c r="S448" s="51"/>
    </row>
    <row r="449">
      <c r="A449" s="51"/>
      <c r="B449" s="51"/>
      <c r="C449" s="51"/>
      <c r="D449" s="51"/>
      <c r="E449" s="51"/>
      <c r="F449" s="51"/>
      <c r="G449" s="51"/>
      <c r="H449" s="51"/>
      <c r="I449" s="51"/>
      <c r="J449" s="51" t="str">
        <f>IFERROR(__xludf.DUMMYFUNCTION("""COMPUTED_VALUE"""),"")</f>
        <v/>
      </c>
      <c r="K449" s="51" t="str">
        <f>IFERROR(__xludf.DUMMYFUNCTION("""COMPUTED_VALUE"""),"")</f>
        <v/>
      </c>
      <c r="L449" s="51" t="s">
        <v>64</v>
      </c>
      <c r="M449" s="51" t="s">
        <v>64</v>
      </c>
      <c r="N449" s="51"/>
      <c r="O449" s="51"/>
      <c r="P449" s="51"/>
      <c r="Q449" s="51"/>
      <c r="R449" s="51"/>
      <c r="S449" s="51"/>
    </row>
    <row r="450">
      <c r="A450" s="51"/>
      <c r="B450" s="51"/>
      <c r="C450" s="51"/>
      <c r="D450" s="51"/>
      <c r="E450" s="51"/>
      <c r="F450" s="51"/>
      <c r="G450" s="51"/>
      <c r="H450" s="51"/>
      <c r="I450" s="51"/>
      <c r="J450" s="51" t="str">
        <f>IFERROR(__xludf.DUMMYFUNCTION("""COMPUTED_VALUE"""),"")</f>
        <v/>
      </c>
      <c r="K450" s="51" t="str">
        <f>IFERROR(__xludf.DUMMYFUNCTION("""COMPUTED_VALUE"""),"")</f>
        <v/>
      </c>
      <c r="L450" s="51" t="s">
        <v>64</v>
      </c>
      <c r="M450" s="51" t="s">
        <v>64</v>
      </c>
      <c r="N450" s="51"/>
      <c r="O450" s="51"/>
      <c r="P450" s="51"/>
      <c r="Q450" s="51"/>
      <c r="R450" s="51"/>
      <c r="S450" s="51"/>
    </row>
    <row r="451">
      <c r="A451" s="51"/>
      <c r="B451" s="51"/>
      <c r="C451" s="51"/>
      <c r="D451" s="51"/>
      <c r="E451" s="51"/>
      <c r="F451" s="51"/>
      <c r="G451" s="51"/>
      <c r="H451" s="51"/>
      <c r="I451" s="51"/>
      <c r="J451" s="51" t="str">
        <f>IFERROR(__xludf.DUMMYFUNCTION("""COMPUTED_VALUE"""),"")</f>
        <v/>
      </c>
      <c r="K451" s="51" t="str">
        <f>IFERROR(__xludf.DUMMYFUNCTION("""COMPUTED_VALUE"""),"")</f>
        <v/>
      </c>
      <c r="L451" s="51" t="s">
        <v>64</v>
      </c>
      <c r="M451" s="51" t="s">
        <v>64</v>
      </c>
      <c r="N451" s="51"/>
      <c r="O451" s="51"/>
      <c r="P451" s="51"/>
      <c r="Q451" s="51"/>
      <c r="R451" s="51"/>
      <c r="S451" s="51"/>
    </row>
    <row r="452">
      <c r="A452" s="51"/>
      <c r="B452" s="51"/>
      <c r="C452" s="51"/>
      <c r="D452" s="51"/>
      <c r="E452" s="51"/>
      <c r="F452" s="51"/>
      <c r="G452" s="51"/>
      <c r="H452" s="51"/>
      <c r="I452" s="51"/>
      <c r="J452" s="51" t="str">
        <f>IFERROR(__xludf.DUMMYFUNCTION("""COMPUTED_VALUE"""),"")</f>
        <v/>
      </c>
      <c r="K452" s="51" t="str">
        <f>IFERROR(__xludf.DUMMYFUNCTION("""COMPUTED_VALUE"""),"")</f>
        <v/>
      </c>
      <c r="L452" s="51" t="s">
        <v>64</v>
      </c>
      <c r="M452" s="51" t="s">
        <v>64</v>
      </c>
      <c r="N452" s="51"/>
      <c r="O452" s="51"/>
      <c r="P452" s="51"/>
      <c r="Q452" s="51"/>
      <c r="R452" s="51"/>
      <c r="S452" s="51"/>
    </row>
    <row r="453">
      <c r="A453" s="51"/>
      <c r="B453" s="51"/>
      <c r="C453" s="51"/>
      <c r="D453" s="51"/>
      <c r="E453" s="51"/>
      <c r="F453" s="51"/>
      <c r="G453" s="51"/>
      <c r="H453" s="51"/>
      <c r="I453" s="51"/>
      <c r="J453" s="51" t="str">
        <f>IFERROR(__xludf.DUMMYFUNCTION("""COMPUTED_VALUE"""),"")</f>
        <v/>
      </c>
      <c r="K453" s="51" t="str">
        <f>IFERROR(__xludf.DUMMYFUNCTION("""COMPUTED_VALUE"""),"")</f>
        <v/>
      </c>
      <c r="L453" s="51" t="s">
        <v>64</v>
      </c>
      <c r="M453" s="51" t="s">
        <v>64</v>
      </c>
      <c r="N453" s="51"/>
      <c r="O453" s="51"/>
      <c r="P453" s="51"/>
      <c r="Q453" s="51"/>
      <c r="R453" s="51"/>
      <c r="S453" s="51"/>
    </row>
    <row r="454">
      <c r="A454" s="51"/>
      <c r="B454" s="51"/>
      <c r="C454" s="51"/>
      <c r="D454" s="51"/>
      <c r="E454" s="51"/>
      <c r="F454" s="51"/>
      <c r="G454" s="51"/>
      <c r="H454" s="51"/>
      <c r="I454" s="51"/>
      <c r="J454" s="51" t="str">
        <f>IFERROR(__xludf.DUMMYFUNCTION("""COMPUTED_VALUE"""),"")</f>
        <v/>
      </c>
      <c r="K454" s="51" t="str">
        <f>IFERROR(__xludf.DUMMYFUNCTION("""COMPUTED_VALUE"""),"")</f>
        <v/>
      </c>
      <c r="L454" s="51" t="s">
        <v>64</v>
      </c>
      <c r="M454" s="51" t="s">
        <v>64</v>
      </c>
      <c r="N454" s="51"/>
      <c r="O454" s="51"/>
      <c r="P454" s="51"/>
      <c r="Q454" s="51"/>
      <c r="R454" s="51"/>
      <c r="S454" s="51"/>
    </row>
    <row r="455">
      <c r="A455" s="51"/>
      <c r="B455" s="51"/>
      <c r="C455" s="51"/>
      <c r="D455" s="51"/>
      <c r="E455" s="51"/>
      <c r="F455" s="51"/>
      <c r="G455" s="51"/>
      <c r="H455" s="51"/>
      <c r="I455" s="51"/>
      <c r="J455" s="51" t="str">
        <f>IFERROR(__xludf.DUMMYFUNCTION("""COMPUTED_VALUE"""),"")</f>
        <v/>
      </c>
      <c r="K455" s="51" t="str">
        <f>IFERROR(__xludf.DUMMYFUNCTION("""COMPUTED_VALUE"""),"")</f>
        <v/>
      </c>
      <c r="L455" s="51" t="s">
        <v>64</v>
      </c>
      <c r="M455" s="51" t="s">
        <v>64</v>
      </c>
      <c r="N455" s="51"/>
      <c r="O455" s="51"/>
      <c r="P455" s="51"/>
      <c r="Q455" s="51"/>
      <c r="R455" s="51"/>
      <c r="S455" s="51"/>
    </row>
    <row r="456">
      <c r="A456" s="51"/>
      <c r="B456" s="51"/>
      <c r="C456" s="51"/>
      <c r="D456" s="51"/>
      <c r="E456" s="51"/>
      <c r="F456" s="51"/>
      <c r="G456" s="51"/>
      <c r="H456" s="51"/>
      <c r="I456" s="51"/>
      <c r="J456" s="51" t="str">
        <f>IFERROR(__xludf.DUMMYFUNCTION("""COMPUTED_VALUE"""),"")</f>
        <v/>
      </c>
      <c r="K456" s="51" t="str">
        <f>IFERROR(__xludf.DUMMYFUNCTION("""COMPUTED_VALUE"""),"")</f>
        <v/>
      </c>
      <c r="L456" s="51" t="s">
        <v>64</v>
      </c>
      <c r="M456" s="51" t="s">
        <v>64</v>
      </c>
      <c r="N456" s="51"/>
      <c r="O456" s="51"/>
      <c r="P456" s="51"/>
      <c r="Q456" s="51"/>
      <c r="R456" s="51"/>
      <c r="S456" s="51"/>
    </row>
    <row r="457">
      <c r="A457" s="51"/>
      <c r="B457" s="51"/>
      <c r="C457" s="51"/>
      <c r="D457" s="51"/>
      <c r="E457" s="51"/>
      <c r="F457" s="51"/>
      <c r="G457" s="51"/>
      <c r="H457" s="51"/>
      <c r="I457" s="51"/>
      <c r="J457" s="51" t="str">
        <f>IFERROR(__xludf.DUMMYFUNCTION("""COMPUTED_VALUE"""),"")</f>
        <v/>
      </c>
      <c r="K457" s="51" t="str">
        <f>IFERROR(__xludf.DUMMYFUNCTION("""COMPUTED_VALUE"""),"")</f>
        <v/>
      </c>
      <c r="L457" s="51" t="s">
        <v>64</v>
      </c>
      <c r="M457" s="51" t="s">
        <v>64</v>
      </c>
      <c r="N457" s="51"/>
      <c r="O457" s="51"/>
      <c r="P457" s="51"/>
      <c r="Q457" s="51"/>
      <c r="R457" s="51"/>
      <c r="S457" s="51"/>
    </row>
    <row r="458">
      <c r="A458" s="51"/>
      <c r="B458" s="51"/>
      <c r="C458" s="51"/>
      <c r="D458" s="51"/>
      <c r="E458" s="51"/>
      <c r="F458" s="51"/>
      <c r="G458" s="51"/>
      <c r="H458" s="51"/>
      <c r="I458" s="51"/>
      <c r="J458" s="51" t="str">
        <f>IFERROR(__xludf.DUMMYFUNCTION("""COMPUTED_VALUE"""),"")</f>
        <v/>
      </c>
      <c r="K458" s="51" t="str">
        <f>IFERROR(__xludf.DUMMYFUNCTION("""COMPUTED_VALUE"""),"")</f>
        <v/>
      </c>
      <c r="L458" s="51" t="s">
        <v>64</v>
      </c>
      <c r="M458" s="51" t="s">
        <v>64</v>
      </c>
      <c r="N458" s="51"/>
      <c r="O458" s="51"/>
      <c r="P458" s="51"/>
      <c r="Q458" s="51"/>
      <c r="R458" s="51"/>
      <c r="S458" s="51"/>
    </row>
    <row r="459">
      <c r="A459" s="51"/>
      <c r="B459" s="51"/>
      <c r="C459" s="51"/>
      <c r="D459" s="51"/>
      <c r="E459" s="51"/>
      <c r="F459" s="51"/>
      <c r="G459" s="51"/>
      <c r="H459" s="51"/>
      <c r="I459" s="51"/>
      <c r="J459" s="51" t="str">
        <f>IFERROR(__xludf.DUMMYFUNCTION("""COMPUTED_VALUE"""),"")</f>
        <v/>
      </c>
      <c r="K459" s="51" t="str">
        <f>IFERROR(__xludf.DUMMYFUNCTION("""COMPUTED_VALUE"""),"")</f>
        <v/>
      </c>
      <c r="L459" s="51" t="s">
        <v>64</v>
      </c>
      <c r="M459" s="51" t="s">
        <v>64</v>
      </c>
      <c r="N459" s="51"/>
      <c r="O459" s="51"/>
      <c r="P459" s="51"/>
      <c r="Q459" s="51"/>
      <c r="R459" s="51"/>
      <c r="S459" s="51"/>
    </row>
    <row r="460">
      <c r="A460" s="51"/>
      <c r="B460" s="51"/>
      <c r="C460" s="51"/>
      <c r="D460" s="51"/>
      <c r="E460" s="51"/>
      <c r="F460" s="51"/>
      <c r="G460" s="51"/>
      <c r="H460" s="51"/>
      <c r="I460" s="51"/>
      <c r="J460" s="51" t="str">
        <f>IFERROR(__xludf.DUMMYFUNCTION("""COMPUTED_VALUE"""),"")</f>
        <v/>
      </c>
      <c r="K460" s="51" t="str">
        <f>IFERROR(__xludf.DUMMYFUNCTION("""COMPUTED_VALUE"""),"")</f>
        <v/>
      </c>
      <c r="L460" s="51" t="s">
        <v>64</v>
      </c>
      <c r="M460" s="51" t="s">
        <v>64</v>
      </c>
      <c r="N460" s="51"/>
      <c r="O460" s="51"/>
      <c r="P460" s="51"/>
      <c r="Q460" s="51"/>
      <c r="R460" s="51"/>
      <c r="S460" s="51"/>
    </row>
    <row r="461">
      <c r="A461" s="51"/>
      <c r="B461" s="51"/>
      <c r="C461" s="51"/>
      <c r="D461" s="51"/>
      <c r="E461" s="51"/>
      <c r="F461" s="51"/>
      <c r="G461" s="51"/>
      <c r="H461" s="51"/>
      <c r="I461" s="51"/>
      <c r="J461" s="51" t="str">
        <f>IFERROR(__xludf.DUMMYFUNCTION("""COMPUTED_VALUE"""),"")</f>
        <v/>
      </c>
      <c r="K461" s="51" t="str">
        <f>IFERROR(__xludf.DUMMYFUNCTION("""COMPUTED_VALUE"""),"")</f>
        <v/>
      </c>
      <c r="L461" s="51" t="s">
        <v>64</v>
      </c>
      <c r="M461" s="51" t="s">
        <v>64</v>
      </c>
      <c r="N461" s="51"/>
      <c r="O461" s="51"/>
      <c r="P461" s="51"/>
      <c r="Q461" s="51"/>
      <c r="R461" s="51"/>
      <c r="S461" s="51"/>
    </row>
    <row r="462">
      <c r="A462" s="51"/>
      <c r="B462" s="51"/>
      <c r="C462" s="51"/>
      <c r="D462" s="51"/>
      <c r="E462" s="51"/>
      <c r="F462" s="51"/>
      <c r="G462" s="51"/>
      <c r="H462" s="51"/>
      <c r="I462" s="51"/>
      <c r="J462" s="51" t="str">
        <f>IFERROR(__xludf.DUMMYFUNCTION("""COMPUTED_VALUE"""),"")</f>
        <v/>
      </c>
      <c r="K462" s="51" t="str">
        <f>IFERROR(__xludf.DUMMYFUNCTION("""COMPUTED_VALUE"""),"")</f>
        <v/>
      </c>
      <c r="L462" s="51" t="s">
        <v>64</v>
      </c>
      <c r="M462" s="51" t="s">
        <v>64</v>
      </c>
      <c r="N462" s="51"/>
      <c r="O462" s="51"/>
      <c r="P462" s="51"/>
      <c r="Q462" s="51"/>
      <c r="R462" s="51"/>
      <c r="S462" s="51"/>
    </row>
    <row r="463">
      <c r="A463" s="51"/>
      <c r="B463" s="51"/>
      <c r="C463" s="51"/>
      <c r="D463" s="51"/>
      <c r="E463" s="51"/>
      <c r="F463" s="51"/>
      <c r="G463" s="51"/>
      <c r="H463" s="51"/>
      <c r="I463" s="51"/>
      <c r="J463" s="51" t="str">
        <f>IFERROR(__xludf.DUMMYFUNCTION("""COMPUTED_VALUE"""),"")</f>
        <v/>
      </c>
      <c r="K463" s="51" t="str">
        <f>IFERROR(__xludf.DUMMYFUNCTION("""COMPUTED_VALUE"""),"")</f>
        <v/>
      </c>
      <c r="L463" s="51" t="s">
        <v>64</v>
      </c>
      <c r="M463" s="51" t="s">
        <v>64</v>
      </c>
      <c r="N463" s="51"/>
      <c r="O463" s="51"/>
      <c r="P463" s="51"/>
      <c r="Q463" s="51"/>
      <c r="R463" s="51"/>
      <c r="S463" s="51"/>
    </row>
    <row r="464">
      <c r="A464" s="51"/>
      <c r="B464" s="51"/>
      <c r="C464" s="51"/>
      <c r="D464" s="51"/>
      <c r="E464" s="51"/>
      <c r="F464" s="51"/>
      <c r="G464" s="51"/>
      <c r="H464" s="51"/>
      <c r="I464" s="51"/>
      <c r="J464" s="51" t="str">
        <f>IFERROR(__xludf.DUMMYFUNCTION("""COMPUTED_VALUE"""),"")</f>
        <v/>
      </c>
      <c r="K464" s="51" t="str">
        <f>IFERROR(__xludf.DUMMYFUNCTION("""COMPUTED_VALUE"""),"")</f>
        <v/>
      </c>
      <c r="L464" s="51" t="s">
        <v>64</v>
      </c>
      <c r="M464" s="51" t="s">
        <v>64</v>
      </c>
      <c r="N464" s="51"/>
      <c r="O464" s="51"/>
      <c r="P464" s="51"/>
      <c r="Q464" s="51"/>
      <c r="R464" s="51"/>
      <c r="S464" s="51"/>
    </row>
    <row r="465">
      <c r="A465" s="51"/>
      <c r="B465" s="51"/>
      <c r="C465" s="51"/>
      <c r="D465" s="51"/>
      <c r="E465" s="51"/>
      <c r="F465" s="51"/>
      <c r="G465" s="51"/>
      <c r="H465" s="51"/>
      <c r="I465" s="51"/>
      <c r="J465" s="51" t="str">
        <f>IFERROR(__xludf.DUMMYFUNCTION("""COMPUTED_VALUE"""),"")</f>
        <v/>
      </c>
      <c r="K465" s="51" t="str">
        <f>IFERROR(__xludf.DUMMYFUNCTION("""COMPUTED_VALUE"""),"")</f>
        <v/>
      </c>
      <c r="L465" s="51" t="s">
        <v>64</v>
      </c>
      <c r="M465" s="51" t="s">
        <v>64</v>
      </c>
      <c r="N465" s="51"/>
      <c r="O465" s="51"/>
      <c r="P465" s="51"/>
      <c r="Q465" s="51"/>
      <c r="R465" s="51"/>
      <c r="S465" s="51"/>
    </row>
    <row r="466">
      <c r="A466" s="51"/>
      <c r="B466" s="51"/>
      <c r="C466" s="51"/>
      <c r="D466" s="51"/>
      <c r="E466" s="51"/>
      <c r="F466" s="51"/>
      <c r="G466" s="51"/>
      <c r="H466" s="51"/>
      <c r="I466" s="51"/>
      <c r="J466" s="51" t="str">
        <f>IFERROR(__xludf.DUMMYFUNCTION("""COMPUTED_VALUE"""),"")</f>
        <v/>
      </c>
      <c r="K466" s="51" t="str">
        <f>IFERROR(__xludf.DUMMYFUNCTION("""COMPUTED_VALUE"""),"")</f>
        <v/>
      </c>
      <c r="L466" s="51" t="s">
        <v>64</v>
      </c>
      <c r="M466" s="51" t="s">
        <v>64</v>
      </c>
      <c r="N466" s="51"/>
      <c r="O466" s="51"/>
      <c r="P466" s="51"/>
      <c r="Q466" s="51"/>
      <c r="R466" s="51"/>
      <c r="S466" s="51"/>
    </row>
    <row r="467">
      <c r="A467" s="51"/>
      <c r="B467" s="51"/>
      <c r="C467" s="51"/>
      <c r="D467" s="51"/>
      <c r="E467" s="51"/>
      <c r="F467" s="51"/>
      <c r="G467" s="51"/>
      <c r="H467" s="51"/>
      <c r="I467" s="51"/>
      <c r="J467" s="51" t="str">
        <f>IFERROR(__xludf.DUMMYFUNCTION("""COMPUTED_VALUE"""),"")</f>
        <v/>
      </c>
      <c r="K467" s="51" t="str">
        <f>IFERROR(__xludf.DUMMYFUNCTION("""COMPUTED_VALUE"""),"")</f>
        <v/>
      </c>
      <c r="L467" s="51" t="s">
        <v>64</v>
      </c>
      <c r="M467" s="51" t="s">
        <v>64</v>
      </c>
      <c r="N467" s="51"/>
      <c r="O467" s="51"/>
      <c r="P467" s="51"/>
      <c r="Q467" s="51"/>
      <c r="R467" s="51"/>
      <c r="S467" s="51"/>
    </row>
    <row r="468">
      <c r="A468" s="51"/>
      <c r="B468" s="51"/>
      <c r="C468" s="51"/>
      <c r="D468" s="51"/>
      <c r="E468" s="51"/>
      <c r="F468" s="51"/>
      <c r="G468" s="51"/>
      <c r="H468" s="51"/>
      <c r="I468" s="51"/>
      <c r="J468" s="51" t="str">
        <f>IFERROR(__xludf.DUMMYFUNCTION("""COMPUTED_VALUE"""),"")</f>
        <v/>
      </c>
      <c r="K468" s="51" t="str">
        <f>IFERROR(__xludf.DUMMYFUNCTION("""COMPUTED_VALUE"""),"")</f>
        <v/>
      </c>
      <c r="L468" s="51" t="s">
        <v>64</v>
      </c>
      <c r="M468" s="51" t="s">
        <v>64</v>
      </c>
      <c r="N468" s="51"/>
      <c r="O468" s="51"/>
      <c r="P468" s="51"/>
      <c r="Q468" s="51"/>
      <c r="R468" s="51"/>
      <c r="S468" s="51"/>
    </row>
    <row r="469">
      <c r="A469" s="51"/>
      <c r="B469" s="51"/>
      <c r="C469" s="51"/>
      <c r="D469" s="51"/>
      <c r="E469" s="51"/>
      <c r="F469" s="51"/>
      <c r="G469" s="51"/>
      <c r="H469" s="51"/>
      <c r="I469" s="51"/>
      <c r="J469" s="51" t="str">
        <f>IFERROR(__xludf.DUMMYFUNCTION("""COMPUTED_VALUE"""),"")</f>
        <v/>
      </c>
      <c r="K469" s="51" t="str">
        <f>IFERROR(__xludf.DUMMYFUNCTION("""COMPUTED_VALUE"""),"")</f>
        <v/>
      </c>
      <c r="L469" s="51" t="s">
        <v>64</v>
      </c>
      <c r="M469" s="51" t="s">
        <v>64</v>
      </c>
      <c r="N469" s="51"/>
      <c r="O469" s="51"/>
      <c r="P469" s="51"/>
      <c r="Q469" s="51"/>
      <c r="R469" s="51"/>
      <c r="S469" s="51"/>
    </row>
    <row r="470">
      <c r="A470" s="51"/>
      <c r="B470" s="51"/>
      <c r="C470" s="51"/>
      <c r="D470" s="51"/>
      <c r="E470" s="51"/>
      <c r="F470" s="51"/>
      <c r="G470" s="51"/>
      <c r="H470" s="51"/>
      <c r="I470" s="51"/>
      <c r="J470" s="51" t="str">
        <f>IFERROR(__xludf.DUMMYFUNCTION("""COMPUTED_VALUE"""),"")</f>
        <v/>
      </c>
      <c r="K470" s="51" t="str">
        <f>IFERROR(__xludf.DUMMYFUNCTION("""COMPUTED_VALUE"""),"")</f>
        <v/>
      </c>
      <c r="L470" s="51" t="s">
        <v>64</v>
      </c>
      <c r="M470" s="51" t="s">
        <v>64</v>
      </c>
      <c r="N470" s="51"/>
      <c r="O470" s="51"/>
      <c r="P470" s="51"/>
      <c r="Q470" s="51"/>
      <c r="R470" s="51"/>
      <c r="S470" s="51"/>
    </row>
    <row r="471">
      <c r="A471" s="51"/>
      <c r="B471" s="51"/>
      <c r="C471" s="51"/>
      <c r="D471" s="51"/>
      <c r="E471" s="51"/>
      <c r="F471" s="51"/>
      <c r="G471" s="51"/>
      <c r="H471" s="51"/>
      <c r="I471" s="51"/>
      <c r="J471" s="51" t="str">
        <f>IFERROR(__xludf.DUMMYFUNCTION("""COMPUTED_VALUE"""),"")</f>
        <v/>
      </c>
      <c r="K471" s="51" t="str">
        <f>IFERROR(__xludf.DUMMYFUNCTION("""COMPUTED_VALUE"""),"")</f>
        <v/>
      </c>
      <c r="L471" s="51" t="s">
        <v>64</v>
      </c>
      <c r="M471" s="51" t="s">
        <v>64</v>
      </c>
      <c r="N471" s="51"/>
      <c r="O471" s="51"/>
      <c r="P471" s="51"/>
      <c r="Q471" s="51"/>
      <c r="R471" s="51"/>
      <c r="S471" s="51"/>
    </row>
    <row r="472">
      <c r="A472" s="51"/>
      <c r="B472" s="51"/>
      <c r="C472" s="51"/>
      <c r="D472" s="51"/>
      <c r="E472" s="51"/>
      <c r="F472" s="51"/>
      <c r="G472" s="51"/>
      <c r="H472" s="51"/>
      <c r="I472" s="51"/>
      <c r="J472" s="51" t="str">
        <f>IFERROR(__xludf.DUMMYFUNCTION("""COMPUTED_VALUE"""),"")</f>
        <v/>
      </c>
      <c r="K472" s="51" t="str">
        <f>IFERROR(__xludf.DUMMYFUNCTION("""COMPUTED_VALUE"""),"")</f>
        <v/>
      </c>
      <c r="L472" s="51" t="s">
        <v>64</v>
      </c>
      <c r="M472" s="51" t="s">
        <v>64</v>
      </c>
      <c r="N472" s="51"/>
      <c r="O472" s="51"/>
      <c r="P472" s="51"/>
      <c r="Q472" s="51"/>
      <c r="R472" s="51"/>
      <c r="S472" s="51"/>
    </row>
    <row r="473">
      <c r="A473" s="51"/>
      <c r="B473" s="51"/>
      <c r="C473" s="51"/>
      <c r="D473" s="51"/>
      <c r="E473" s="51"/>
      <c r="F473" s="51"/>
      <c r="G473" s="51"/>
      <c r="H473" s="51"/>
      <c r="I473" s="51"/>
      <c r="J473" s="51" t="str">
        <f>IFERROR(__xludf.DUMMYFUNCTION("""COMPUTED_VALUE"""),"")</f>
        <v/>
      </c>
      <c r="K473" s="51" t="str">
        <f>IFERROR(__xludf.DUMMYFUNCTION("""COMPUTED_VALUE"""),"")</f>
        <v/>
      </c>
      <c r="L473" s="51" t="s">
        <v>64</v>
      </c>
      <c r="M473" s="51" t="s">
        <v>64</v>
      </c>
      <c r="N473" s="51"/>
      <c r="O473" s="51"/>
      <c r="P473" s="51"/>
      <c r="Q473" s="51"/>
      <c r="R473" s="51"/>
      <c r="S473" s="51"/>
    </row>
    <row r="474">
      <c r="A474" s="51"/>
      <c r="B474" s="51"/>
      <c r="C474" s="51"/>
      <c r="D474" s="51"/>
      <c r="E474" s="51"/>
      <c r="F474" s="51"/>
      <c r="G474" s="51"/>
      <c r="H474" s="51"/>
      <c r="I474" s="51"/>
      <c r="J474" s="51" t="str">
        <f>IFERROR(__xludf.DUMMYFUNCTION("""COMPUTED_VALUE"""),"")</f>
        <v/>
      </c>
      <c r="K474" s="51" t="str">
        <f>IFERROR(__xludf.DUMMYFUNCTION("""COMPUTED_VALUE"""),"")</f>
        <v/>
      </c>
      <c r="L474" s="51" t="s">
        <v>64</v>
      </c>
      <c r="M474" s="51" t="s">
        <v>64</v>
      </c>
      <c r="N474" s="51"/>
      <c r="O474" s="51"/>
      <c r="P474" s="51"/>
      <c r="Q474" s="51"/>
      <c r="R474" s="51"/>
      <c r="S474" s="51"/>
    </row>
    <row r="475">
      <c r="A475" s="51"/>
      <c r="B475" s="51"/>
      <c r="C475" s="51"/>
      <c r="D475" s="51"/>
      <c r="E475" s="51"/>
      <c r="F475" s="51"/>
      <c r="G475" s="51"/>
      <c r="H475" s="51"/>
      <c r="I475" s="51"/>
      <c r="J475" s="51" t="str">
        <f>IFERROR(__xludf.DUMMYFUNCTION("""COMPUTED_VALUE"""),"")</f>
        <v/>
      </c>
      <c r="K475" s="51" t="str">
        <f>IFERROR(__xludf.DUMMYFUNCTION("""COMPUTED_VALUE"""),"")</f>
        <v/>
      </c>
      <c r="L475" s="51" t="s">
        <v>64</v>
      </c>
      <c r="M475" s="51" t="s">
        <v>64</v>
      </c>
      <c r="N475" s="51"/>
      <c r="O475" s="51"/>
      <c r="P475" s="51"/>
      <c r="Q475" s="51"/>
      <c r="R475" s="51"/>
      <c r="S475" s="51"/>
    </row>
    <row r="476">
      <c r="A476" s="51"/>
      <c r="B476" s="51"/>
      <c r="C476" s="51"/>
      <c r="D476" s="51"/>
      <c r="E476" s="51"/>
      <c r="F476" s="51"/>
      <c r="G476" s="51"/>
      <c r="H476" s="51"/>
      <c r="I476" s="51"/>
      <c r="J476" s="51" t="str">
        <f>IFERROR(__xludf.DUMMYFUNCTION("""COMPUTED_VALUE"""),"")</f>
        <v/>
      </c>
      <c r="K476" s="51" t="str">
        <f>IFERROR(__xludf.DUMMYFUNCTION("""COMPUTED_VALUE"""),"")</f>
        <v/>
      </c>
      <c r="L476" s="51" t="s">
        <v>64</v>
      </c>
      <c r="M476" s="51" t="s">
        <v>64</v>
      </c>
      <c r="N476" s="51"/>
      <c r="O476" s="51"/>
      <c r="P476" s="51"/>
      <c r="Q476" s="51"/>
      <c r="R476" s="51"/>
      <c r="S476" s="51"/>
    </row>
    <row r="477">
      <c r="A477" s="51"/>
      <c r="B477" s="51"/>
      <c r="C477" s="51"/>
      <c r="D477" s="51"/>
      <c r="E477" s="51"/>
      <c r="F477" s="51"/>
      <c r="G477" s="51"/>
      <c r="H477" s="51"/>
      <c r="I477" s="51"/>
      <c r="J477" s="51" t="str">
        <f>IFERROR(__xludf.DUMMYFUNCTION("""COMPUTED_VALUE"""),"")</f>
        <v/>
      </c>
      <c r="K477" s="51" t="str">
        <f>IFERROR(__xludf.DUMMYFUNCTION("""COMPUTED_VALUE"""),"")</f>
        <v/>
      </c>
      <c r="L477" s="51" t="s">
        <v>64</v>
      </c>
      <c r="M477" s="51" t="s">
        <v>64</v>
      </c>
      <c r="N477" s="51"/>
      <c r="O477" s="51"/>
      <c r="P477" s="51"/>
      <c r="Q477" s="51"/>
      <c r="R477" s="51"/>
      <c r="S477" s="51"/>
    </row>
    <row r="478">
      <c r="A478" s="51"/>
      <c r="B478" s="51"/>
      <c r="C478" s="51"/>
      <c r="D478" s="51"/>
      <c r="E478" s="51"/>
      <c r="F478" s="51"/>
      <c r="G478" s="51"/>
      <c r="H478" s="51"/>
      <c r="I478" s="51"/>
      <c r="J478" s="51" t="str">
        <f>IFERROR(__xludf.DUMMYFUNCTION("""COMPUTED_VALUE"""),"")</f>
        <v/>
      </c>
      <c r="K478" s="51" t="str">
        <f>IFERROR(__xludf.DUMMYFUNCTION("""COMPUTED_VALUE"""),"")</f>
        <v/>
      </c>
      <c r="L478" s="51" t="s">
        <v>64</v>
      </c>
      <c r="M478" s="51" t="s">
        <v>64</v>
      </c>
      <c r="N478" s="51"/>
      <c r="O478" s="51"/>
      <c r="P478" s="51"/>
      <c r="Q478" s="51"/>
      <c r="R478" s="51"/>
      <c r="S478" s="51"/>
    </row>
    <row r="479">
      <c r="A479" s="51"/>
      <c r="B479" s="51"/>
      <c r="C479" s="51"/>
      <c r="D479" s="51"/>
      <c r="E479" s="51"/>
      <c r="F479" s="51"/>
      <c r="G479" s="51"/>
      <c r="H479" s="51"/>
      <c r="I479" s="51"/>
      <c r="J479" s="51" t="str">
        <f>IFERROR(__xludf.DUMMYFUNCTION("""COMPUTED_VALUE"""),"")</f>
        <v/>
      </c>
      <c r="K479" s="51" t="str">
        <f>IFERROR(__xludf.DUMMYFUNCTION("""COMPUTED_VALUE"""),"")</f>
        <v/>
      </c>
      <c r="L479" s="51" t="s">
        <v>64</v>
      </c>
      <c r="M479" s="51" t="s">
        <v>64</v>
      </c>
      <c r="N479" s="51"/>
      <c r="O479" s="51"/>
      <c r="P479" s="51"/>
      <c r="Q479" s="51"/>
      <c r="R479" s="51"/>
      <c r="S479" s="51"/>
    </row>
    <row r="480">
      <c r="A480" s="51"/>
      <c r="B480" s="51"/>
      <c r="C480" s="51"/>
      <c r="D480" s="51"/>
      <c r="E480" s="51"/>
      <c r="F480" s="51"/>
      <c r="G480" s="51"/>
      <c r="H480" s="51"/>
      <c r="I480" s="51"/>
      <c r="J480" s="51" t="str">
        <f>IFERROR(__xludf.DUMMYFUNCTION("""COMPUTED_VALUE"""),"")</f>
        <v/>
      </c>
      <c r="K480" s="51" t="str">
        <f>IFERROR(__xludf.DUMMYFUNCTION("""COMPUTED_VALUE"""),"")</f>
        <v/>
      </c>
      <c r="L480" s="51" t="s">
        <v>64</v>
      </c>
      <c r="M480" s="51" t="s">
        <v>64</v>
      </c>
      <c r="N480" s="51"/>
      <c r="O480" s="51"/>
      <c r="P480" s="51"/>
      <c r="Q480" s="51"/>
      <c r="R480" s="51"/>
      <c r="S480" s="51"/>
    </row>
    <row r="481">
      <c r="A481" s="51"/>
      <c r="B481" s="51"/>
      <c r="C481" s="51"/>
      <c r="D481" s="51"/>
      <c r="E481" s="51"/>
      <c r="F481" s="51"/>
      <c r="G481" s="51"/>
      <c r="H481" s="51"/>
      <c r="I481" s="51"/>
      <c r="J481" s="51" t="str">
        <f>IFERROR(__xludf.DUMMYFUNCTION("""COMPUTED_VALUE"""),"")</f>
        <v/>
      </c>
      <c r="K481" s="51" t="str">
        <f>IFERROR(__xludf.DUMMYFUNCTION("""COMPUTED_VALUE"""),"")</f>
        <v/>
      </c>
      <c r="L481" s="51" t="s">
        <v>64</v>
      </c>
      <c r="M481" s="51" t="s">
        <v>64</v>
      </c>
      <c r="N481" s="51"/>
      <c r="O481" s="51"/>
      <c r="P481" s="51"/>
      <c r="Q481" s="51"/>
      <c r="R481" s="51"/>
      <c r="S481" s="51"/>
    </row>
    <row r="482">
      <c r="A482" s="51"/>
      <c r="B482" s="51"/>
      <c r="C482" s="51"/>
      <c r="D482" s="51"/>
      <c r="E482" s="51"/>
      <c r="F482" s="51"/>
      <c r="G482" s="51"/>
      <c r="H482" s="51"/>
      <c r="I482" s="51"/>
      <c r="J482" s="51" t="str">
        <f>IFERROR(__xludf.DUMMYFUNCTION("""COMPUTED_VALUE"""),"")</f>
        <v/>
      </c>
      <c r="K482" s="51" t="str">
        <f>IFERROR(__xludf.DUMMYFUNCTION("""COMPUTED_VALUE"""),"")</f>
        <v/>
      </c>
      <c r="L482" s="51" t="s">
        <v>64</v>
      </c>
      <c r="M482" s="51" t="s">
        <v>64</v>
      </c>
      <c r="N482" s="51"/>
      <c r="O482" s="51"/>
      <c r="P482" s="51"/>
      <c r="Q482" s="51"/>
      <c r="R482" s="51"/>
      <c r="S482" s="51"/>
    </row>
    <row r="483">
      <c r="A483" s="51"/>
      <c r="B483" s="51"/>
      <c r="C483" s="51"/>
      <c r="D483" s="51"/>
      <c r="E483" s="51"/>
      <c r="F483" s="51"/>
      <c r="G483" s="51"/>
      <c r="H483" s="51"/>
      <c r="I483" s="51"/>
      <c r="J483" s="51" t="str">
        <f>IFERROR(__xludf.DUMMYFUNCTION("""COMPUTED_VALUE"""),"")</f>
        <v/>
      </c>
      <c r="K483" s="51" t="str">
        <f>IFERROR(__xludf.DUMMYFUNCTION("""COMPUTED_VALUE"""),"")</f>
        <v/>
      </c>
      <c r="L483" s="51" t="s">
        <v>64</v>
      </c>
      <c r="M483" s="51" t="s">
        <v>64</v>
      </c>
      <c r="N483" s="51"/>
      <c r="O483" s="51"/>
      <c r="P483" s="51"/>
      <c r="Q483" s="51"/>
      <c r="R483" s="51"/>
      <c r="S483" s="51"/>
    </row>
    <row r="484">
      <c r="A484" s="51"/>
      <c r="B484" s="51"/>
      <c r="C484" s="51"/>
      <c r="D484" s="51"/>
      <c r="E484" s="51"/>
      <c r="F484" s="51"/>
      <c r="G484" s="51"/>
      <c r="H484" s="51"/>
      <c r="I484" s="51"/>
      <c r="J484" s="51" t="str">
        <f>IFERROR(__xludf.DUMMYFUNCTION("""COMPUTED_VALUE"""),"")</f>
        <v/>
      </c>
      <c r="K484" s="51" t="str">
        <f>IFERROR(__xludf.DUMMYFUNCTION("""COMPUTED_VALUE"""),"")</f>
        <v/>
      </c>
      <c r="L484" s="51" t="s">
        <v>64</v>
      </c>
      <c r="M484" s="51" t="s">
        <v>64</v>
      </c>
      <c r="N484" s="51"/>
      <c r="O484" s="51"/>
      <c r="P484" s="51"/>
      <c r="Q484" s="51"/>
      <c r="R484" s="51"/>
      <c r="S484" s="51"/>
    </row>
    <row r="485">
      <c r="A485" s="51"/>
      <c r="B485" s="51"/>
      <c r="C485" s="51"/>
      <c r="D485" s="51"/>
      <c r="E485" s="51"/>
      <c r="F485" s="51"/>
      <c r="G485" s="51"/>
      <c r="H485" s="51"/>
      <c r="I485" s="51"/>
      <c r="J485" s="51" t="str">
        <f>IFERROR(__xludf.DUMMYFUNCTION("""COMPUTED_VALUE"""),"")</f>
        <v/>
      </c>
      <c r="K485" s="51" t="str">
        <f>IFERROR(__xludf.DUMMYFUNCTION("""COMPUTED_VALUE"""),"")</f>
        <v/>
      </c>
      <c r="L485" s="51" t="s">
        <v>64</v>
      </c>
      <c r="M485" s="51" t="s">
        <v>64</v>
      </c>
      <c r="N485" s="51"/>
      <c r="O485" s="51"/>
      <c r="P485" s="51"/>
      <c r="Q485" s="51"/>
      <c r="R485" s="51"/>
      <c r="S485" s="51"/>
    </row>
    <row r="486">
      <c r="A486" s="51"/>
      <c r="B486" s="51"/>
      <c r="C486" s="51"/>
      <c r="D486" s="51"/>
      <c r="E486" s="51"/>
      <c r="F486" s="51"/>
      <c r="G486" s="51"/>
      <c r="H486" s="51"/>
      <c r="I486" s="51"/>
      <c r="J486" s="51" t="str">
        <f>IFERROR(__xludf.DUMMYFUNCTION("""COMPUTED_VALUE"""),"")</f>
        <v/>
      </c>
      <c r="K486" s="51" t="str">
        <f>IFERROR(__xludf.DUMMYFUNCTION("""COMPUTED_VALUE"""),"")</f>
        <v/>
      </c>
      <c r="L486" s="51" t="s">
        <v>64</v>
      </c>
      <c r="M486" s="51" t="s">
        <v>64</v>
      </c>
      <c r="N486" s="51"/>
      <c r="O486" s="51"/>
      <c r="P486" s="51"/>
      <c r="Q486" s="51"/>
      <c r="R486" s="51"/>
      <c r="S486" s="51"/>
    </row>
    <row r="487">
      <c r="A487" s="51"/>
      <c r="B487" s="51"/>
      <c r="C487" s="51"/>
      <c r="D487" s="51"/>
      <c r="E487" s="51"/>
      <c r="F487" s="51"/>
      <c r="G487" s="51"/>
      <c r="H487" s="51"/>
      <c r="I487" s="51"/>
      <c r="J487" s="51" t="str">
        <f>IFERROR(__xludf.DUMMYFUNCTION("""COMPUTED_VALUE"""),"")</f>
        <v/>
      </c>
      <c r="K487" s="51" t="str">
        <f>IFERROR(__xludf.DUMMYFUNCTION("""COMPUTED_VALUE"""),"")</f>
        <v/>
      </c>
      <c r="L487" s="51" t="s">
        <v>64</v>
      </c>
      <c r="M487" s="51" t="s">
        <v>64</v>
      </c>
      <c r="N487" s="51"/>
      <c r="O487" s="51"/>
      <c r="P487" s="51"/>
      <c r="Q487" s="51"/>
      <c r="R487" s="51"/>
      <c r="S487" s="51"/>
    </row>
    <row r="488">
      <c r="A488" s="51"/>
      <c r="B488" s="51"/>
      <c r="C488" s="51"/>
      <c r="D488" s="51"/>
      <c r="E488" s="51"/>
      <c r="F488" s="51"/>
      <c r="G488" s="51"/>
      <c r="H488" s="51"/>
      <c r="I488" s="51"/>
      <c r="J488" s="51" t="str">
        <f>IFERROR(__xludf.DUMMYFUNCTION("""COMPUTED_VALUE"""),"")</f>
        <v/>
      </c>
      <c r="K488" s="51" t="str">
        <f>IFERROR(__xludf.DUMMYFUNCTION("""COMPUTED_VALUE"""),"")</f>
        <v/>
      </c>
      <c r="L488" s="51" t="s">
        <v>64</v>
      </c>
      <c r="M488" s="51" t="s">
        <v>64</v>
      </c>
      <c r="N488" s="51"/>
      <c r="O488" s="51"/>
      <c r="P488" s="51"/>
      <c r="Q488" s="51"/>
      <c r="R488" s="51"/>
      <c r="S488" s="51"/>
    </row>
    <row r="489">
      <c r="A489" s="51"/>
      <c r="B489" s="51"/>
      <c r="C489" s="51"/>
      <c r="D489" s="51"/>
      <c r="E489" s="51"/>
      <c r="F489" s="51"/>
      <c r="G489" s="51"/>
      <c r="H489" s="51"/>
      <c r="I489" s="51"/>
      <c r="J489" s="51" t="str">
        <f>IFERROR(__xludf.DUMMYFUNCTION("""COMPUTED_VALUE"""),"")</f>
        <v/>
      </c>
      <c r="K489" s="51" t="str">
        <f>IFERROR(__xludf.DUMMYFUNCTION("""COMPUTED_VALUE"""),"")</f>
        <v/>
      </c>
      <c r="L489" s="51" t="s">
        <v>64</v>
      </c>
      <c r="M489" s="51" t="s">
        <v>64</v>
      </c>
      <c r="N489" s="51"/>
      <c r="O489" s="51"/>
      <c r="P489" s="51"/>
      <c r="Q489" s="51"/>
      <c r="R489" s="51"/>
      <c r="S489" s="51"/>
    </row>
    <row r="490">
      <c r="A490" s="51"/>
      <c r="B490" s="51"/>
      <c r="C490" s="51"/>
      <c r="D490" s="51"/>
      <c r="E490" s="51"/>
      <c r="F490" s="51"/>
      <c r="G490" s="51"/>
      <c r="H490" s="51"/>
      <c r="I490" s="51"/>
      <c r="J490" s="51" t="str">
        <f>IFERROR(__xludf.DUMMYFUNCTION("""COMPUTED_VALUE"""),"")</f>
        <v/>
      </c>
      <c r="K490" s="51" t="str">
        <f>IFERROR(__xludf.DUMMYFUNCTION("""COMPUTED_VALUE"""),"")</f>
        <v/>
      </c>
      <c r="L490" s="51" t="s">
        <v>64</v>
      </c>
      <c r="M490" s="51" t="s">
        <v>64</v>
      </c>
      <c r="N490" s="51"/>
      <c r="O490" s="51"/>
      <c r="P490" s="51"/>
      <c r="Q490" s="51"/>
      <c r="R490" s="51"/>
      <c r="S490" s="51"/>
    </row>
    <row r="491">
      <c r="A491" s="51"/>
      <c r="B491" s="51"/>
      <c r="C491" s="51"/>
      <c r="D491" s="51"/>
      <c r="E491" s="51"/>
      <c r="F491" s="51"/>
      <c r="G491" s="51"/>
      <c r="H491" s="51"/>
      <c r="I491" s="51"/>
      <c r="J491" s="51" t="str">
        <f>IFERROR(__xludf.DUMMYFUNCTION("""COMPUTED_VALUE"""),"")</f>
        <v/>
      </c>
      <c r="K491" s="51" t="str">
        <f>IFERROR(__xludf.DUMMYFUNCTION("""COMPUTED_VALUE"""),"")</f>
        <v/>
      </c>
      <c r="L491" s="51" t="s">
        <v>64</v>
      </c>
      <c r="M491" s="51" t="s">
        <v>64</v>
      </c>
      <c r="N491" s="51"/>
      <c r="O491" s="51"/>
      <c r="P491" s="51"/>
      <c r="Q491" s="51"/>
      <c r="R491" s="51"/>
      <c r="S491" s="51"/>
    </row>
    <row r="492">
      <c r="A492" s="51"/>
      <c r="B492" s="51"/>
      <c r="C492" s="51"/>
      <c r="D492" s="51"/>
      <c r="E492" s="51"/>
      <c r="F492" s="51"/>
      <c r="G492" s="51"/>
      <c r="H492" s="51"/>
      <c r="I492" s="51"/>
      <c r="J492" s="51" t="str">
        <f>IFERROR(__xludf.DUMMYFUNCTION("""COMPUTED_VALUE"""),"")</f>
        <v/>
      </c>
      <c r="K492" s="51" t="str">
        <f>IFERROR(__xludf.DUMMYFUNCTION("""COMPUTED_VALUE"""),"")</f>
        <v/>
      </c>
      <c r="L492" s="51" t="s">
        <v>64</v>
      </c>
      <c r="M492" s="51" t="s">
        <v>64</v>
      </c>
      <c r="N492" s="51"/>
      <c r="O492" s="51"/>
      <c r="P492" s="51"/>
      <c r="Q492" s="51"/>
      <c r="R492" s="51"/>
      <c r="S492" s="51"/>
    </row>
    <row r="493">
      <c r="A493" s="51"/>
      <c r="B493" s="51"/>
      <c r="C493" s="51"/>
      <c r="D493" s="51"/>
      <c r="E493" s="51"/>
      <c r="F493" s="51"/>
      <c r="G493" s="51"/>
      <c r="H493" s="51"/>
      <c r="I493" s="51"/>
      <c r="J493" s="51" t="str">
        <f>IFERROR(__xludf.DUMMYFUNCTION("""COMPUTED_VALUE"""),"")</f>
        <v/>
      </c>
      <c r="K493" s="51" t="str">
        <f>IFERROR(__xludf.DUMMYFUNCTION("""COMPUTED_VALUE"""),"")</f>
        <v/>
      </c>
      <c r="L493" s="51" t="s">
        <v>64</v>
      </c>
      <c r="M493" s="51" t="s">
        <v>64</v>
      </c>
      <c r="N493" s="51"/>
      <c r="O493" s="51"/>
      <c r="P493" s="51"/>
      <c r="Q493" s="51"/>
      <c r="R493" s="51"/>
      <c r="S493" s="51"/>
    </row>
    <row r="494">
      <c r="A494" s="51"/>
      <c r="B494" s="51"/>
      <c r="C494" s="51"/>
      <c r="D494" s="51"/>
      <c r="E494" s="51"/>
      <c r="F494" s="51"/>
      <c r="G494" s="51"/>
      <c r="H494" s="51"/>
      <c r="I494" s="51"/>
      <c r="J494" s="51" t="str">
        <f>IFERROR(__xludf.DUMMYFUNCTION("""COMPUTED_VALUE"""),"")</f>
        <v/>
      </c>
      <c r="K494" s="51" t="str">
        <f>IFERROR(__xludf.DUMMYFUNCTION("""COMPUTED_VALUE"""),"")</f>
        <v/>
      </c>
      <c r="L494" s="51" t="s">
        <v>64</v>
      </c>
      <c r="M494" s="51" t="s">
        <v>64</v>
      </c>
      <c r="N494" s="51"/>
      <c r="O494" s="51"/>
      <c r="P494" s="51"/>
      <c r="Q494" s="51"/>
      <c r="R494" s="51"/>
      <c r="S494" s="51"/>
    </row>
    <row r="495">
      <c r="A495" s="51"/>
      <c r="B495" s="51"/>
      <c r="C495" s="51"/>
      <c r="D495" s="51"/>
      <c r="E495" s="51"/>
      <c r="F495" s="51"/>
      <c r="G495" s="51"/>
      <c r="H495" s="51"/>
      <c r="I495" s="51"/>
      <c r="J495" s="51" t="str">
        <f>IFERROR(__xludf.DUMMYFUNCTION("""COMPUTED_VALUE"""),"")</f>
        <v/>
      </c>
      <c r="K495" s="51" t="str">
        <f>IFERROR(__xludf.DUMMYFUNCTION("""COMPUTED_VALUE"""),"")</f>
        <v/>
      </c>
      <c r="L495" s="51" t="s">
        <v>64</v>
      </c>
      <c r="M495" s="51" t="s">
        <v>64</v>
      </c>
      <c r="N495" s="51"/>
      <c r="O495" s="51"/>
      <c r="P495" s="51"/>
      <c r="Q495" s="51"/>
      <c r="R495" s="51"/>
      <c r="S495" s="51"/>
    </row>
    <row r="496">
      <c r="A496" s="51"/>
      <c r="B496" s="51"/>
      <c r="C496" s="51"/>
      <c r="D496" s="51"/>
      <c r="E496" s="51"/>
      <c r="F496" s="51"/>
      <c r="G496" s="51"/>
      <c r="H496" s="51"/>
      <c r="I496" s="51"/>
      <c r="J496" s="51" t="str">
        <f>IFERROR(__xludf.DUMMYFUNCTION("""COMPUTED_VALUE"""),"")</f>
        <v/>
      </c>
      <c r="K496" s="51" t="str">
        <f>IFERROR(__xludf.DUMMYFUNCTION("""COMPUTED_VALUE"""),"")</f>
        <v/>
      </c>
      <c r="L496" s="51" t="s">
        <v>64</v>
      </c>
      <c r="M496" s="51" t="s">
        <v>64</v>
      </c>
      <c r="N496" s="51"/>
      <c r="O496" s="51"/>
      <c r="P496" s="51"/>
      <c r="Q496" s="51"/>
      <c r="R496" s="51"/>
      <c r="S496" s="51"/>
    </row>
    <row r="497">
      <c r="A497" s="51"/>
      <c r="B497" s="51"/>
      <c r="C497" s="51"/>
      <c r="D497" s="51"/>
      <c r="E497" s="51"/>
      <c r="F497" s="51"/>
      <c r="G497" s="51"/>
      <c r="H497" s="51"/>
      <c r="I497" s="51"/>
      <c r="J497" s="51" t="str">
        <f>IFERROR(__xludf.DUMMYFUNCTION("""COMPUTED_VALUE"""),"")</f>
        <v/>
      </c>
      <c r="K497" s="51" t="str">
        <f>IFERROR(__xludf.DUMMYFUNCTION("""COMPUTED_VALUE"""),"")</f>
        <v/>
      </c>
      <c r="L497" s="51" t="s">
        <v>64</v>
      </c>
      <c r="M497" s="51" t="s">
        <v>64</v>
      </c>
      <c r="N497" s="51"/>
      <c r="O497" s="51"/>
      <c r="P497" s="51"/>
      <c r="Q497" s="51"/>
      <c r="R497" s="51"/>
      <c r="S497" s="51"/>
    </row>
    <row r="498">
      <c r="A498" s="51"/>
      <c r="B498" s="51"/>
      <c r="C498" s="51"/>
      <c r="D498" s="51"/>
      <c r="E498" s="51"/>
      <c r="F498" s="51"/>
      <c r="G498" s="51"/>
      <c r="H498" s="51"/>
      <c r="I498" s="51"/>
      <c r="J498" s="51" t="str">
        <f>IFERROR(__xludf.DUMMYFUNCTION("""COMPUTED_VALUE"""),"")</f>
        <v/>
      </c>
      <c r="K498" s="51" t="str">
        <f>IFERROR(__xludf.DUMMYFUNCTION("""COMPUTED_VALUE"""),"")</f>
        <v/>
      </c>
      <c r="L498" s="51" t="s">
        <v>64</v>
      </c>
      <c r="M498" s="51" t="s">
        <v>64</v>
      </c>
      <c r="N498" s="51"/>
      <c r="O498" s="51"/>
      <c r="P498" s="51"/>
      <c r="Q498" s="51"/>
      <c r="R498" s="51"/>
      <c r="S498" s="51"/>
    </row>
    <row r="499">
      <c r="A499" s="51"/>
      <c r="B499" s="51"/>
      <c r="C499" s="51"/>
      <c r="D499" s="51"/>
      <c r="E499" s="51"/>
      <c r="F499" s="51"/>
      <c r="G499" s="51"/>
      <c r="H499" s="51"/>
      <c r="I499" s="51"/>
      <c r="J499" s="51" t="str">
        <f>IFERROR(__xludf.DUMMYFUNCTION("""COMPUTED_VALUE"""),"")</f>
        <v/>
      </c>
      <c r="K499" s="51" t="str">
        <f>IFERROR(__xludf.DUMMYFUNCTION("""COMPUTED_VALUE"""),"")</f>
        <v/>
      </c>
      <c r="L499" s="51" t="s">
        <v>64</v>
      </c>
      <c r="M499" s="51" t="s">
        <v>64</v>
      </c>
      <c r="N499" s="51"/>
      <c r="O499" s="51"/>
      <c r="P499" s="51"/>
      <c r="Q499" s="51"/>
      <c r="R499" s="51"/>
      <c r="S499" s="51"/>
    </row>
    <row r="500">
      <c r="A500" s="51"/>
      <c r="B500" s="51"/>
      <c r="C500" s="51"/>
      <c r="D500" s="51"/>
      <c r="E500" s="51"/>
      <c r="F500" s="51"/>
      <c r="G500" s="51"/>
      <c r="H500" s="51"/>
      <c r="I500" s="51"/>
      <c r="J500" s="51" t="str">
        <f>IFERROR(__xludf.DUMMYFUNCTION("""COMPUTED_VALUE"""),"")</f>
        <v/>
      </c>
      <c r="K500" s="51" t="str">
        <f>IFERROR(__xludf.DUMMYFUNCTION("""COMPUTED_VALUE"""),"")</f>
        <v/>
      </c>
      <c r="L500" s="51" t="s">
        <v>64</v>
      </c>
      <c r="M500" s="51" t="s">
        <v>64</v>
      </c>
      <c r="N500" s="51"/>
      <c r="O500" s="51"/>
      <c r="P500" s="51"/>
      <c r="Q500" s="51"/>
      <c r="R500" s="51"/>
      <c r="S500" s="51"/>
    </row>
    <row r="501">
      <c r="A501" s="51"/>
      <c r="B501" s="51"/>
      <c r="C501" s="51"/>
      <c r="D501" s="51"/>
      <c r="E501" s="51"/>
      <c r="F501" s="51"/>
      <c r="G501" s="51"/>
      <c r="H501" s="51"/>
      <c r="I501" s="51"/>
      <c r="J501" s="51" t="str">
        <f>IFERROR(__xludf.DUMMYFUNCTION("""COMPUTED_VALUE"""),"")</f>
        <v/>
      </c>
      <c r="K501" s="51" t="str">
        <f>IFERROR(__xludf.DUMMYFUNCTION("""COMPUTED_VALUE"""),"")</f>
        <v/>
      </c>
      <c r="L501" s="51" t="s">
        <v>64</v>
      </c>
      <c r="M501" s="51" t="s">
        <v>64</v>
      </c>
      <c r="N501" s="51"/>
      <c r="O501" s="51"/>
      <c r="P501" s="51"/>
      <c r="Q501" s="51"/>
      <c r="R501" s="51"/>
      <c r="S501" s="51"/>
    </row>
    <row r="502">
      <c r="A502" s="51"/>
      <c r="B502" s="51"/>
      <c r="C502" s="51"/>
      <c r="D502" s="51"/>
      <c r="E502" s="51"/>
      <c r="F502" s="51"/>
      <c r="G502" s="51"/>
      <c r="H502" s="51"/>
      <c r="I502" s="51"/>
      <c r="J502" s="51" t="str">
        <f>IFERROR(__xludf.DUMMYFUNCTION("""COMPUTED_VALUE"""),"")</f>
        <v/>
      </c>
      <c r="K502" s="51" t="str">
        <f>IFERROR(__xludf.DUMMYFUNCTION("""COMPUTED_VALUE"""),"")</f>
        <v/>
      </c>
      <c r="L502" s="51" t="s">
        <v>64</v>
      </c>
      <c r="M502" s="51" t="s">
        <v>64</v>
      </c>
      <c r="N502" s="51"/>
      <c r="O502" s="51"/>
      <c r="P502" s="51"/>
      <c r="Q502" s="51"/>
      <c r="R502" s="51"/>
      <c r="S502" s="51"/>
    </row>
    <row r="503">
      <c r="A503" s="51"/>
      <c r="B503" s="51"/>
      <c r="C503" s="51"/>
      <c r="D503" s="51"/>
      <c r="E503" s="51"/>
      <c r="F503" s="51"/>
      <c r="G503" s="51"/>
      <c r="H503" s="51"/>
      <c r="I503" s="51"/>
      <c r="J503" s="51" t="str">
        <f>IFERROR(__xludf.DUMMYFUNCTION("""COMPUTED_VALUE"""),"")</f>
        <v/>
      </c>
      <c r="K503" s="51" t="str">
        <f>IFERROR(__xludf.DUMMYFUNCTION("""COMPUTED_VALUE"""),"")</f>
        <v/>
      </c>
      <c r="L503" s="51" t="s">
        <v>64</v>
      </c>
      <c r="M503" s="51" t="s">
        <v>64</v>
      </c>
      <c r="N503" s="51"/>
      <c r="O503" s="51"/>
      <c r="P503" s="51"/>
      <c r="Q503" s="51"/>
      <c r="R503" s="51"/>
      <c r="S503" s="51"/>
    </row>
    <row r="504">
      <c r="A504" s="51"/>
      <c r="B504" s="51"/>
      <c r="C504" s="51"/>
      <c r="D504" s="51"/>
      <c r="E504" s="51"/>
      <c r="F504" s="51"/>
      <c r="G504" s="51"/>
      <c r="H504" s="51"/>
      <c r="I504" s="51"/>
      <c r="J504" s="51" t="str">
        <f>IFERROR(__xludf.DUMMYFUNCTION("""COMPUTED_VALUE"""),"")</f>
        <v/>
      </c>
      <c r="K504" s="51" t="str">
        <f>IFERROR(__xludf.DUMMYFUNCTION("""COMPUTED_VALUE"""),"")</f>
        <v/>
      </c>
      <c r="L504" s="51" t="s">
        <v>64</v>
      </c>
      <c r="M504" s="51" t="s">
        <v>64</v>
      </c>
      <c r="N504" s="51"/>
      <c r="O504" s="51"/>
      <c r="P504" s="51"/>
      <c r="Q504" s="51"/>
      <c r="R504" s="51"/>
      <c r="S504" s="51"/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 t="str">
        <f>IFERROR(__xludf.DUMMYFUNCTION("""COMPUTED_VALUE"""),"")</f>
        <v/>
      </c>
      <c r="K505" s="51" t="str">
        <f>IFERROR(__xludf.DUMMYFUNCTION("""COMPUTED_VALUE"""),"")</f>
        <v/>
      </c>
      <c r="L505" s="51" t="s">
        <v>64</v>
      </c>
      <c r="M505" s="51" t="s">
        <v>64</v>
      </c>
      <c r="N505" s="51"/>
      <c r="O505" s="51"/>
      <c r="P505" s="51"/>
      <c r="Q505" s="51"/>
      <c r="R505" s="51"/>
      <c r="S505" s="51"/>
    </row>
    <row r="506">
      <c r="A506" s="51"/>
      <c r="B506" s="51"/>
      <c r="C506" s="51"/>
      <c r="D506" s="51"/>
      <c r="E506" s="51"/>
      <c r="F506" s="51"/>
      <c r="G506" s="51"/>
      <c r="H506" s="51"/>
      <c r="I506" s="51"/>
      <c r="J506" s="51" t="str">
        <f>IFERROR(__xludf.DUMMYFUNCTION("""COMPUTED_VALUE"""),"")</f>
        <v/>
      </c>
      <c r="K506" s="51" t="str">
        <f>IFERROR(__xludf.DUMMYFUNCTION("""COMPUTED_VALUE"""),"")</f>
        <v/>
      </c>
      <c r="L506" s="51" t="s">
        <v>64</v>
      </c>
      <c r="M506" s="51" t="s">
        <v>64</v>
      </c>
      <c r="N506" s="51"/>
      <c r="O506" s="51"/>
      <c r="P506" s="51"/>
      <c r="Q506" s="51"/>
      <c r="R506" s="51"/>
      <c r="S506" s="51"/>
    </row>
    <row r="507">
      <c r="A507" s="51"/>
      <c r="B507" s="51"/>
      <c r="C507" s="51"/>
      <c r="D507" s="51"/>
      <c r="E507" s="51"/>
      <c r="F507" s="51"/>
      <c r="G507" s="51"/>
      <c r="H507" s="51"/>
      <c r="I507" s="51"/>
      <c r="J507" s="51" t="str">
        <f>IFERROR(__xludf.DUMMYFUNCTION("""COMPUTED_VALUE"""),"")</f>
        <v/>
      </c>
      <c r="K507" s="51" t="str">
        <f>IFERROR(__xludf.DUMMYFUNCTION("""COMPUTED_VALUE"""),"")</f>
        <v/>
      </c>
      <c r="L507" s="51" t="s">
        <v>64</v>
      </c>
      <c r="M507" s="51" t="s">
        <v>64</v>
      </c>
      <c r="N507" s="51"/>
      <c r="O507" s="51"/>
      <c r="P507" s="51"/>
      <c r="Q507" s="51"/>
      <c r="R507" s="51"/>
      <c r="S507" s="51"/>
    </row>
    <row r="508">
      <c r="A508" s="51"/>
      <c r="B508" s="51"/>
      <c r="C508" s="51"/>
      <c r="D508" s="51"/>
      <c r="E508" s="51"/>
      <c r="F508" s="51"/>
      <c r="G508" s="51"/>
      <c r="H508" s="51"/>
      <c r="I508" s="51"/>
      <c r="J508" s="51" t="str">
        <f>IFERROR(__xludf.DUMMYFUNCTION("""COMPUTED_VALUE"""),"")</f>
        <v/>
      </c>
      <c r="K508" s="51" t="str">
        <f>IFERROR(__xludf.DUMMYFUNCTION("""COMPUTED_VALUE"""),"")</f>
        <v/>
      </c>
      <c r="L508" s="51" t="s">
        <v>64</v>
      </c>
      <c r="M508" s="51" t="s">
        <v>64</v>
      </c>
      <c r="N508" s="51"/>
      <c r="O508" s="51"/>
      <c r="P508" s="51"/>
      <c r="Q508" s="51"/>
      <c r="R508" s="51"/>
      <c r="S508" s="51"/>
    </row>
    <row r="509">
      <c r="A509" s="51"/>
      <c r="B509" s="51"/>
      <c r="C509" s="51"/>
      <c r="D509" s="51"/>
      <c r="E509" s="51"/>
      <c r="F509" s="51"/>
      <c r="G509" s="51"/>
      <c r="H509" s="51"/>
      <c r="I509" s="51"/>
      <c r="J509" s="51" t="str">
        <f>IFERROR(__xludf.DUMMYFUNCTION("""COMPUTED_VALUE"""),"")</f>
        <v/>
      </c>
      <c r="K509" s="51" t="str">
        <f>IFERROR(__xludf.DUMMYFUNCTION("""COMPUTED_VALUE"""),"")</f>
        <v/>
      </c>
      <c r="L509" s="51" t="s">
        <v>64</v>
      </c>
      <c r="M509" s="51" t="s">
        <v>64</v>
      </c>
      <c r="N509" s="51"/>
      <c r="O509" s="51"/>
      <c r="P509" s="51"/>
      <c r="Q509" s="51"/>
      <c r="R509" s="51"/>
      <c r="S509" s="51"/>
    </row>
    <row r="510">
      <c r="A510" s="51"/>
      <c r="B510" s="51"/>
      <c r="C510" s="51"/>
      <c r="D510" s="51"/>
      <c r="E510" s="51"/>
      <c r="F510" s="51"/>
      <c r="G510" s="51"/>
      <c r="H510" s="51"/>
      <c r="I510" s="51"/>
      <c r="J510" s="51" t="str">
        <f>IFERROR(__xludf.DUMMYFUNCTION("""COMPUTED_VALUE"""),"")</f>
        <v/>
      </c>
      <c r="K510" s="51" t="str">
        <f>IFERROR(__xludf.DUMMYFUNCTION("""COMPUTED_VALUE"""),"")</f>
        <v/>
      </c>
      <c r="L510" s="51" t="s">
        <v>64</v>
      </c>
      <c r="M510" s="51" t="s">
        <v>64</v>
      </c>
      <c r="N510" s="51"/>
      <c r="O510" s="51"/>
      <c r="P510" s="51"/>
      <c r="Q510" s="51"/>
      <c r="R510" s="51"/>
      <c r="S510" s="51"/>
    </row>
    <row r="511">
      <c r="A511" s="51"/>
      <c r="B511" s="51"/>
      <c r="C511" s="51"/>
      <c r="D511" s="51"/>
      <c r="E511" s="51"/>
      <c r="F511" s="51"/>
      <c r="G511" s="51"/>
      <c r="H511" s="51"/>
      <c r="I511" s="51"/>
      <c r="J511" s="51" t="str">
        <f>IFERROR(__xludf.DUMMYFUNCTION("""COMPUTED_VALUE"""),"")</f>
        <v/>
      </c>
      <c r="K511" s="51" t="str">
        <f>IFERROR(__xludf.DUMMYFUNCTION("""COMPUTED_VALUE"""),"")</f>
        <v/>
      </c>
      <c r="L511" s="51" t="s">
        <v>64</v>
      </c>
      <c r="M511" s="51" t="s">
        <v>64</v>
      </c>
      <c r="N511" s="51"/>
      <c r="O511" s="51"/>
      <c r="P511" s="51"/>
      <c r="Q511" s="51"/>
      <c r="R511" s="51"/>
      <c r="S511" s="51"/>
    </row>
    <row r="512">
      <c r="A512" s="51"/>
      <c r="B512" s="51"/>
      <c r="C512" s="51"/>
      <c r="D512" s="51"/>
      <c r="E512" s="51"/>
      <c r="F512" s="51"/>
      <c r="G512" s="51"/>
      <c r="H512" s="51"/>
      <c r="I512" s="51"/>
      <c r="J512" s="51" t="str">
        <f>IFERROR(__xludf.DUMMYFUNCTION("""COMPUTED_VALUE"""),"")</f>
        <v/>
      </c>
      <c r="K512" s="51" t="str">
        <f>IFERROR(__xludf.DUMMYFUNCTION("""COMPUTED_VALUE"""),"")</f>
        <v/>
      </c>
      <c r="L512" s="51" t="s">
        <v>64</v>
      </c>
      <c r="M512" s="51" t="s">
        <v>64</v>
      </c>
      <c r="N512" s="51"/>
      <c r="O512" s="51"/>
      <c r="P512" s="51"/>
      <c r="Q512" s="51"/>
      <c r="R512" s="51"/>
      <c r="S512" s="51"/>
    </row>
    <row r="513">
      <c r="A513" s="51"/>
      <c r="B513" s="51"/>
      <c r="C513" s="51"/>
      <c r="D513" s="51"/>
      <c r="E513" s="51"/>
      <c r="F513" s="51"/>
      <c r="G513" s="51"/>
      <c r="H513" s="51"/>
      <c r="I513" s="51"/>
      <c r="J513" s="51" t="str">
        <f>IFERROR(__xludf.DUMMYFUNCTION("""COMPUTED_VALUE"""),"")</f>
        <v/>
      </c>
      <c r="K513" s="51" t="str">
        <f>IFERROR(__xludf.DUMMYFUNCTION("""COMPUTED_VALUE"""),"")</f>
        <v/>
      </c>
      <c r="L513" s="51" t="s">
        <v>64</v>
      </c>
      <c r="M513" s="51" t="s">
        <v>64</v>
      </c>
      <c r="N513" s="51"/>
      <c r="O513" s="51"/>
      <c r="P513" s="51"/>
      <c r="Q513" s="51"/>
      <c r="R513" s="51"/>
      <c r="S513" s="51"/>
    </row>
    <row r="514">
      <c r="A514" s="51"/>
      <c r="B514" s="51"/>
      <c r="C514" s="51"/>
      <c r="D514" s="51"/>
      <c r="E514" s="51"/>
      <c r="F514" s="51"/>
      <c r="G514" s="51"/>
      <c r="H514" s="51"/>
      <c r="I514" s="51"/>
      <c r="J514" s="51" t="str">
        <f>IFERROR(__xludf.DUMMYFUNCTION("""COMPUTED_VALUE"""),"")</f>
        <v/>
      </c>
      <c r="K514" s="51" t="str">
        <f>IFERROR(__xludf.DUMMYFUNCTION("""COMPUTED_VALUE"""),"")</f>
        <v/>
      </c>
      <c r="L514" s="51" t="s">
        <v>64</v>
      </c>
      <c r="M514" s="51" t="s">
        <v>64</v>
      </c>
      <c r="N514" s="51"/>
      <c r="O514" s="51"/>
      <c r="P514" s="51"/>
      <c r="Q514" s="51"/>
      <c r="R514" s="51"/>
      <c r="S514" s="51"/>
    </row>
    <row r="515">
      <c r="A515" s="51"/>
      <c r="B515" s="51"/>
      <c r="C515" s="51"/>
      <c r="D515" s="51"/>
      <c r="E515" s="51"/>
      <c r="F515" s="51"/>
      <c r="G515" s="51"/>
      <c r="H515" s="51"/>
      <c r="I515" s="51"/>
      <c r="J515" s="51" t="str">
        <f>IFERROR(__xludf.DUMMYFUNCTION("""COMPUTED_VALUE"""),"")</f>
        <v/>
      </c>
      <c r="K515" s="51" t="str">
        <f>IFERROR(__xludf.DUMMYFUNCTION("""COMPUTED_VALUE"""),"")</f>
        <v/>
      </c>
      <c r="L515" s="51" t="s">
        <v>64</v>
      </c>
      <c r="M515" s="51" t="s">
        <v>64</v>
      </c>
      <c r="N515" s="51"/>
      <c r="O515" s="51"/>
      <c r="P515" s="51"/>
      <c r="Q515" s="51"/>
      <c r="R515" s="51"/>
      <c r="S515" s="51"/>
    </row>
    <row r="516">
      <c r="A516" s="51"/>
      <c r="B516" s="51"/>
      <c r="C516" s="51"/>
      <c r="D516" s="51"/>
      <c r="E516" s="51"/>
      <c r="F516" s="51"/>
      <c r="G516" s="51"/>
      <c r="H516" s="51"/>
      <c r="I516" s="51"/>
      <c r="J516" s="51" t="str">
        <f>IFERROR(__xludf.DUMMYFUNCTION("""COMPUTED_VALUE"""),"")</f>
        <v/>
      </c>
      <c r="K516" s="51" t="str">
        <f>IFERROR(__xludf.DUMMYFUNCTION("""COMPUTED_VALUE"""),"")</f>
        <v/>
      </c>
      <c r="L516" s="51" t="s">
        <v>64</v>
      </c>
      <c r="M516" s="51" t="s">
        <v>64</v>
      </c>
      <c r="N516" s="51"/>
      <c r="O516" s="51"/>
      <c r="P516" s="51"/>
      <c r="Q516" s="51"/>
      <c r="R516" s="51"/>
      <c r="S516" s="51"/>
    </row>
    <row r="517">
      <c r="A517" s="51"/>
      <c r="B517" s="51"/>
      <c r="C517" s="51"/>
      <c r="D517" s="51"/>
      <c r="E517" s="51"/>
      <c r="F517" s="51"/>
      <c r="G517" s="51"/>
      <c r="H517" s="51"/>
      <c r="I517" s="51"/>
      <c r="J517" s="51" t="str">
        <f>IFERROR(__xludf.DUMMYFUNCTION("""COMPUTED_VALUE"""),"")</f>
        <v/>
      </c>
      <c r="K517" s="51" t="str">
        <f>IFERROR(__xludf.DUMMYFUNCTION("""COMPUTED_VALUE"""),"")</f>
        <v/>
      </c>
      <c r="L517" s="51" t="s">
        <v>64</v>
      </c>
      <c r="M517" s="51" t="s">
        <v>64</v>
      </c>
      <c r="N517" s="51"/>
      <c r="O517" s="51"/>
      <c r="P517" s="51"/>
      <c r="Q517" s="51"/>
      <c r="R517" s="51"/>
      <c r="S517" s="51"/>
    </row>
    <row r="518">
      <c r="A518" s="51"/>
      <c r="B518" s="51"/>
      <c r="C518" s="51"/>
      <c r="D518" s="51"/>
      <c r="E518" s="51"/>
      <c r="F518" s="51"/>
      <c r="G518" s="51"/>
      <c r="H518" s="51"/>
      <c r="I518" s="51"/>
      <c r="J518" s="51" t="str">
        <f>IFERROR(__xludf.DUMMYFUNCTION("""COMPUTED_VALUE"""),"")</f>
        <v/>
      </c>
      <c r="K518" s="51" t="str">
        <f>IFERROR(__xludf.DUMMYFUNCTION("""COMPUTED_VALUE"""),"")</f>
        <v/>
      </c>
      <c r="L518" s="51" t="s">
        <v>64</v>
      </c>
      <c r="M518" s="51" t="s">
        <v>64</v>
      </c>
      <c r="N518" s="51"/>
      <c r="O518" s="51"/>
      <c r="P518" s="51"/>
      <c r="Q518" s="51"/>
      <c r="R518" s="51"/>
      <c r="S518" s="51"/>
    </row>
    <row r="519">
      <c r="A519" s="51"/>
      <c r="B519" s="51"/>
      <c r="C519" s="51"/>
      <c r="D519" s="51"/>
      <c r="E519" s="51"/>
      <c r="F519" s="51"/>
      <c r="G519" s="51"/>
      <c r="H519" s="51"/>
      <c r="I519" s="51"/>
      <c r="J519" s="51" t="str">
        <f>IFERROR(__xludf.DUMMYFUNCTION("""COMPUTED_VALUE"""),"")</f>
        <v/>
      </c>
      <c r="K519" s="51" t="str">
        <f>IFERROR(__xludf.DUMMYFUNCTION("""COMPUTED_VALUE"""),"")</f>
        <v/>
      </c>
      <c r="L519" s="51" t="s">
        <v>64</v>
      </c>
      <c r="M519" s="51" t="s">
        <v>64</v>
      </c>
      <c r="N519" s="51"/>
      <c r="O519" s="51"/>
      <c r="P519" s="51"/>
      <c r="Q519" s="51"/>
      <c r="R519" s="51"/>
      <c r="S519" s="51"/>
    </row>
    <row r="520">
      <c r="A520" s="51"/>
      <c r="B520" s="51"/>
      <c r="C520" s="51"/>
      <c r="D520" s="51"/>
      <c r="E520" s="51"/>
      <c r="F520" s="51"/>
      <c r="G520" s="51"/>
      <c r="H520" s="51"/>
      <c r="I520" s="51"/>
      <c r="J520" s="51" t="str">
        <f>IFERROR(__xludf.DUMMYFUNCTION("""COMPUTED_VALUE"""),"")</f>
        <v/>
      </c>
      <c r="K520" s="51" t="str">
        <f>IFERROR(__xludf.DUMMYFUNCTION("""COMPUTED_VALUE"""),"")</f>
        <v/>
      </c>
      <c r="L520" s="51" t="s">
        <v>64</v>
      </c>
      <c r="M520" s="51" t="s">
        <v>64</v>
      </c>
      <c r="N520" s="51"/>
      <c r="O520" s="51"/>
      <c r="P520" s="51"/>
      <c r="Q520" s="51"/>
      <c r="R520" s="51"/>
      <c r="S520" s="51"/>
    </row>
    <row r="521">
      <c r="A521" s="51"/>
      <c r="B521" s="51"/>
      <c r="C521" s="51"/>
      <c r="D521" s="51"/>
      <c r="E521" s="51"/>
      <c r="F521" s="51"/>
      <c r="G521" s="51"/>
      <c r="H521" s="51"/>
      <c r="I521" s="51"/>
      <c r="J521" s="51" t="str">
        <f>IFERROR(__xludf.DUMMYFUNCTION("""COMPUTED_VALUE"""),"")</f>
        <v/>
      </c>
      <c r="K521" s="51" t="str">
        <f>IFERROR(__xludf.DUMMYFUNCTION("""COMPUTED_VALUE"""),"")</f>
        <v/>
      </c>
      <c r="L521" s="51" t="s">
        <v>64</v>
      </c>
      <c r="M521" s="51" t="s">
        <v>64</v>
      </c>
      <c r="N521" s="51"/>
      <c r="O521" s="51"/>
      <c r="P521" s="51"/>
      <c r="Q521" s="51"/>
      <c r="R521" s="51"/>
      <c r="S521" s="51"/>
    </row>
    <row r="522">
      <c r="A522" s="51"/>
      <c r="B522" s="51"/>
      <c r="C522" s="51"/>
      <c r="D522" s="51"/>
      <c r="E522" s="51"/>
      <c r="F522" s="51"/>
      <c r="G522" s="51"/>
      <c r="H522" s="51"/>
      <c r="I522" s="51"/>
      <c r="J522" s="51" t="str">
        <f>IFERROR(__xludf.DUMMYFUNCTION("""COMPUTED_VALUE"""),"")</f>
        <v/>
      </c>
      <c r="K522" s="51" t="str">
        <f>IFERROR(__xludf.DUMMYFUNCTION("""COMPUTED_VALUE"""),"")</f>
        <v/>
      </c>
      <c r="L522" s="51" t="s">
        <v>64</v>
      </c>
      <c r="M522" s="51" t="s">
        <v>64</v>
      </c>
      <c r="N522" s="51"/>
      <c r="O522" s="51"/>
      <c r="P522" s="51"/>
      <c r="Q522" s="51"/>
      <c r="R522" s="51"/>
      <c r="S522" s="51"/>
    </row>
    <row r="523">
      <c r="A523" s="51"/>
      <c r="B523" s="51"/>
      <c r="C523" s="51"/>
      <c r="D523" s="51"/>
      <c r="E523" s="51"/>
      <c r="F523" s="51"/>
      <c r="G523" s="51"/>
      <c r="H523" s="51"/>
      <c r="I523" s="51"/>
      <c r="J523" s="51" t="str">
        <f>IFERROR(__xludf.DUMMYFUNCTION("""COMPUTED_VALUE"""),"")</f>
        <v/>
      </c>
      <c r="K523" s="51" t="str">
        <f>IFERROR(__xludf.DUMMYFUNCTION("""COMPUTED_VALUE"""),"")</f>
        <v/>
      </c>
      <c r="L523" s="51" t="s">
        <v>64</v>
      </c>
      <c r="M523" s="51" t="s">
        <v>64</v>
      </c>
      <c r="N523" s="51"/>
      <c r="O523" s="51"/>
      <c r="P523" s="51"/>
      <c r="Q523" s="51"/>
      <c r="R523" s="51"/>
      <c r="S523" s="51"/>
    </row>
    <row r="524">
      <c r="A524" s="51"/>
      <c r="B524" s="51"/>
      <c r="C524" s="51"/>
      <c r="D524" s="51"/>
      <c r="E524" s="51"/>
      <c r="F524" s="51"/>
      <c r="G524" s="51"/>
      <c r="H524" s="51"/>
      <c r="I524" s="51"/>
      <c r="J524" s="51" t="str">
        <f>IFERROR(__xludf.DUMMYFUNCTION("""COMPUTED_VALUE"""),"")</f>
        <v/>
      </c>
      <c r="K524" s="51" t="str">
        <f>IFERROR(__xludf.DUMMYFUNCTION("""COMPUTED_VALUE"""),"")</f>
        <v/>
      </c>
      <c r="L524" s="51" t="s">
        <v>64</v>
      </c>
      <c r="M524" s="51" t="s">
        <v>64</v>
      </c>
      <c r="N524" s="51"/>
      <c r="O524" s="51"/>
      <c r="P524" s="51"/>
      <c r="Q524" s="51"/>
      <c r="R524" s="51"/>
      <c r="S524" s="51"/>
    </row>
    <row r="525">
      <c r="A525" s="51"/>
      <c r="B525" s="51"/>
      <c r="C525" s="51"/>
      <c r="D525" s="51"/>
      <c r="E525" s="51"/>
      <c r="F525" s="51"/>
      <c r="G525" s="51"/>
      <c r="H525" s="51"/>
      <c r="I525" s="51"/>
      <c r="J525" s="51" t="str">
        <f>IFERROR(__xludf.DUMMYFUNCTION("""COMPUTED_VALUE"""),"")</f>
        <v/>
      </c>
      <c r="K525" s="51" t="str">
        <f>IFERROR(__xludf.DUMMYFUNCTION("""COMPUTED_VALUE"""),"")</f>
        <v/>
      </c>
      <c r="L525" s="51" t="s">
        <v>64</v>
      </c>
      <c r="M525" s="51" t="s">
        <v>64</v>
      </c>
      <c r="N525" s="51"/>
      <c r="O525" s="51"/>
      <c r="P525" s="51"/>
      <c r="Q525" s="51"/>
      <c r="R525" s="51"/>
      <c r="S525" s="51"/>
    </row>
    <row r="526">
      <c r="A526" s="51"/>
      <c r="B526" s="51"/>
      <c r="C526" s="51"/>
      <c r="D526" s="51"/>
      <c r="E526" s="51"/>
      <c r="F526" s="51"/>
      <c r="G526" s="51"/>
      <c r="H526" s="51"/>
      <c r="I526" s="51"/>
      <c r="J526" s="51" t="str">
        <f>IFERROR(__xludf.DUMMYFUNCTION("""COMPUTED_VALUE"""),"")</f>
        <v/>
      </c>
      <c r="K526" s="51" t="str">
        <f>IFERROR(__xludf.DUMMYFUNCTION("""COMPUTED_VALUE"""),"")</f>
        <v/>
      </c>
      <c r="L526" s="51" t="s">
        <v>64</v>
      </c>
      <c r="M526" s="51" t="s">
        <v>64</v>
      </c>
      <c r="N526" s="51"/>
      <c r="O526" s="51"/>
      <c r="P526" s="51"/>
      <c r="Q526" s="51"/>
      <c r="R526" s="51"/>
      <c r="S526" s="51"/>
    </row>
    <row r="527">
      <c r="A527" s="51"/>
      <c r="B527" s="51"/>
      <c r="C527" s="51"/>
      <c r="D527" s="51"/>
      <c r="E527" s="51"/>
      <c r="F527" s="51"/>
      <c r="G527" s="51"/>
      <c r="H527" s="51"/>
      <c r="I527" s="51"/>
      <c r="J527" s="51" t="str">
        <f>IFERROR(__xludf.DUMMYFUNCTION("""COMPUTED_VALUE"""),"")</f>
        <v/>
      </c>
      <c r="K527" s="51" t="str">
        <f>IFERROR(__xludf.DUMMYFUNCTION("""COMPUTED_VALUE"""),"")</f>
        <v/>
      </c>
      <c r="L527" s="51" t="s">
        <v>64</v>
      </c>
      <c r="M527" s="51" t="s">
        <v>64</v>
      </c>
      <c r="N527" s="51"/>
      <c r="O527" s="51"/>
      <c r="P527" s="51"/>
      <c r="Q527" s="51"/>
      <c r="R527" s="51"/>
      <c r="S527" s="51"/>
    </row>
    <row r="528">
      <c r="A528" s="51"/>
      <c r="B528" s="51"/>
      <c r="C528" s="51"/>
      <c r="D528" s="51"/>
      <c r="E528" s="51"/>
      <c r="F528" s="51"/>
      <c r="G528" s="51"/>
      <c r="H528" s="51"/>
      <c r="I528" s="51"/>
      <c r="J528" s="51" t="str">
        <f>IFERROR(__xludf.DUMMYFUNCTION("""COMPUTED_VALUE"""),"")</f>
        <v/>
      </c>
      <c r="K528" s="51" t="str">
        <f>IFERROR(__xludf.DUMMYFUNCTION("""COMPUTED_VALUE"""),"")</f>
        <v/>
      </c>
      <c r="L528" s="51" t="s">
        <v>64</v>
      </c>
      <c r="M528" s="51" t="s">
        <v>64</v>
      </c>
      <c r="N528" s="51"/>
      <c r="O528" s="51"/>
      <c r="P528" s="51"/>
      <c r="Q528" s="51"/>
      <c r="R528" s="51"/>
      <c r="S528" s="51"/>
    </row>
    <row r="529">
      <c r="A529" s="51"/>
      <c r="B529" s="51"/>
      <c r="C529" s="51"/>
      <c r="D529" s="51"/>
      <c r="E529" s="51"/>
      <c r="F529" s="51"/>
      <c r="G529" s="51"/>
      <c r="H529" s="51"/>
      <c r="I529" s="51"/>
      <c r="J529" s="51" t="str">
        <f>IFERROR(__xludf.DUMMYFUNCTION("""COMPUTED_VALUE"""),"")</f>
        <v/>
      </c>
      <c r="K529" s="51" t="str">
        <f>IFERROR(__xludf.DUMMYFUNCTION("""COMPUTED_VALUE"""),"")</f>
        <v/>
      </c>
      <c r="L529" s="51" t="s">
        <v>64</v>
      </c>
      <c r="M529" s="51" t="s">
        <v>64</v>
      </c>
      <c r="N529" s="51"/>
      <c r="O529" s="51"/>
      <c r="P529" s="51"/>
      <c r="Q529" s="51"/>
      <c r="R529" s="51"/>
      <c r="S529" s="51"/>
    </row>
    <row r="530">
      <c r="A530" s="51"/>
      <c r="B530" s="51"/>
      <c r="C530" s="51"/>
      <c r="D530" s="51"/>
      <c r="E530" s="51"/>
      <c r="F530" s="51"/>
      <c r="G530" s="51"/>
      <c r="H530" s="51"/>
      <c r="I530" s="51"/>
      <c r="J530" s="51" t="str">
        <f>IFERROR(__xludf.DUMMYFUNCTION("""COMPUTED_VALUE"""),"")</f>
        <v/>
      </c>
      <c r="K530" s="51" t="str">
        <f>IFERROR(__xludf.DUMMYFUNCTION("""COMPUTED_VALUE"""),"")</f>
        <v/>
      </c>
      <c r="L530" s="51" t="s">
        <v>64</v>
      </c>
      <c r="M530" s="51" t="s">
        <v>64</v>
      </c>
      <c r="N530" s="51"/>
      <c r="O530" s="51"/>
      <c r="P530" s="51"/>
      <c r="Q530" s="51"/>
      <c r="R530" s="51"/>
      <c r="S530" s="51"/>
    </row>
    <row r="531">
      <c r="A531" s="51"/>
      <c r="B531" s="51"/>
      <c r="C531" s="51"/>
      <c r="D531" s="51"/>
      <c r="E531" s="51"/>
      <c r="F531" s="51"/>
      <c r="G531" s="51"/>
      <c r="H531" s="51"/>
      <c r="I531" s="51"/>
      <c r="J531" s="51" t="str">
        <f>IFERROR(__xludf.DUMMYFUNCTION("""COMPUTED_VALUE"""),"")</f>
        <v/>
      </c>
      <c r="K531" s="51" t="str">
        <f>IFERROR(__xludf.DUMMYFUNCTION("""COMPUTED_VALUE"""),"")</f>
        <v/>
      </c>
      <c r="L531" s="51" t="s">
        <v>64</v>
      </c>
      <c r="M531" s="51" t="s">
        <v>64</v>
      </c>
      <c r="N531" s="51"/>
      <c r="O531" s="51"/>
      <c r="P531" s="51"/>
      <c r="Q531" s="51"/>
      <c r="R531" s="51"/>
      <c r="S531" s="51"/>
    </row>
    <row r="532">
      <c r="A532" s="51"/>
      <c r="B532" s="51"/>
      <c r="C532" s="51"/>
      <c r="D532" s="51"/>
      <c r="E532" s="51"/>
      <c r="F532" s="51"/>
      <c r="G532" s="51"/>
      <c r="H532" s="51"/>
      <c r="I532" s="51"/>
      <c r="J532" s="51" t="str">
        <f>IFERROR(__xludf.DUMMYFUNCTION("""COMPUTED_VALUE"""),"")</f>
        <v/>
      </c>
      <c r="K532" s="51" t="str">
        <f>IFERROR(__xludf.DUMMYFUNCTION("""COMPUTED_VALUE"""),"")</f>
        <v/>
      </c>
      <c r="L532" s="51" t="s">
        <v>64</v>
      </c>
      <c r="M532" s="51" t="s">
        <v>64</v>
      </c>
      <c r="N532" s="51"/>
      <c r="O532" s="51"/>
      <c r="P532" s="51"/>
      <c r="Q532" s="51"/>
      <c r="R532" s="51"/>
      <c r="S532" s="51"/>
    </row>
    <row r="533">
      <c r="A533" s="51"/>
      <c r="B533" s="51"/>
      <c r="C533" s="51"/>
      <c r="D533" s="51"/>
      <c r="E533" s="51"/>
      <c r="F533" s="51"/>
      <c r="G533" s="51"/>
      <c r="H533" s="51"/>
      <c r="I533" s="51"/>
      <c r="J533" s="51" t="str">
        <f>IFERROR(__xludf.DUMMYFUNCTION("""COMPUTED_VALUE"""),"")</f>
        <v/>
      </c>
      <c r="K533" s="51" t="str">
        <f>IFERROR(__xludf.DUMMYFUNCTION("""COMPUTED_VALUE"""),"")</f>
        <v/>
      </c>
      <c r="L533" s="51" t="s">
        <v>64</v>
      </c>
      <c r="M533" s="51" t="s">
        <v>64</v>
      </c>
      <c r="N533" s="51"/>
      <c r="O533" s="51"/>
      <c r="P533" s="51"/>
      <c r="Q533" s="51"/>
      <c r="R533" s="51"/>
      <c r="S533" s="51"/>
    </row>
    <row r="534">
      <c r="A534" s="51"/>
      <c r="B534" s="51"/>
      <c r="C534" s="51"/>
      <c r="D534" s="51"/>
      <c r="E534" s="51"/>
      <c r="F534" s="51"/>
      <c r="G534" s="51"/>
      <c r="H534" s="51"/>
      <c r="I534" s="51"/>
      <c r="J534" s="51" t="str">
        <f>IFERROR(__xludf.DUMMYFUNCTION("""COMPUTED_VALUE"""),"")</f>
        <v/>
      </c>
      <c r="K534" s="51" t="str">
        <f>IFERROR(__xludf.DUMMYFUNCTION("""COMPUTED_VALUE"""),"")</f>
        <v/>
      </c>
      <c r="L534" s="51" t="s">
        <v>64</v>
      </c>
      <c r="M534" s="51" t="s">
        <v>64</v>
      </c>
      <c r="N534" s="51"/>
      <c r="O534" s="51"/>
      <c r="P534" s="51"/>
      <c r="Q534" s="51"/>
      <c r="R534" s="51"/>
      <c r="S534" s="51"/>
    </row>
    <row r="535">
      <c r="A535" s="51"/>
      <c r="B535" s="51"/>
      <c r="C535" s="51"/>
      <c r="D535" s="51"/>
      <c r="E535" s="51"/>
      <c r="F535" s="51"/>
      <c r="G535" s="51"/>
      <c r="H535" s="51"/>
      <c r="I535" s="51"/>
      <c r="J535" s="51" t="str">
        <f>IFERROR(__xludf.DUMMYFUNCTION("""COMPUTED_VALUE"""),"")</f>
        <v/>
      </c>
      <c r="K535" s="51" t="str">
        <f>IFERROR(__xludf.DUMMYFUNCTION("""COMPUTED_VALUE"""),"")</f>
        <v/>
      </c>
      <c r="L535" s="51" t="s">
        <v>64</v>
      </c>
      <c r="M535" s="51" t="s">
        <v>64</v>
      </c>
      <c r="N535" s="51"/>
      <c r="O535" s="51"/>
      <c r="P535" s="51"/>
      <c r="Q535" s="51"/>
      <c r="R535" s="51"/>
      <c r="S535" s="51"/>
    </row>
    <row r="536">
      <c r="A536" s="51"/>
      <c r="B536" s="51"/>
      <c r="C536" s="51"/>
      <c r="D536" s="51"/>
      <c r="E536" s="51"/>
      <c r="F536" s="51"/>
      <c r="G536" s="51"/>
      <c r="H536" s="51"/>
      <c r="I536" s="51"/>
      <c r="J536" s="51" t="str">
        <f>IFERROR(__xludf.DUMMYFUNCTION("""COMPUTED_VALUE"""),"")</f>
        <v/>
      </c>
      <c r="K536" s="51" t="str">
        <f>IFERROR(__xludf.DUMMYFUNCTION("""COMPUTED_VALUE"""),"")</f>
        <v/>
      </c>
      <c r="L536" s="51" t="s">
        <v>64</v>
      </c>
      <c r="M536" s="51" t="s">
        <v>64</v>
      </c>
      <c r="N536" s="51"/>
      <c r="O536" s="51"/>
      <c r="P536" s="51"/>
      <c r="Q536" s="51"/>
      <c r="R536" s="51"/>
      <c r="S536" s="51"/>
    </row>
    <row r="537">
      <c r="A537" s="51"/>
      <c r="B537" s="51"/>
      <c r="C537" s="51"/>
      <c r="D537" s="51"/>
      <c r="E537" s="51"/>
      <c r="F537" s="51"/>
      <c r="G537" s="51"/>
      <c r="H537" s="51"/>
      <c r="I537" s="51"/>
      <c r="J537" s="51" t="str">
        <f>IFERROR(__xludf.DUMMYFUNCTION("""COMPUTED_VALUE"""),"")</f>
        <v/>
      </c>
      <c r="K537" s="51" t="str">
        <f>IFERROR(__xludf.DUMMYFUNCTION("""COMPUTED_VALUE"""),"")</f>
        <v/>
      </c>
      <c r="L537" s="51" t="s">
        <v>64</v>
      </c>
      <c r="M537" s="51" t="s">
        <v>64</v>
      </c>
      <c r="N537" s="51"/>
      <c r="O537" s="51"/>
      <c r="P537" s="51"/>
      <c r="Q537" s="51"/>
      <c r="R537" s="51"/>
      <c r="S537" s="51"/>
    </row>
    <row r="538">
      <c r="A538" s="51"/>
      <c r="B538" s="51"/>
      <c r="C538" s="51"/>
      <c r="D538" s="51"/>
      <c r="E538" s="51"/>
      <c r="F538" s="51"/>
      <c r="G538" s="51"/>
      <c r="H538" s="51"/>
      <c r="I538" s="51"/>
      <c r="J538" s="51" t="str">
        <f>IFERROR(__xludf.DUMMYFUNCTION("""COMPUTED_VALUE"""),"")</f>
        <v/>
      </c>
      <c r="K538" s="51" t="str">
        <f>IFERROR(__xludf.DUMMYFUNCTION("""COMPUTED_VALUE"""),"")</f>
        <v/>
      </c>
      <c r="L538" s="51" t="s">
        <v>64</v>
      </c>
      <c r="M538" s="51" t="s">
        <v>64</v>
      </c>
      <c r="N538" s="51"/>
      <c r="O538" s="51"/>
      <c r="P538" s="51"/>
      <c r="Q538" s="51"/>
      <c r="R538" s="51"/>
      <c r="S538" s="51"/>
    </row>
    <row r="539">
      <c r="A539" s="51"/>
      <c r="B539" s="51"/>
      <c r="C539" s="51"/>
      <c r="D539" s="51"/>
      <c r="E539" s="51"/>
      <c r="F539" s="51"/>
      <c r="G539" s="51"/>
      <c r="H539" s="51"/>
      <c r="I539" s="51"/>
      <c r="J539" s="51" t="str">
        <f>IFERROR(__xludf.DUMMYFUNCTION("""COMPUTED_VALUE"""),"")</f>
        <v/>
      </c>
      <c r="K539" s="51" t="str">
        <f>IFERROR(__xludf.DUMMYFUNCTION("""COMPUTED_VALUE"""),"")</f>
        <v/>
      </c>
      <c r="L539" s="51" t="s">
        <v>64</v>
      </c>
      <c r="M539" s="51" t="s">
        <v>64</v>
      </c>
      <c r="N539" s="51"/>
      <c r="O539" s="51"/>
      <c r="P539" s="51"/>
      <c r="Q539" s="51"/>
      <c r="R539" s="51"/>
      <c r="S539" s="51"/>
    </row>
    <row r="540">
      <c r="A540" s="51"/>
      <c r="B540" s="51"/>
      <c r="C540" s="51"/>
      <c r="D540" s="51"/>
      <c r="E540" s="51"/>
      <c r="F540" s="51"/>
      <c r="G540" s="51"/>
      <c r="H540" s="51"/>
      <c r="I540" s="51"/>
      <c r="J540" s="51" t="str">
        <f>IFERROR(__xludf.DUMMYFUNCTION("""COMPUTED_VALUE"""),"")</f>
        <v/>
      </c>
      <c r="K540" s="51" t="str">
        <f>IFERROR(__xludf.DUMMYFUNCTION("""COMPUTED_VALUE"""),"")</f>
        <v/>
      </c>
      <c r="L540" s="51" t="s">
        <v>64</v>
      </c>
      <c r="M540" s="51" t="s">
        <v>64</v>
      </c>
      <c r="N540" s="51"/>
      <c r="O540" s="51"/>
      <c r="P540" s="51"/>
      <c r="Q540" s="51"/>
      <c r="R540" s="51"/>
      <c r="S540" s="51"/>
    </row>
    <row r="541">
      <c r="A541" s="51"/>
      <c r="B541" s="51"/>
      <c r="C541" s="51"/>
      <c r="D541" s="51"/>
      <c r="E541" s="51"/>
      <c r="F541" s="51"/>
      <c r="G541" s="51"/>
      <c r="H541" s="51"/>
      <c r="I541" s="51"/>
      <c r="J541" s="51" t="str">
        <f>IFERROR(__xludf.DUMMYFUNCTION("""COMPUTED_VALUE"""),"")</f>
        <v/>
      </c>
      <c r="K541" s="51" t="str">
        <f>IFERROR(__xludf.DUMMYFUNCTION("""COMPUTED_VALUE"""),"")</f>
        <v/>
      </c>
      <c r="L541" s="51" t="s">
        <v>64</v>
      </c>
      <c r="M541" s="51" t="s">
        <v>64</v>
      </c>
      <c r="N541" s="51"/>
      <c r="O541" s="51"/>
      <c r="P541" s="51"/>
      <c r="Q541" s="51"/>
      <c r="R541" s="51"/>
      <c r="S541" s="51"/>
    </row>
    <row r="542">
      <c r="A542" s="51"/>
      <c r="B542" s="51"/>
      <c r="C542" s="51"/>
      <c r="D542" s="51"/>
      <c r="E542" s="51"/>
      <c r="F542" s="51"/>
      <c r="G542" s="51"/>
      <c r="H542" s="51"/>
      <c r="I542" s="51"/>
      <c r="J542" s="51" t="str">
        <f>IFERROR(__xludf.DUMMYFUNCTION("""COMPUTED_VALUE"""),"")</f>
        <v/>
      </c>
      <c r="K542" s="51" t="str">
        <f>IFERROR(__xludf.DUMMYFUNCTION("""COMPUTED_VALUE"""),"")</f>
        <v/>
      </c>
      <c r="L542" s="51" t="s">
        <v>64</v>
      </c>
      <c r="M542" s="51" t="s">
        <v>64</v>
      </c>
      <c r="N542" s="51"/>
      <c r="O542" s="51"/>
      <c r="P542" s="51"/>
      <c r="Q542" s="51"/>
      <c r="R542" s="51"/>
      <c r="S542" s="51"/>
    </row>
    <row r="543">
      <c r="A543" s="51"/>
      <c r="B543" s="51"/>
      <c r="C543" s="51"/>
      <c r="D543" s="51"/>
      <c r="E543" s="51"/>
      <c r="F543" s="51"/>
      <c r="G543" s="51"/>
      <c r="H543" s="51"/>
      <c r="I543" s="51"/>
      <c r="J543" s="51" t="str">
        <f>IFERROR(__xludf.DUMMYFUNCTION("""COMPUTED_VALUE"""),"")</f>
        <v/>
      </c>
      <c r="K543" s="51" t="str">
        <f>IFERROR(__xludf.DUMMYFUNCTION("""COMPUTED_VALUE"""),"")</f>
        <v/>
      </c>
      <c r="L543" s="51" t="s">
        <v>64</v>
      </c>
      <c r="M543" s="51" t="s">
        <v>64</v>
      </c>
      <c r="N543" s="51"/>
      <c r="O543" s="51"/>
      <c r="P543" s="51"/>
      <c r="Q543" s="51"/>
      <c r="R543" s="51"/>
      <c r="S543" s="51"/>
    </row>
    <row r="544">
      <c r="A544" s="51"/>
      <c r="B544" s="51"/>
      <c r="C544" s="51"/>
      <c r="D544" s="51"/>
      <c r="E544" s="51"/>
      <c r="F544" s="51"/>
      <c r="G544" s="51"/>
      <c r="H544" s="51"/>
      <c r="I544" s="51"/>
      <c r="J544" s="51" t="str">
        <f>IFERROR(__xludf.DUMMYFUNCTION("""COMPUTED_VALUE"""),"")</f>
        <v/>
      </c>
      <c r="K544" s="51" t="str">
        <f>IFERROR(__xludf.DUMMYFUNCTION("""COMPUTED_VALUE"""),"")</f>
        <v/>
      </c>
      <c r="L544" s="51" t="s">
        <v>64</v>
      </c>
      <c r="M544" s="51" t="s">
        <v>64</v>
      </c>
      <c r="N544" s="51"/>
      <c r="O544" s="51"/>
      <c r="P544" s="51"/>
      <c r="Q544" s="51"/>
      <c r="R544" s="51"/>
      <c r="S544" s="51"/>
    </row>
    <row r="545">
      <c r="A545" s="51"/>
      <c r="B545" s="51"/>
      <c r="C545" s="51"/>
      <c r="D545" s="51"/>
      <c r="E545" s="51"/>
      <c r="F545" s="51"/>
      <c r="G545" s="51"/>
      <c r="H545" s="51"/>
      <c r="I545" s="51"/>
      <c r="J545" s="51" t="str">
        <f>IFERROR(__xludf.DUMMYFUNCTION("""COMPUTED_VALUE"""),"")</f>
        <v/>
      </c>
      <c r="K545" s="51" t="str">
        <f>IFERROR(__xludf.DUMMYFUNCTION("""COMPUTED_VALUE"""),"")</f>
        <v/>
      </c>
      <c r="L545" s="51" t="s">
        <v>64</v>
      </c>
      <c r="M545" s="51" t="s">
        <v>64</v>
      </c>
      <c r="N545" s="51"/>
      <c r="O545" s="51"/>
      <c r="P545" s="51"/>
      <c r="Q545" s="51"/>
      <c r="R545" s="51"/>
      <c r="S545" s="51"/>
    </row>
    <row r="546">
      <c r="A546" s="51"/>
      <c r="B546" s="51"/>
      <c r="C546" s="51"/>
      <c r="D546" s="51"/>
      <c r="E546" s="51"/>
      <c r="F546" s="51"/>
      <c r="G546" s="51"/>
      <c r="H546" s="51"/>
      <c r="I546" s="51"/>
      <c r="J546" s="51" t="str">
        <f>IFERROR(__xludf.DUMMYFUNCTION("""COMPUTED_VALUE"""),"")</f>
        <v/>
      </c>
      <c r="K546" s="51" t="str">
        <f>IFERROR(__xludf.DUMMYFUNCTION("""COMPUTED_VALUE"""),"")</f>
        <v/>
      </c>
      <c r="L546" s="51" t="s">
        <v>64</v>
      </c>
      <c r="M546" s="51" t="s">
        <v>64</v>
      </c>
      <c r="N546" s="51"/>
      <c r="O546" s="51"/>
      <c r="P546" s="51"/>
      <c r="Q546" s="51"/>
      <c r="R546" s="51"/>
      <c r="S546" s="51"/>
    </row>
    <row r="547">
      <c r="A547" s="51"/>
      <c r="B547" s="51"/>
      <c r="C547" s="51"/>
      <c r="D547" s="51"/>
      <c r="E547" s="51"/>
      <c r="F547" s="51"/>
      <c r="G547" s="51"/>
      <c r="H547" s="51"/>
      <c r="I547" s="51"/>
      <c r="J547" s="51" t="str">
        <f>IFERROR(__xludf.DUMMYFUNCTION("""COMPUTED_VALUE"""),"")</f>
        <v/>
      </c>
      <c r="K547" s="51" t="str">
        <f>IFERROR(__xludf.DUMMYFUNCTION("""COMPUTED_VALUE"""),"")</f>
        <v/>
      </c>
      <c r="L547" s="51" t="s">
        <v>64</v>
      </c>
      <c r="M547" s="51" t="s">
        <v>64</v>
      </c>
      <c r="N547" s="51"/>
      <c r="O547" s="51"/>
      <c r="P547" s="51"/>
      <c r="Q547" s="51"/>
      <c r="R547" s="51"/>
      <c r="S547" s="51"/>
    </row>
    <row r="548">
      <c r="A548" s="51"/>
      <c r="B548" s="51"/>
      <c r="C548" s="51"/>
      <c r="D548" s="51"/>
      <c r="E548" s="51"/>
      <c r="F548" s="51"/>
      <c r="G548" s="51"/>
      <c r="H548" s="51"/>
      <c r="I548" s="51"/>
      <c r="J548" s="51" t="str">
        <f>IFERROR(__xludf.DUMMYFUNCTION("""COMPUTED_VALUE"""),"")</f>
        <v/>
      </c>
      <c r="K548" s="51" t="str">
        <f>IFERROR(__xludf.DUMMYFUNCTION("""COMPUTED_VALUE"""),"")</f>
        <v/>
      </c>
      <c r="L548" s="51" t="s">
        <v>64</v>
      </c>
      <c r="M548" s="51" t="s">
        <v>64</v>
      </c>
      <c r="N548" s="51"/>
      <c r="O548" s="51"/>
      <c r="P548" s="51"/>
      <c r="Q548" s="51"/>
      <c r="R548" s="51"/>
      <c r="S548" s="51"/>
    </row>
    <row r="549">
      <c r="A549" s="51"/>
      <c r="B549" s="51"/>
      <c r="C549" s="51"/>
      <c r="D549" s="51"/>
      <c r="E549" s="51"/>
      <c r="F549" s="51"/>
      <c r="G549" s="51"/>
      <c r="H549" s="51"/>
      <c r="I549" s="51"/>
      <c r="J549" s="51" t="str">
        <f>IFERROR(__xludf.DUMMYFUNCTION("""COMPUTED_VALUE"""),"")</f>
        <v/>
      </c>
      <c r="K549" s="51" t="str">
        <f>IFERROR(__xludf.DUMMYFUNCTION("""COMPUTED_VALUE"""),"")</f>
        <v/>
      </c>
      <c r="L549" s="51" t="s">
        <v>64</v>
      </c>
      <c r="M549" s="51" t="s">
        <v>64</v>
      </c>
      <c r="N549" s="51"/>
      <c r="O549" s="51"/>
      <c r="P549" s="51"/>
      <c r="Q549" s="51"/>
      <c r="R549" s="51"/>
      <c r="S549" s="51"/>
    </row>
    <row r="550">
      <c r="A550" s="51"/>
      <c r="B550" s="51"/>
      <c r="C550" s="51"/>
      <c r="D550" s="51"/>
      <c r="E550" s="51"/>
      <c r="F550" s="51"/>
      <c r="G550" s="51"/>
      <c r="H550" s="51"/>
      <c r="I550" s="51"/>
      <c r="J550" s="51" t="str">
        <f>IFERROR(__xludf.DUMMYFUNCTION("""COMPUTED_VALUE"""),"")</f>
        <v/>
      </c>
      <c r="K550" s="51" t="str">
        <f>IFERROR(__xludf.DUMMYFUNCTION("""COMPUTED_VALUE"""),"")</f>
        <v/>
      </c>
      <c r="L550" s="51" t="s">
        <v>64</v>
      </c>
      <c r="M550" s="51" t="s">
        <v>64</v>
      </c>
      <c r="N550" s="51"/>
      <c r="O550" s="51"/>
      <c r="P550" s="51"/>
      <c r="Q550" s="51"/>
      <c r="R550" s="51"/>
      <c r="S550" s="51"/>
    </row>
    <row r="551">
      <c r="A551" s="51"/>
      <c r="B551" s="51"/>
      <c r="C551" s="51"/>
      <c r="D551" s="51"/>
      <c r="E551" s="51"/>
      <c r="F551" s="51"/>
      <c r="G551" s="51"/>
      <c r="H551" s="51"/>
      <c r="I551" s="51"/>
      <c r="J551" s="51" t="str">
        <f>IFERROR(__xludf.DUMMYFUNCTION("""COMPUTED_VALUE"""),"")</f>
        <v/>
      </c>
      <c r="K551" s="51" t="str">
        <f>IFERROR(__xludf.DUMMYFUNCTION("""COMPUTED_VALUE"""),"")</f>
        <v/>
      </c>
      <c r="L551" s="51" t="s">
        <v>64</v>
      </c>
      <c r="M551" s="51" t="s">
        <v>64</v>
      </c>
      <c r="N551" s="51"/>
      <c r="O551" s="51"/>
      <c r="P551" s="51"/>
      <c r="Q551" s="51"/>
      <c r="R551" s="51"/>
      <c r="S551" s="51"/>
    </row>
    <row r="552">
      <c r="A552" s="51"/>
      <c r="B552" s="51"/>
      <c r="C552" s="51"/>
      <c r="D552" s="51"/>
      <c r="E552" s="51"/>
      <c r="F552" s="51"/>
      <c r="G552" s="51"/>
      <c r="H552" s="51"/>
      <c r="I552" s="51"/>
      <c r="J552" s="51" t="str">
        <f>IFERROR(__xludf.DUMMYFUNCTION("""COMPUTED_VALUE"""),"")</f>
        <v/>
      </c>
      <c r="K552" s="51" t="str">
        <f>IFERROR(__xludf.DUMMYFUNCTION("""COMPUTED_VALUE"""),"")</f>
        <v/>
      </c>
      <c r="L552" s="51" t="s">
        <v>64</v>
      </c>
      <c r="M552" s="51" t="s">
        <v>64</v>
      </c>
      <c r="N552" s="51"/>
      <c r="O552" s="51"/>
      <c r="P552" s="51"/>
      <c r="Q552" s="51"/>
      <c r="R552" s="51"/>
      <c r="S552" s="51"/>
    </row>
    <row r="553">
      <c r="A553" s="51"/>
      <c r="B553" s="51"/>
      <c r="C553" s="51"/>
      <c r="D553" s="51"/>
      <c r="E553" s="51"/>
      <c r="F553" s="51"/>
      <c r="G553" s="51"/>
      <c r="H553" s="51"/>
      <c r="I553" s="51"/>
      <c r="J553" s="51" t="str">
        <f>IFERROR(__xludf.DUMMYFUNCTION("""COMPUTED_VALUE"""),"")</f>
        <v/>
      </c>
      <c r="K553" s="51" t="str">
        <f>IFERROR(__xludf.DUMMYFUNCTION("""COMPUTED_VALUE"""),"")</f>
        <v/>
      </c>
      <c r="L553" s="51" t="s">
        <v>64</v>
      </c>
      <c r="M553" s="51" t="s">
        <v>64</v>
      </c>
      <c r="N553" s="51"/>
      <c r="O553" s="51"/>
      <c r="P553" s="51"/>
      <c r="Q553" s="51"/>
      <c r="R553" s="51"/>
      <c r="S553" s="51"/>
    </row>
    <row r="554">
      <c r="A554" s="51"/>
      <c r="B554" s="51"/>
      <c r="C554" s="51"/>
      <c r="D554" s="51"/>
      <c r="E554" s="51"/>
      <c r="F554" s="51"/>
      <c r="G554" s="51"/>
      <c r="H554" s="51"/>
      <c r="I554" s="51"/>
      <c r="J554" s="51" t="str">
        <f>IFERROR(__xludf.DUMMYFUNCTION("""COMPUTED_VALUE"""),"")</f>
        <v/>
      </c>
      <c r="K554" s="51" t="str">
        <f>IFERROR(__xludf.DUMMYFUNCTION("""COMPUTED_VALUE"""),"")</f>
        <v/>
      </c>
      <c r="L554" s="51" t="s">
        <v>64</v>
      </c>
      <c r="M554" s="51" t="s">
        <v>64</v>
      </c>
      <c r="N554" s="51"/>
      <c r="O554" s="51"/>
      <c r="P554" s="51"/>
      <c r="Q554" s="51"/>
      <c r="R554" s="51"/>
      <c r="S554" s="51"/>
    </row>
    <row r="555">
      <c r="A555" s="51"/>
      <c r="B555" s="51"/>
      <c r="C555" s="51"/>
      <c r="D555" s="51"/>
      <c r="E555" s="51"/>
      <c r="F555" s="51"/>
      <c r="G555" s="51"/>
      <c r="H555" s="51"/>
      <c r="I555" s="51"/>
      <c r="J555" s="51" t="str">
        <f>IFERROR(__xludf.DUMMYFUNCTION("""COMPUTED_VALUE"""),"")</f>
        <v/>
      </c>
      <c r="K555" s="51" t="str">
        <f>IFERROR(__xludf.DUMMYFUNCTION("""COMPUTED_VALUE"""),"")</f>
        <v/>
      </c>
      <c r="L555" s="51" t="s">
        <v>64</v>
      </c>
      <c r="M555" s="51" t="s">
        <v>64</v>
      </c>
      <c r="N555" s="51"/>
      <c r="O555" s="51"/>
      <c r="P555" s="51"/>
      <c r="Q555" s="51"/>
      <c r="R555" s="51"/>
      <c r="S555" s="51"/>
    </row>
    <row r="556">
      <c r="A556" s="51"/>
      <c r="B556" s="51"/>
      <c r="C556" s="51"/>
      <c r="D556" s="51"/>
      <c r="E556" s="51"/>
      <c r="F556" s="51"/>
      <c r="G556" s="51"/>
      <c r="H556" s="51"/>
      <c r="I556" s="51"/>
      <c r="J556" s="51" t="str">
        <f>IFERROR(__xludf.DUMMYFUNCTION("""COMPUTED_VALUE"""),"")</f>
        <v/>
      </c>
      <c r="K556" s="51" t="str">
        <f>IFERROR(__xludf.DUMMYFUNCTION("""COMPUTED_VALUE"""),"")</f>
        <v/>
      </c>
      <c r="L556" s="51" t="s">
        <v>64</v>
      </c>
      <c r="M556" s="51" t="s">
        <v>64</v>
      </c>
      <c r="N556" s="51"/>
      <c r="O556" s="51"/>
      <c r="P556" s="51"/>
      <c r="Q556" s="51"/>
      <c r="R556" s="51"/>
      <c r="S556" s="51"/>
    </row>
    <row r="557">
      <c r="A557" s="51"/>
      <c r="B557" s="51"/>
      <c r="C557" s="51"/>
      <c r="D557" s="51"/>
      <c r="E557" s="51"/>
      <c r="F557" s="51"/>
      <c r="G557" s="51"/>
      <c r="H557" s="51"/>
      <c r="I557" s="51"/>
      <c r="J557" s="51" t="str">
        <f>IFERROR(__xludf.DUMMYFUNCTION("""COMPUTED_VALUE"""),"")</f>
        <v/>
      </c>
      <c r="K557" s="51" t="str">
        <f>IFERROR(__xludf.DUMMYFUNCTION("""COMPUTED_VALUE"""),"")</f>
        <v/>
      </c>
      <c r="L557" s="51" t="s">
        <v>64</v>
      </c>
      <c r="M557" s="51" t="s">
        <v>64</v>
      </c>
      <c r="N557" s="51"/>
      <c r="O557" s="51"/>
      <c r="P557" s="51"/>
      <c r="Q557" s="51"/>
      <c r="R557" s="51"/>
      <c r="S557" s="51"/>
    </row>
    <row r="558">
      <c r="A558" s="51"/>
      <c r="B558" s="51"/>
      <c r="C558" s="51"/>
      <c r="D558" s="51"/>
      <c r="E558" s="51"/>
      <c r="F558" s="51"/>
      <c r="G558" s="51"/>
      <c r="H558" s="51"/>
      <c r="I558" s="51"/>
      <c r="J558" s="51" t="str">
        <f>IFERROR(__xludf.DUMMYFUNCTION("""COMPUTED_VALUE"""),"")</f>
        <v/>
      </c>
      <c r="K558" s="51" t="str">
        <f>IFERROR(__xludf.DUMMYFUNCTION("""COMPUTED_VALUE"""),"")</f>
        <v/>
      </c>
      <c r="L558" s="51" t="s">
        <v>64</v>
      </c>
      <c r="M558" s="51" t="s">
        <v>64</v>
      </c>
      <c r="N558" s="51"/>
      <c r="O558" s="51"/>
      <c r="P558" s="51"/>
      <c r="Q558" s="51"/>
      <c r="R558" s="51"/>
      <c r="S558" s="51"/>
    </row>
    <row r="559">
      <c r="A559" s="51"/>
      <c r="B559" s="51"/>
      <c r="C559" s="51"/>
      <c r="D559" s="51"/>
      <c r="E559" s="51"/>
      <c r="F559" s="51"/>
      <c r="G559" s="51"/>
      <c r="H559" s="51"/>
      <c r="I559" s="51"/>
      <c r="J559" s="51" t="str">
        <f>IFERROR(__xludf.DUMMYFUNCTION("""COMPUTED_VALUE"""),"")</f>
        <v/>
      </c>
      <c r="K559" s="51" t="str">
        <f>IFERROR(__xludf.DUMMYFUNCTION("""COMPUTED_VALUE"""),"")</f>
        <v/>
      </c>
      <c r="L559" s="51" t="s">
        <v>64</v>
      </c>
      <c r="M559" s="51" t="s">
        <v>64</v>
      </c>
      <c r="N559" s="51"/>
      <c r="O559" s="51"/>
      <c r="P559" s="51"/>
      <c r="Q559" s="51"/>
      <c r="R559" s="51"/>
      <c r="S559" s="51"/>
    </row>
    <row r="560">
      <c r="A560" s="51"/>
      <c r="B560" s="51"/>
      <c r="C560" s="51"/>
      <c r="D560" s="51"/>
      <c r="E560" s="51"/>
      <c r="F560" s="51"/>
      <c r="G560" s="51"/>
      <c r="H560" s="51"/>
      <c r="I560" s="51"/>
      <c r="J560" s="51" t="str">
        <f>IFERROR(__xludf.DUMMYFUNCTION("""COMPUTED_VALUE"""),"")</f>
        <v/>
      </c>
      <c r="K560" s="51" t="str">
        <f>IFERROR(__xludf.DUMMYFUNCTION("""COMPUTED_VALUE"""),"")</f>
        <v/>
      </c>
      <c r="L560" s="51" t="s">
        <v>64</v>
      </c>
      <c r="M560" s="51" t="s">
        <v>64</v>
      </c>
      <c r="N560" s="51"/>
      <c r="O560" s="51"/>
      <c r="P560" s="51"/>
      <c r="Q560" s="51"/>
      <c r="R560" s="51"/>
      <c r="S560" s="51"/>
    </row>
    <row r="561">
      <c r="A561" s="51"/>
      <c r="B561" s="51"/>
      <c r="C561" s="51"/>
      <c r="D561" s="51"/>
      <c r="E561" s="51"/>
      <c r="F561" s="51"/>
      <c r="G561" s="51"/>
      <c r="H561" s="51"/>
      <c r="I561" s="51"/>
      <c r="J561" s="51" t="str">
        <f>IFERROR(__xludf.DUMMYFUNCTION("""COMPUTED_VALUE"""),"")</f>
        <v/>
      </c>
      <c r="K561" s="51" t="str">
        <f>IFERROR(__xludf.DUMMYFUNCTION("""COMPUTED_VALUE"""),"")</f>
        <v/>
      </c>
      <c r="L561" s="51" t="s">
        <v>64</v>
      </c>
      <c r="M561" s="51" t="s">
        <v>64</v>
      </c>
      <c r="N561" s="51"/>
      <c r="O561" s="51"/>
      <c r="P561" s="51"/>
      <c r="Q561" s="51"/>
      <c r="R561" s="51"/>
      <c r="S561" s="51"/>
    </row>
    <row r="562">
      <c r="A562" s="51"/>
      <c r="B562" s="51"/>
      <c r="C562" s="51"/>
      <c r="D562" s="51"/>
      <c r="E562" s="51"/>
      <c r="F562" s="51"/>
      <c r="G562" s="51"/>
      <c r="H562" s="51"/>
      <c r="I562" s="51"/>
      <c r="J562" s="51" t="str">
        <f>IFERROR(__xludf.DUMMYFUNCTION("""COMPUTED_VALUE"""),"")</f>
        <v/>
      </c>
      <c r="K562" s="51" t="str">
        <f>IFERROR(__xludf.DUMMYFUNCTION("""COMPUTED_VALUE"""),"")</f>
        <v/>
      </c>
      <c r="L562" s="51" t="s">
        <v>64</v>
      </c>
      <c r="M562" s="51" t="s">
        <v>64</v>
      </c>
      <c r="N562" s="51"/>
      <c r="O562" s="51"/>
      <c r="P562" s="51"/>
      <c r="Q562" s="51"/>
      <c r="R562" s="51"/>
      <c r="S562" s="51"/>
    </row>
    <row r="563">
      <c r="A563" s="51"/>
      <c r="B563" s="51"/>
      <c r="C563" s="51"/>
      <c r="D563" s="51"/>
      <c r="E563" s="51"/>
      <c r="F563" s="51"/>
      <c r="G563" s="51"/>
      <c r="H563" s="51"/>
      <c r="I563" s="51"/>
      <c r="J563" s="51" t="str">
        <f>IFERROR(__xludf.DUMMYFUNCTION("""COMPUTED_VALUE"""),"")</f>
        <v/>
      </c>
      <c r="K563" s="51" t="str">
        <f>IFERROR(__xludf.DUMMYFUNCTION("""COMPUTED_VALUE"""),"")</f>
        <v/>
      </c>
      <c r="L563" s="51" t="s">
        <v>64</v>
      </c>
      <c r="M563" s="51" t="s">
        <v>64</v>
      </c>
      <c r="N563" s="51"/>
      <c r="O563" s="51"/>
      <c r="P563" s="51"/>
      <c r="Q563" s="51"/>
      <c r="R563" s="51"/>
      <c r="S563" s="51"/>
    </row>
    <row r="564">
      <c r="A564" s="51"/>
      <c r="B564" s="51"/>
      <c r="C564" s="51"/>
      <c r="D564" s="51"/>
      <c r="E564" s="51"/>
      <c r="F564" s="51"/>
      <c r="G564" s="51"/>
      <c r="H564" s="51"/>
      <c r="I564" s="51"/>
      <c r="J564" s="51" t="str">
        <f>IFERROR(__xludf.DUMMYFUNCTION("""COMPUTED_VALUE"""),"")</f>
        <v/>
      </c>
      <c r="K564" s="51" t="str">
        <f>IFERROR(__xludf.DUMMYFUNCTION("""COMPUTED_VALUE"""),"")</f>
        <v/>
      </c>
      <c r="L564" s="51" t="s">
        <v>64</v>
      </c>
      <c r="M564" s="51" t="s">
        <v>64</v>
      </c>
      <c r="N564" s="51"/>
      <c r="O564" s="51"/>
      <c r="P564" s="51"/>
      <c r="Q564" s="51"/>
      <c r="R564" s="51"/>
      <c r="S564" s="51"/>
    </row>
    <row r="565">
      <c r="A565" s="51"/>
      <c r="B565" s="51"/>
      <c r="C565" s="51"/>
      <c r="D565" s="51"/>
      <c r="E565" s="51"/>
      <c r="F565" s="51"/>
      <c r="G565" s="51"/>
      <c r="H565" s="51"/>
      <c r="I565" s="51"/>
      <c r="J565" s="51" t="str">
        <f>IFERROR(__xludf.DUMMYFUNCTION("""COMPUTED_VALUE"""),"")</f>
        <v/>
      </c>
      <c r="K565" s="51" t="str">
        <f>IFERROR(__xludf.DUMMYFUNCTION("""COMPUTED_VALUE"""),"")</f>
        <v/>
      </c>
      <c r="L565" s="51" t="s">
        <v>64</v>
      </c>
      <c r="M565" s="51" t="s">
        <v>64</v>
      </c>
      <c r="N565" s="51"/>
      <c r="O565" s="51"/>
      <c r="P565" s="51"/>
      <c r="Q565" s="51"/>
      <c r="R565" s="51"/>
      <c r="S565" s="51"/>
    </row>
    <row r="566">
      <c r="A566" s="51"/>
      <c r="B566" s="51"/>
      <c r="C566" s="51"/>
      <c r="D566" s="51"/>
      <c r="E566" s="51"/>
      <c r="F566" s="51"/>
      <c r="G566" s="51"/>
      <c r="H566" s="51"/>
      <c r="I566" s="51"/>
      <c r="J566" s="51" t="str">
        <f>IFERROR(__xludf.DUMMYFUNCTION("""COMPUTED_VALUE"""),"")</f>
        <v/>
      </c>
      <c r="K566" s="51" t="str">
        <f>IFERROR(__xludf.DUMMYFUNCTION("""COMPUTED_VALUE"""),"")</f>
        <v/>
      </c>
      <c r="L566" s="51" t="s">
        <v>64</v>
      </c>
      <c r="M566" s="51" t="s">
        <v>64</v>
      </c>
      <c r="N566" s="51"/>
      <c r="O566" s="51"/>
      <c r="P566" s="51"/>
      <c r="Q566" s="51"/>
      <c r="R566" s="51"/>
      <c r="S566" s="51"/>
    </row>
    <row r="567">
      <c r="A567" s="51"/>
      <c r="B567" s="51"/>
      <c r="C567" s="51"/>
      <c r="D567" s="51"/>
      <c r="E567" s="51"/>
      <c r="F567" s="51"/>
      <c r="G567" s="51"/>
      <c r="H567" s="51"/>
      <c r="I567" s="51"/>
      <c r="J567" s="51" t="str">
        <f>IFERROR(__xludf.DUMMYFUNCTION("""COMPUTED_VALUE"""),"")</f>
        <v/>
      </c>
      <c r="K567" s="51" t="str">
        <f>IFERROR(__xludf.DUMMYFUNCTION("""COMPUTED_VALUE"""),"")</f>
        <v/>
      </c>
      <c r="L567" s="51" t="s">
        <v>64</v>
      </c>
      <c r="M567" s="51" t="s">
        <v>64</v>
      </c>
      <c r="N567" s="51"/>
      <c r="O567" s="51"/>
      <c r="P567" s="51"/>
      <c r="Q567" s="51"/>
      <c r="R567" s="51"/>
      <c r="S567" s="51"/>
    </row>
    <row r="568">
      <c r="A568" s="51"/>
      <c r="B568" s="51"/>
      <c r="C568" s="51"/>
      <c r="D568" s="51"/>
      <c r="E568" s="51"/>
      <c r="F568" s="51"/>
      <c r="G568" s="51"/>
      <c r="H568" s="51"/>
      <c r="I568" s="51"/>
      <c r="J568" s="51" t="str">
        <f>IFERROR(__xludf.DUMMYFUNCTION("""COMPUTED_VALUE"""),"")</f>
        <v/>
      </c>
      <c r="K568" s="51" t="str">
        <f>IFERROR(__xludf.DUMMYFUNCTION("""COMPUTED_VALUE"""),"")</f>
        <v/>
      </c>
      <c r="L568" s="51" t="s">
        <v>64</v>
      </c>
      <c r="M568" s="51" t="s">
        <v>64</v>
      </c>
      <c r="N568" s="51"/>
      <c r="O568" s="51"/>
      <c r="P568" s="51"/>
      <c r="Q568" s="51"/>
      <c r="R568" s="51"/>
      <c r="S568" s="51"/>
    </row>
    <row r="569">
      <c r="A569" s="51"/>
      <c r="B569" s="51"/>
      <c r="C569" s="51"/>
      <c r="D569" s="51"/>
      <c r="E569" s="51"/>
      <c r="F569" s="51"/>
      <c r="G569" s="51"/>
      <c r="H569" s="51"/>
      <c r="I569" s="51"/>
      <c r="J569" s="51" t="str">
        <f>IFERROR(__xludf.DUMMYFUNCTION("""COMPUTED_VALUE"""),"")</f>
        <v/>
      </c>
      <c r="K569" s="51" t="str">
        <f>IFERROR(__xludf.DUMMYFUNCTION("""COMPUTED_VALUE"""),"")</f>
        <v/>
      </c>
      <c r="L569" s="51" t="s">
        <v>64</v>
      </c>
      <c r="M569" s="51" t="s">
        <v>64</v>
      </c>
      <c r="N569" s="51"/>
      <c r="O569" s="51"/>
      <c r="P569" s="51"/>
      <c r="Q569" s="51"/>
      <c r="R569" s="51"/>
      <c r="S569" s="51"/>
    </row>
    <row r="570">
      <c r="A570" s="51"/>
      <c r="B570" s="51"/>
      <c r="C570" s="51"/>
      <c r="D570" s="51"/>
      <c r="E570" s="51"/>
      <c r="F570" s="51"/>
      <c r="G570" s="51"/>
      <c r="H570" s="51"/>
      <c r="I570" s="51"/>
      <c r="J570" s="51" t="str">
        <f>IFERROR(__xludf.DUMMYFUNCTION("""COMPUTED_VALUE"""),"")</f>
        <v/>
      </c>
      <c r="K570" s="51" t="str">
        <f>IFERROR(__xludf.DUMMYFUNCTION("""COMPUTED_VALUE"""),"")</f>
        <v/>
      </c>
      <c r="L570" s="51" t="s">
        <v>64</v>
      </c>
      <c r="M570" s="51" t="s">
        <v>64</v>
      </c>
      <c r="N570" s="51"/>
      <c r="O570" s="51"/>
      <c r="P570" s="51"/>
      <c r="Q570" s="51"/>
      <c r="R570" s="51"/>
      <c r="S570" s="51"/>
    </row>
    <row r="571">
      <c r="A571" s="51"/>
      <c r="B571" s="51"/>
      <c r="C571" s="51"/>
      <c r="D571" s="51"/>
      <c r="E571" s="51"/>
      <c r="F571" s="51"/>
      <c r="G571" s="51"/>
      <c r="H571" s="51"/>
      <c r="I571" s="51"/>
      <c r="J571" s="51" t="str">
        <f>IFERROR(__xludf.DUMMYFUNCTION("""COMPUTED_VALUE"""),"")</f>
        <v/>
      </c>
      <c r="K571" s="51" t="str">
        <f>IFERROR(__xludf.DUMMYFUNCTION("""COMPUTED_VALUE"""),"")</f>
        <v/>
      </c>
      <c r="L571" s="51" t="s">
        <v>64</v>
      </c>
      <c r="M571" s="51" t="s">
        <v>64</v>
      </c>
      <c r="N571" s="51"/>
      <c r="O571" s="51"/>
      <c r="P571" s="51"/>
      <c r="Q571" s="51"/>
      <c r="R571" s="51"/>
      <c r="S571" s="51"/>
    </row>
    <row r="572">
      <c r="A572" s="51"/>
      <c r="B572" s="51"/>
      <c r="C572" s="51"/>
      <c r="D572" s="51"/>
      <c r="E572" s="51"/>
      <c r="F572" s="51"/>
      <c r="G572" s="51"/>
      <c r="H572" s="51"/>
      <c r="I572" s="51"/>
      <c r="J572" s="51" t="str">
        <f>IFERROR(__xludf.DUMMYFUNCTION("""COMPUTED_VALUE"""),"")</f>
        <v/>
      </c>
      <c r="K572" s="51" t="str">
        <f>IFERROR(__xludf.DUMMYFUNCTION("""COMPUTED_VALUE"""),"")</f>
        <v/>
      </c>
      <c r="L572" s="51" t="s">
        <v>64</v>
      </c>
      <c r="M572" s="51" t="s">
        <v>64</v>
      </c>
      <c r="N572" s="51"/>
      <c r="O572" s="51"/>
      <c r="P572" s="51"/>
      <c r="Q572" s="51"/>
      <c r="R572" s="51"/>
      <c r="S572" s="51"/>
    </row>
    <row r="573">
      <c r="A573" s="51"/>
      <c r="B573" s="51"/>
      <c r="C573" s="51"/>
      <c r="D573" s="51"/>
      <c r="E573" s="51"/>
      <c r="F573" s="51"/>
      <c r="G573" s="51"/>
      <c r="H573" s="51"/>
      <c r="I573" s="51"/>
      <c r="J573" s="51" t="str">
        <f>IFERROR(__xludf.DUMMYFUNCTION("""COMPUTED_VALUE"""),"")</f>
        <v/>
      </c>
      <c r="K573" s="51" t="str">
        <f>IFERROR(__xludf.DUMMYFUNCTION("""COMPUTED_VALUE"""),"")</f>
        <v/>
      </c>
      <c r="L573" s="51" t="s">
        <v>64</v>
      </c>
      <c r="M573" s="51" t="s">
        <v>64</v>
      </c>
      <c r="N573" s="51"/>
      <c r="O573" s="51"/>
      <c r="P573" s="51"/>
      <c r="Q573" s="51"/>
      <c r="R573" s="51"/>
      <c r="S573" s="51"/>
    </row>
    <row r="574">
      <c r="A574" s="51"/>
      <c r="B574" s="51"/>
      <c r="C574" s="51"/>
      <c r="D574" s="51"/>
      <c r="E574" s="51"/>
      <c r="F574" s="51"/>
      <c r="G574" s="51"/>
      <c r="H574" s="51"/>
      <c r="I574" s="51"/>
      <c r="J574" s="51" t="str">
        <f>IFERROR(__xludf.DUMMYFUNCTION("""COMPUTED_VALUE"""),"")</f>
        <v/>
      </c>
      <c r="K574" s="51" t="str">
        <f>IFERROR(__xludf.DUMMYFUNCTION("""COMPUTED_VALUE"""),"")</f>
        <v/>
      </c>
      <c r="L574" s="51" t="s">
        <v>64</v>
      </c>
      <c r="M574" s="51" t="s">
        <v>64</v>
      </c>
      <c r="N574" s="51"/>
      <c r="O574" s="51"/>
      <c r="P574" s="51"/>
      <c r="Q574" s="51"/>
      <c r="R574" s="51"/>
      <c r="S574" s="51"/>
    </row>
    <row r="575">
      <c r="A575" s="51"/>
      <c r="B575" s="51"/>
      <c r="C575" s="51"/>
      <c r="D575" s="51"/>
      <c r="E575" s="51"/>
      <c r="F575" s="51"/>
      <c r="G575" s="51"/>
      <c r="H575" s="51"/>
      <c r="I575" s="51"/>
      <c r="J575" s="51" t="str">
        <f>IFERROR(__xludf.DUMMYFUNCTION("""COMPUTED_VALUE"""),"")</f>
        <v/>
      </c>
      <c r="K575" s="51" t="str">
        <f>IFERROR(__xludf.DUMMYFUNCTION("""COMPUTED_VALUE"""),"")</f>
        <v/>
      </c>
      <c r="L575" s="51" t="s">
        <v>64</v>
      </c>
      <c r="M575" s="51" t="s">
        <v>64</v>
      </c>
      <c r="N575" s="51"/>
      <c r="O575" s="51"/>
      <c r="P575" s="51"/>
      <c r="Q575" s="51"/>
      <c r="R575" s="51"/>
      <c r="S575" s="51"/>
    </row>
    <row r="576">
      <c r="A576" s="51"/>
      <c r="B576" s="51"/>
      <c r="C576" s="51"/>
      <c r="D576" s="51"/>
      <c r="E576" s="51"/>
      <c r="F576" s="51"/>
      <c r="G576" s="51"/>
      <c r="H576" s="51"/>
      <c r="I576" s="51"/>
      <c r="J576" s="51" t="str">
        <f>IFERROR(__xludf.DUMMYFUNCTION("""COMPUTED_VALUE"""),"")</f>
        <v/>
      </c>
      <c r="K576" s="51" t="str">
        <f>IFERROR(__xludf.DUMMYFUNCTION("""COMPUTED_VALUE"""),"")</f>
        <v/>
      </c>
      <c r="L576" s="51" t="s">
        <v>64</v>
      </c>
      <c r="M576" s="51" t="s">
        <v>64</v>
      </c>
      <c r="N576" s="51"/>
      <c r="O576" s="51"/>
      <c r="P576" s="51"/>
      <c r="Q576" s="51"/>
      <c r="R576" s="51"/>
      <c r="S576" s="51"/>
    </row>
    <row r="577">
      <c r="A577" s="51"/>
      <c r="B577" s="51"/>
      <c r="C577" s="51"/>
      <c r="D577" s="51"/>
      <c r="E577" s="51"/>
      <c r="F577" s="51"/>
      <c r="G577" s="51"/>
      <c r="H577" s="51"/>
      <c r="I577" s="51"/>
      <c r="J577" s="51" t="str">
        <f>IFERROR(__xludf.DUMMYFUNCTION("""COMPUTED_VALUE"""),"")</f>
        <v/>
      </c>
      <c r="K577" s="51" t="str">
        <f>IFERROR(__xludf.DUMMYFUNCTION("""COMPUTED_VALUE"""),"")</f>
        <v/>
      </c>
      <c r="L577" s="51" t="s">
        <v>64</v>
      </c>
      <c r="M577" s="51" t="s">
        <v>64</v>
      </c>
      <c r="N577" s="51"/>
      <c r="O577" s="51"/>
      <c r="P577" s="51"/>
      <c r="Q577" s="51"/>
      <c r="R577" s="51"/>
      <c r="S577" s="51"/>
    </row>
    <row r="578">
      <c r="A578" s="51"/>
      <c r="B578" s="51"/>
      <c r="C578" s="51"/>
      <c r="D578" s="51"/>
      <c r="E578" s="51"/>
      <c r="F578" s="51"/>
      <c r="G578" s="51"/>
      <c r="H578" s="51"/>
      <c r="I578" s="51"/>
      <c r="J578" s="51" t="str">
        <f>IFERROR(__xludf.DUMMYFUNCTION("""COMPUTED_VALUE"""),"")</f>
        <v/>
      </c>
      <c r="K578" s="51" t="str">
        <f>IFERROR(__xludf.DUMMYFUNCTION("""COMPUTED_VALUE"""),"")</f>
        <v/>
      </c>
      <c r="L578" s="51" t="s">
        <v>64</v>
      </c>
      <c r="M578" s="51" t="s">
        <v>64</v>
      </c>
      <c r="N578" s="51"/>
      <c r="O578" s="51"/>
      <c r="P578" s="51"/>
      <c r="Q578" s="51"/>
      <c r="R578" s="51"/>
      <c r="S578" s="51"/>
    </row>
    <row r="579">
      <c r="A579" s="51"/>
      <c r="B579" s="51"/>
      <c r="C579" s="51"/>
      <c r="D579" s="51"/>
      <c r="E579" s="51"/>
      <c r="F579" s="51"/>
      <c r="G579" s="51"/>
      <c r="H579" s="51"/>
      <c r="I579" s="51"/>
      <c r="J579" s="51" t="str">
        <f>IFERROR(__xludf.DUMMYFUNCTION("""COMPUTED_VALUE"""),"")</f>
        <v/>
      </c>
      <c r="K579" s="51" t="str">
        <f>IFERROR(__xludf.DUMMYFUNCTION("""COMPUTED_VALUE"""),"")</f>
        <v/>
      </c>
      <c r="L579" s="51" t="s">
        <v>64</v>
      </c>
      <c r="M579" s="51" t="s">
        <v>64</v>
      </c>
      <c r="N579" s="51"/>
      <c r="O579" s="51"/>
      <c r="P579" s="51"/>
      <c r="Q579" s="51"/>
      <c r="R579" s="51"/>
      <c r="S579" s="51"/>
    </row>
    <row r="580">
      <c r="A580" s="51"/>
      <c r="B580" s="51"/>
      <c r="C580" s="51"/>
      <c r="D580" s="51"/>
      <c r="E580" s="51"/>
      <c r="F580" s="51"/>
      <c r="G580" s="51"/>
      <c r="H580" s="51"/>
      <c r="I580" s="51"/>
      <c r="J580" s="51" t="str">
        <f>IFERROR(__xludf.DUMMYFUNCTION("""COMPUTED_VALUE"""),"")</f>
        <v/>
      </c>
      <c r="K580" s="51" t="str">
        <f>IFERROR(__xludf.DUMMYFUNCTION("""COMPUTED_VALUE"""),"")</f>
        <v/>
      </c>
      <c r="L580" s="51" t="s">
        <v>64</v>
      </c>
      <c r="M580" s="51" t="s">
        <v>64</v>
      </c>
      <c r="N580" s="51"/>
      <c r="O580" s="51"/>
      <c r="P580" s="51"/>
      <c r="Q580" s="51"/>
      <c r="R580" s="51"/>
      <c r="S580" s="51"/>
    </row>
    <row r="581">
      <c r="A581" s="51"/>
      <c r="B581" s="51"/>
      <c r="C581" s="51"/>
      <c r="D581" s="51"/>
      <c r="E581" s="51"/>
      <c r="F581" s="51"/>
      <c r="G581" s="51"/>
      <c r="H581" s="51"/>
      <c r="I581" s="51"/>
      <c r="J581" s="51" t="str">
        <f>IFERROR(__xludf.DUMMYFUNCTION("""COMPUTED_VALUE"""),"")</f>
        <v/>
      </c>
      <c r="K581" s="51" t="str">
        <f>IFERROR(__xludf.DUMMYFUNCTION("""COMPUTED_VALUE"""),"")</f>
        <v/>
      </c>
      <c r="L581" s="51" t="s">
        <v>64</v>
      </c>
      <c r="M581" s="51" t="s">
        <v>64</v>
      </c>
      <c r="N581" s="51"/>
      <c r="O581" s="51"/>
      <c r="P581" s="51"/>
      <c r="Q581" s="51"/>
      <c r="R581" s="51"/>
      <c r="S581" s="51"/>
    </row>
    <row r="582">
      <c r="A582" s="51"/>
      <c r="B582" s="51"/>
      <c r="C582" s="51"/>
      <c r="D582" s="51"/>
      <c r="E582" s="51"/>
      <c r="F582" s="51"/>
      <c r="G582" s="51"/>
      <c r="H582" s="51"/>
      <c r="I582" s="51"/>
      <c r="J582" s="51" t="str">
        <f>IFERROR(__xludf.DUMMYFUNCTION("""COMPUTED_VALUE"""),"")</f>
        <v/>
      </c>
      <c r="K582" s="51" t="str">
        <f>IFERROR(__xludf.DUMMYFUNCTION("""COMPUTED_VALUE"""),"")</f>
        <v/>
      </c>
      <c r="L582" s="51" t="s">
        <v>64</v>
      </c>
      <c r="M582" s="51" t="s">
        <v>64</v>
      </c>
      <c r="N582" s="51"/>
      <c r="O582" s="51"/>
      <c r="P582" s="51"/>
      <c r="Q582" s="51"/>
      <c r="R582" s="51"/>
      <c r="S582" s="51"/>
    </row>
    <row r="583">
      <c r="A583" s="51"/>
      <c r="B583" s="51"/>
      <c r="C583" s="51"/>
      <c r="D583" s="51"/>
      <c r="E583" s="51"/>
      <c r="F583" s="51"/>
      <c r="G583" s="51"/>
      <c r="H583" s="51"/>
      <c r="I583" s="51"/>
      <c r="J583" s="51" t="str">
        <f>IFERROR(__xludf.DUMMYFUNCTION("""COMPUTED_VALUE"""),"")</f>
        <v/>
      </c>
      <c r="K583" s="51" t="str">
        <f>IFERROR(__xludf.DUMMYFUNCTION("""COMPUTED_VALUE"""),"")</f>
        <v/>
      </c>
      <c r="L583" s="51" t="s">
        <v>64</v>
      </c>
      <c r="M583" s="51" t="s">
        <v>64</v>
      </c>
      <c r="N583" s="51"/>
      <c r="O583" s="51"/>
      <c r="P583" s="51"/>
      <c r="Q583" s="51"/>
      <c r="R583" s="51"/>
      <c r="S583" s="51"/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 t="str">
        <f>IFERROR(__xludf.DUMMYFUNCTION("""COMPUTED_VALUE"""),"")</f>
        <v/>
      </c>
      <c r="K584" s="51" t="str">
        <f>IFERROR(__xludf.DUMMYFUNCTION("""COMPUTED_VALUE"""),"")</f>
        <v/>
      </c>
      <c r="L584" s="51" t="s">
        <v>64</v>
      </c>
      <c r="M584" s="51" t="s">
        <v>64</v>
      </c>
      <c r="N584" s="51"/>
      <c r="O584" s="51"/>
      <c r="P584" s="51"/>
      <c r="Q584" s="51"/>
      <c r="R584" s="51"/>
      <c r="S584" s="51"/>
    </row>
    <row r="585">
      <c r="A585" s="51"/>
      <c r="B585" s="51"/>
      <c r="C585" s="51"/>
      <c r="D585" s="51"/>
      <c r="E585" s="51"/>
      <c r="F585" s="51"/>
      <c r="G585" s="51"/>
      <c r="H585" s="51"/>
      <c r="I585" s="51"/>
      <c r="J585" s="51" t="str">
        <f>IFERROR(__xludf.DUMMYFUNCTION("""COMPUTED_VALUE"""),"")</f>
        <v/>
      </c>
      <c r="K585" s="51" t="str">
        <f>IFERROR(__xludf.DUMMYFUNCTION("""COMPUTED_VALUE"""),"")</f>
        <v/>
      </c>
      <c r="L585" s="51" t="s">
        <v>64</v>
      </c>
      <c r="M585" s="51" t="s">
        <v>64</v>
      </c>
      <c r="N585" s="51"/>
      <c r="O585" s="51"/>
      <c r="P585" s="51"/>
      <c r="Q585" s="51"/>
      <c r="R585" s="51"/>
      <c r="S585" s="51"/>
    </row>
    <row r="586">
      <c r="A586" s="51"/>
      <c r="B586" s="51"/>
      <c r="C586" s="51"/>
      <c r="D586" s="51"/>
      <c r="E586" s="51"/>
      <c r="F586" s="51"/>
      <c r="G586" s="51"/>
      <c r="H586" s="51"/>
      <c r="I586" s="51"/>
      <c r="J586" s="51" t="str">
        <f>IFERROR(__xludf.DUMMYFUNCTION("""COMPUTED_VALUE"""),"")</f>
        <v/>
      </c>
      <c r="K586" s="51" t="str">
        <f>IFERROR(__xludf.DUMMYFUNCTION("""COMPUTED_VALUE"""),"")</f>
        <v/>
      </c>
      <c r="L586" s="51" t="s">
        <v>64</v>
      </c>
      <c r="M586" s="51" t="s">
        <v>64</v>
      </c>
      <c r="N586" s="51"/>
      <c r="O586" s="51"/>
      <c r="P586" s="51"/>
      <c r="Q586" s="51"/>
      <c r="R586" s="51"/>
      <c r="S586" s="51"/>
    </row>
  </sheetData>
  <conditionalFormatting sqref="A2:B586">
    <cfRule type="expression" dxfId="5" priority="1">
      <formula>$H2:$H586=0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2" t="s">
        <v>0</v>
      </c>
      <c r="B1" s="2" t="s">
        <v>4</v>
      </c>
      <c r="C1" s="5">
        <v>0.25</v>
      </c>
      <c r="D1" s="5">
        <v>0.2708333333333333</v>
      </c>
      <c r="E1" s="5">
        <v>0.2916666666666667</v>
      </c>
      <c r="F1" s="5">
        <v>0.3125</v>
      </c>
      <c r="G1" s="5">
        <v>0.3333333333333333</v>
      </c>
      <c r="H1" s="5">
        <v>0.3541666666666667</v>
      </c>
      <c r="I1" s="5">
        <v>0.375</v>
      </c>
      <c r="J1" s="5">
        <v>0.3958333333333333</v>
      </c>
      <c r="K1" s="5">
        <v>0.4166666666666667</v>
      </c>
      <c r="L1" s="5">
        <v>0.4375</v>
      </c>
      <c r="M1" s="5">
        <v>0.4583333333333333</v>
      </c>
      <c r="N1" s="5">
        <v>0.4791666666666667</v>
      </c>
      <c r="O1" s="5">
        <v>0.5</v>
      </c>
      <c r="P1" s="5">
        <v>0.5208333333333334</v>
      </c>
      <c r="Q1" s="5">
        <v>0.5416666666666666</v>
      </c>
      <c r="R1" s="5">
        <v>0.5625</v>
      </c>
      <c r="S1" s="5">
        <v>0.5833333333333334</v>
      </c>
      <c r="T1" s="5">
        <v>0.6041666666666666</v>
      </c>
      <c r="U1" s="5">
        <v>0.625</v>
      </c>
      <c r="V1" s="5">
        <v>0.6458333333333334</v>
      </c>
      <c r="W1" s="5">
        <v>0.6666666666666666</v>
      </c>
      <c r="X1" s="5">
        <v>0.6875</v>
      </c>
      <c r="Y1" s="5">
        <v>0.7083333333333334</v>
      </c>
      <c r="Z1" s="5">
        <v>0.7291666666666666</v>
      </c>
      <c r="AA1" s="5">
        <v>0.75</v>
      </c>
      <c r="AB1" s="5">
        <v>0.7708333333333334</v>
      </c>
      <c r="AC1" s="5">
        <v>0.7916666666666666</v>
      </c>
      <c r="AD1" s="5">
        <v>0.8125</v>
      </c>
      <c r="AE1" s="5">
        <v>0.8333333333333334</v>
      </c>
      <c r="AF1" s="5">
        <v>0.8541666666666666</v>
      </c>
      <c r="AG1" s="5">
        <v>0.875</v>
      </c>
      <c r="AH1" s="5">
        <v>0.8958333333333334</v>
      </c>
      <c r="AI1" s="5">
        <v>0.9166666666666666</v>
      </c>
      <c r="AJ1" s="5">
        <v>0.9375</v>
      </c>
      <c r="AK1" s="5">
        <v>0.9583333333333334</v>
      </c>
      <c r="AL1" s="5">
        <v>0.9791666666666666</v>
      </c>
      <c r="AM1" s="5">
        <v>0.0</v>
      </c>
      <c r="AN1" s="5">
        <v>0.020833333333333332</v>
      </c>
      <c r="AO1" s="5">
        <v>0.041666666666666664</v>
      </c>
      <c r="AP1" s="5">
        <v>0.0625</v>
      </c>
      <c r="AQ1" s="5">
        <v>0.08333333333333333</v>
      </c>
      <c r="AR1" s="5">
        <v>0.10416666666666667</v>
      </c>
      <c r="AS1" s="20"/>
      <c r="AT1" s="20"/>
      <c r="AU1" s="20"/>
      <c r="AV1" s="20"/>
    </row>
    <row r="2">
      <c r="A2" s="23">
        <v>7.0</v>
      </c>
      <c r="B2" s="23" t="s">
        <v>36</v>
      </c>
      <c r="AB2" s="26" t="s">
        <v>37</v>
      </c>
    </row>
    <row r="3">
      <c r="A3" s="23">
        <v>8.0</v>
      </c>
      <c r="B3" s="23" t="s">
        <v>40</v>
      </c>
      <c r="AA3" s="26" t="s">
        <v>41</v>
      </c>
    </row>
  </sheetData>
  <mergeCells count="2">
    <mergeCell ref="AB2:AG2"/>
    <mergeCell ref="AA3:A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4" width="5.5"/>
  </cols>
  <sheetData>
    <row r="1">
      <c r="A1" s="2" t="s">
        <v>0</v>
      </c>
      <c r="B1" s="2" t="s">
        <v>4</v>
      </c>
      <c r="C1" s="5">
        <v>0.25</v>
      </c>
      <c r="D1" s="5">
        <v>0.2708333333333333</v>
      </c>
      <c r="E1" s="5">
        <v>0.2916666666666667</v>
      </c>
      <c r="F1" s="5">
        <v>0.3125</v>
      </c>
      <c r="G1" s="5">
        <v>0.3333333333333333</v>
      </c>
      <c r="H1" s="5">
        <v>0.3541666666666667</v>
      </c>
      <c r="I1" s="5">
        <v>0.375</v>
      </c>
      <c r="J1" s="5">
        <v>0.3958333333333333</v>
      </c>
      <c r="K1" s="5">
        <v>0.4166666666666667</v>
      </c>
      <c r="L1" s="5">
        <v>0.4375</v>
      </c>
      <c r="M1" s="5">
        <v>0.4583333333333333</v>
      </c>
      <c r="N1" s="5">
        <v>0.4791666666666667</v>
      </c>
      <c r="O1" s="5">
        <v>0.5</v>
      </c>
      <c r="P1" s="5">
        <v>0.5208333333333334</v>
      </c>
      <c r="Q1" s="5">
        <v>0.5416666666666666</v>
      </c>
      <c r="R1" s="5">
        <v>0.5625</v>
      </c>
      <c r="S1" s="5">
        <v>0.5833333333333334</v>
      </c>
      <c r="T1" s="5">
        <v>0.6041666666666666</v>
      </c>
      <c r="U1" s="5">
        <v>0.625</v>
      </c>
      <c r="V1" s="5">
        <v>0.6458333333333334</v>
      </c>
      <c r="W1" s="5">
        <v>0.6666666666666666</v>
      </c>
      <c r="X1" s="5">
        <v>0.6875</v>
      </c>
      <c r="Y1" s="5">
        <v>0.7083333333333334</v>
      </c>
      <c r="Z1" s="5">
        <v>0.7291666666666666</v>
      </c>
      <c r="AA1" s="5">
        <v>0.75</v>
      </c>
      <c r="AB1" s="5">
        <v>0.7708333333333334</v>
      </c>
      <c r="AC1" s="5">
        <v>0.7916666666666666</v>
      </c>
      <c r="AD1" s="5">
        <v>0.8125</v>
      </c>
      <c r="AE1" s="5">
        <v>0.8333333333333334</v>
      </c>
      <c r="AF1" s="5">
        <v>0.8541666666666666</v>
      </c>
      <c r="AG1" s="5">
        <v>0.875</v>
      </c>
      <c r="AH1" s="5">
        <v>0.8958333333333334</v>
      </c>
      <c r="AI1" s="5">
        <v>0.9166666666666666</v>
      </c>
      <c r="AJ1" s="5">
        <v>0.9375</v>
      </c>
      <c r="AK1" s="5">
        <v>0.9583333333333334</v>
      </c>
      <c r="AL1" s="5">
        <v>0.9791666666666666</v>
      </c>
      <c r="AM1" s="5">
        <v>0.0</v>
      </c>
      <c r="AN1" s="5">
        <v>0.020833333333333332</v>
      </c>
      <c r="AO1" s="5">
        <v>0.041666666666666664</v>
      </c>
      <c r="AP1" s="5">
        <v>0.0625</v>
      </c>
      <c r="AQ1" s="5">
        <v>0.08333333333333333</v>
      </c>
      <c r="AR1" s="5">
        <v>0.10416666666666667</v>
      </c>
    </row>
    <row r="2">
      <c r="A2" s="23">
        <v>8.0</v>
      </c>
      <c r="B2" s="23" t="s">
        <v>40</v>
      </c>
      <c r="AA2" s="26" t="s">
        <v>66</v>
      </c>
    </row>
  </sheetData>
  <mergeCells count="1">
    <mergeCell ref="AA2:A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2" t="s">
        <v>0</v>
      </c>
      <c r="B1" s="2" t="s">
        <v>4</v>
      </c>
      <c r="C1" s="5">
        <v>0.25</v>
      </c>
      <c r="D1" s="5">
        <v>0.2708333333333333</v>
      </c>
      <c r="E1" s="5">
        <v>0.2916666666666667</v>
      </c>
      <c r="F1" s="5">
        <v>0.3125</v>
      </c>
      <c r="G1" s="5">
        <v>0.3333333333333333</v>
      </c>
      <c r="H1" s="5">
        <v>0.3541666666666667</v>
      </c>
      <c r="I1" s="5">
        <v>0.375</v>
      </c>
      <c r="J1" s="5">
        <v>0.3958333333333333</v>
      </c>
      <c r="K1" s="5">
        <v>0.4166666666666667</v>
      </c>
      <c r="L1" s="5">
        <v>0.4375</v>
      </c>
      <c r="M1" s="5">
        <v>0.4583333333333333</v>
      </c>
      <c r="N1" s="5">
        <v>0.4791666666666667</v>
      </c>
      <c r="O1" s="5">
        <v>0.5</v>
      </c>
      <c r="P1" s="5">
        <v>0.5208333333333334</v>
      </c>
      <c r="Q1" s="5">
        <v>0.5416666666666666</v>
      </c>
      <c r="R1" s="5">
        <v>0.5625</v>
      </c>
      <c r="S1" s="5">
        <v>0.5833333333333334</v>
      </c>
      <c r="T1" s="5">
        <v>0.6041666666666666</v>
      </c>
      <c r="U1" s="5">
        <v>0.625</v>
      </c>
      <c r="V1" s="5">
        <v>0.6458333333333334</v>
      </c>
      <c r="W1" s="5">
        <v>0.6666666666666666</v>
      </c>
      <c r="X1" s="5">
        <v>0.6875</v>
      </c>
      <c r="Y1" s="5">
        <v>0.7083333333333334</v>
      </c>
      <c r="Z1" s="5">
        <v>0.7291666666666666</v>
      </c>
      <c r="AA1" s="5">
        <v>0.75</v>
      </c>
      <c r="AB1" s="5">
        <v>0.7708333333333334</v>
      </c>
      <c r="AC1" s="5">
        <v>0.7916666666666666</v>
      </c>
      <c r="AD1" s="5">
        <v>0.8125</v>
      </c>
      <c r="AE1" s="5">
        <v>0.8333333333333334</v>
      </c>
      <c r="AF1" s="5">
        <v>0.8541666666666666</v>
      </c>
      <c r="AG1" s="5">
        <v>0.875</v>
      </c>
      <c r="AH1" s="5">
        <v>0.8958333333333334</v>
      </c>
      <c r="AI1" s="5">
        <v>0.9166666666666666</v>
      </c>
      <c r="AJ1" s="5">
        <v>0.9375</v>
      </c>
      <c r="AK1" s="5">
        <v>0.9583333333333334</v>
      </c>
      <c r="AL1" s="5">
        <v>0.9791666666666666</v>
      </c>
      <c r="AM1" s="5">
        <v>0.0</v>
      </c>
      <c r="AN1" s="5">
        <v>0.020833333333333332</v>
      </c>
      <c r="AO1" s="5">
        <v>0.041666666666666664</v>
      </c>
      <c r="AP1" s="5">
        <v>0.0625</v>
      </c>
      <c r="AQ1" s="5">
        <v>0.08333333333333333</v>
      </c>
      <c r="AR1" s="5">
        <v>0.10416666666666667</v>
      </c>
      <c r="AS1" s="20"/>
      <c r="AT1" s="20"/>
      <c r="AU1" s="20"/>
      <c r="AV1" s="20"/>
    </row>
    <row r="2">
      <c r="A2" s="23">
        <v>3.0</v>
      </c>
      <c r="B2" s="23" t="s">
        <v>76</v>
      </c>
      <c r="AB2" s="86" t="s">
        <v>77</v>
      </c>
    </row>
  </sheetData>
  <mergeCells count="1">
    <mergeCell ref="AB2:A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4" width="5.5"/>
    <col customWidth="1" min="25" max="25" width="8.13"/>
    <col customWidth="1" min="26" max="36" width="7.38"/>
    <col customWidth="1" min="37" max="44" width="5.5"/>
  </cols>
  <sheetData>
    <row r="1">
      <c r="A1" s="2" t="s">
        <v>0</v>
      </c>
      <c r="B1" s="2" t="s">
        <v>4</v>
      </c>
      <c r="C1" s="5">
        <v>0.25</v>
      </c>
      <c r="D1" s="5">
        <v>0.2708333333333333</v>
      </c>
      <c r="E1" s="5">
        <v>0.2916666666666667</v>
      </c>
      <c r="F1" s="5">
        <v>0.3125</v>
      </c>
      <c r="G1" s="5">
        <v>0.3333333333333333</v>
      </c>
      <c r="H1" s="5">
        <v>0.3541666666666667</v>
      </c>
      <c r="I1" s="5">
        <v>0.375</v>
      </c>
      <c r="J1" s="5">
        <v>0.3958333333333333</v>
      </c>
      <c r="K1" s="5">
        <v>0.4166666666666667</v>
      </c>
      <c r="L1" s="5">
        <v>0.4375</v>
      </c>
      <c r="M1" s="5">
        <v>0.4583333333333333</v>
      </c>
      <c r="N1" s="5">
        <v>0.4791666666666667</v>
      </c>
      <c r="O1" s="5">
        <v>0.5</v>
      </c>
      <c r="P1" s="5">
        <v>0.5208333333333334</v>
      </c>
      <c r="Q1" s="5">
        <v>0.5416666666666666</v>
      </c>
      <c r="R1" s="5">
        <v>0.5625</v>
      </c>
      <c r="S1" s="5">
        <v>0.5833333333333334</v>
      </c>
      <c r="T1" s="5">
        <v>0.6041666666666666</v>
      </c>
      <c r="U1" s="5">
        <v>0.625</v>
      </c>
      <c r="V1" s="5">
        <v>0.6458333333333334</v>
      </c>
      <c r="W1" s="5">
        <v>0.6666666666666666</v>
      </c>
      <c r="X1" s="5">
        <v>0.6875</v>
      </c>
      <c r="Y1" s="5">
        <v>0.7083333333333334</v>
      </c>
      <c r="Z1" s="5">
        <v>0.7291666666666666</v>
      </c>
      <c r="AA1" s="5">
        <v>0.75</v>
      </c>
      <c r="AB1" s="5">
        <v>0.7708333333333334</v>
      </c>
      <c r="AC1" s="5">
        <v>0.7916666666666666</v>
      </c>
      <c r="AD1" s="5">
        <v>0.8125</v>
      </c>
      <c r="AE1" s="5">
        <v>0.8333333333333334</v>
      </c>
      <c r="AF1" s="5">
        <v>0.8541666666666666</v>
      </c>
      <c r="AG1" s="5">
        <v>0.875</v>
      </c>
      <c r="AH1" s="5">
        <v>0.8958333333333334</v>
      </c>
      <c r="AI1" s="5">
        <v>0.9166666666666666</v>
      </c>
      <c r="AJ1" s="5">
        <v>0.9375</v>
      </c>
      <c r="AK1" s="5">
        <v>0.9583333333333334</v>
      </c>
      <c r="AL1" s="5">
        <v>0.9791666666666666</v>
      </c>
      <c r="AM1" s="5">
        <v>0.0</v>
      </c>
      <c r="AN1" s="5">
        <v>0.020833333333333332</v>
      </c>
      <c r="AO1" s="5">
        <v>0.041666666666666664</v>
      </c>
      <c r="AP1" s="5">
        <v>0.0625</v>
      </c>
      <c r="AQ1" s="5">
        <v>0.08333333333333333</v>
      </c>
      <c r="AR1" s="5">
        <v>0.10416666666666667</v>
      </c>
    </row>
    <row r="2">
      <c r="A2" s="23">
        <v>1.0</v>
      </c>
      <c r="B2" s="23" t="s">
        <v>82</v>
      </c>
      <c r="M2" s="86" t="s">
        <v>83</v>
      </c>
      <c r="T2" s="26" t="s">
        <v>84</v>
      </c>
      <c r="AB2" s="86" t="s">
        <v>85</v>
      </c>
    </row>
    <row r="3">
      <c r="A3" s="23">
        <v>1.0</v>
      </c>
      <c r="B3" s="23" t="s">
        <v>86</v>
      </c>
      <c r="M3" s="91" t="s">
        <v>87</v>
      </c>
      <c r="N3" s="92"/>
      <c r="O3" s="92"/>
      <c r="P3" s="92"/>
      <c r="Q3" s="92"/>
      <c r="R3" s="93"/>
      <c r="U3" s="86" t="s">
        <v>89</v>
      </c>
    </row>
    <row r="4">
      <c r="A4" s="23">
        <v>1.0</v>
      </c>
      <c r="B4" s="23" t="s">
        <v>90</v>
      </c>
      <c r="AB4" s="86" t="s">
        <v>91</v>
      </c>
    </row>
    <row r="5">
      <c r="A5" s="23">
        <v>2.0</v>
      </c>
      <c r="B5" s="23" t="s">
        <v>92</v>
      </c>
      <c r="M5" s="86" t="s">
        <v>93</v>
      </c>
      <c r="AD5" s="94" t="s">
        <v>94</v>
      </c>
    </row>
    <row r="6">
      <c r="A6" s="23">
        <v>3.0</v>
      </c>
      <c r="B6" s="23" t="s">
        <v>76</v>
      </c>
      <c r="M6" s="26" t="s">
        <v>95</v>
      </c>
    </row>
    <row r="7">
      <c r="A7" s="23">
        <v>4.0</v>
      </c>
      <c r="B7" s="23" t="s">
        <v>96</v>
      </c>
      <c r="U7" s="26" t="s">
        <v>97</v>
      </c>
    </row>
    <row r="8">
      <c r="A8" s="23">
        <v>8.0</v>
      </c>
      <c r="B8" s="23" t="s">
        <v>40</v>
      </c>
      <c r="M8" s="26" t="s">
        <v>98</v>
      </c>
    </row>
    <row r="9">
      <c r="A9" s="23">
        <v>9.0</v>
      </c>
      <c r="B9" s="23" t="s">
        <v>99</v>
      </c>
      <c r="M9" s="26" t="s">
        <v>100</v>
      </c>
      <c r="T9" s="96" t="s">
        <v>101</v>
      </c>
    </row>
  </sheetData>
  <mergeCells count="13">
    <mergeCell ref="M5:R5"/>
    <mergeCell ref="M6:R6"/>
    <mergeCell ref="U7:Z7"/>
    <mergeCell ref="M8:R8"/>
    <mergeCell ref="M9:R9"/>
    <mergeCell ref="T9:Y9"/>
    <mergeCell ref="M2:R2"/>
    <mergeCell ref="T2:Y2"/>
    <mergeCell ref="AB2:AG2"/>
    <mergeCell ref="M3:R3"/>
    <mergeCell ref="U3:Z3"/>
    <mergeCell ref="AB4:AG4"/>
    <mergeCell ref="AD5:AI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min="12" max="12" width="9.25"/>
    <col customWidth="1" min="13" max="24" width="5.5"/>
    <col customWidth="1" min="25" max="25" width="8.13"/>
    <col customWidth="1" min="26" max="34" width="7.38"/>
    <col customWidth="1" hidden="1" min="35" max="36" width="7.38"/>
    <col customWidth="1" hidden="1" min="37" max="44" width="5.5"/>
  </cols>
  <sheetData>
    <row r="1">
      <c r="A1" s="23" t="s">
        <v>0</v>
      </c>
      <c r="B1" s="23" t="s">
        <v>4</v>
      </c>
      <c r="C1" s="102">
        <v>0.25</v>
      </c>
      <c r="D1" s="102">
        <v>0.2708333333333333</v>
      </c>
      <c r="E1" s="102">
        <v>0.2916666666666667</v>
      </c>
      <c r="F1" s="102">
        <v>0.3125</v>
      </c>
      <c r="G1" s="102">
        <v>0.3333333333333333</v>
      </c>
      <c r="H1" s="102">
        <v>0.3541666666666667</v>
      </c>
      <c r="I1" s="102">
        <v>0.375</v>
      </c>
      <c r="J1" s="102">
        <v>0.3958333333333333</v>
      </c>
      <c r="K1" s="102">
        <v>0.4166666666666667</v>
      </c>
      <c r="L1" s="102">
        <v>0.4375</v>
      </c>
      <c r="M1" s="102">
        <v>0.4583333333333333</v>
      </c>
      <c r="N1" s="102">
        <v>0.4791666666666667</v>
      </c>
      <c r="O1" s="102">
        <v>0.5</v>
      </c>
      <c r="P1" s="102">
        <v>0.5208333333333334</v>
      </c>
      <c r="Q1" s="102">
        <v>0.5416666666666666</v>
      </c>
      <c r="R1" s="102">
        <v>0.5625</v>
      </c>
      <c r="S1" s="102">
        <v>0.5833333333333334</v>
      </c>
      <c r="T1" s="102">
        <v>0.6041666666666666</v>
      </c>
      <c r="U1" s="102">
        <v>0.625</v>
      </c>
      <c r="V1" s="102">
        <v>0.6458333333333334</v>
      </c>
      <c r="W1" s="102">
        <v>0.6666666666666666</v>
      </c>
      <c r="X1" s="102">
        <v>0.6875</v>
      </c>
      <c r="Y1" s="102">
        <v>0.7083333333333334</v>
      </c>
      <c r="Z1" s="102">
        <v>0.7291666666666666</v>
      </c>
      <c r="AA1" s="102">
        <v>0.75</v>
      </c>
      <c r="AB1" s="102">
        <v>0.7708333333333334</v>
      </c>
      <c r="AC1" s="102">
        <v>0.7916666666666666</v>
      </c>
      <c r="AD1" s="102">
        <v>0.8125</v>
      </c>
      <c r="AE1" s="102">
        <v>0.8333333333333334</v>
      </c>
      <c r="AF1" s="102">
        <v>0.8541666666666666</v>
      </c>
      <c r="AG1" s="102">
        <v>0.875</v>
      </c>
      <c r="AH1" s="102">
        <v>0.8958333333333334</v>
      </c>
      <c r="AI1" s="102">
        <v>0.9166666666666666</v>
      </c>
      <c r="AJ1" s="102">
        <v>0.9375</v>
      </c>
      <c r="AK1" s="102">
        <v>0.9583333333333334</v>
      </c>
      <c r="AL1" s="102">
        <v>0.9791666666666666</v>
      </c>
      <c r="AM1" s="102">
        <v>0.0</v>
      </c>
      <c r="AN1" s="102">
        <v>0.020833333333333332</v>
      </c>
      <c r="AO1" s="102">
        <v>0.041666666666666664</v>
      </c>
      <c r="AP1" s="102">
        <v>0.0625</v>
      </c>
      <c r="AQ1" s="102">
        <v>0.08333333333333333</v>
      </c>
      <c r="AR1" s="102">
        <v>0.10416666666666667</v>
      </c>
    </row>
    <row r="2">
      <c r="A2" s="23">
        <v>1.0</v>
      </c>
      <c r="B2" s="23" t="s">
        <v>82</v>
      </c>
      <c r="M2" s="86" t="s">
        <v>106</v>
      </c>
      <c r="U2" s="26" t="s">
        <v>107</v>
      </c>
      <c r="AC2" s="86" t="s">
        <v>108</v>
      </c>
    </row>
    <row r="3">
      <c r="A3" s="23">
        <v>2.0</v>
      </c>
      <c r="B3" s="23" t="s">
        <v>92</v>
      </c>
      <c r="S3" s="26" t="s">
        <v>110</v>
      </c>
    </row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</sheetData>
  <mergeCells count="4">
    <mergeCell ref="M2:R2"/>
    <mergeCell ref="U2:Z2"/>
    <mergeCell ref="AC2:AH2"/>
    <mergeCell ref="S3:X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3">
      <c r="B3" s="23" t="str">
        <f>IFERROR(__xludf.DUMMYFUNCTION("IMPORTHTML(""https://www.espn.com/college-football/fpi"",""table"",A1)"),"")</f>
        <v/>
      </c>
      <c r="C3" t="str">
        <f>IFERROR(__xludf.DUMMYFUNCTION("""COMPUTED_VALUE"""),"POWER INDEX")</f>
        <v>POWER INDEX</v>
      </c>
      <c r="F3" t="str">
        <f>IFERROR(__xludf.DUMMYFUNCTION("""COMPUTED_VALUE"""),"PROJECTIONS")</f>
        <v>PROJECTIONS</v>
      </c>
      <c r="N3" s="23" t="str">
        <f>IFERROR(__xludf.DUMMYFUNCTION("IMPORTHTML(""https://www.espn.com/college-football/fpi"",""table"",1)"),"")</f>
        <v/>
      </c>
    </row>
    <row r="4">
      <c r="B4" s="103" t="str">
        <f>IFERROR(__xludf.DUMMYFUNCTION("""COMPUTED_VALUE"""),"W-L")</f>
        <v>W-L</v>
      </c>
      <c r="C4" s="103" t="str">
        <f>IFERROR(__xludf.DUMMYFUNCTION("""COMPUTED_VALUE"""),"FPI")</f>
        <v>FPI</v>
      </c>
      <c r="D4" s="103" t="str">
        <f>IFERROR(__xludf.DUMMYFUNCTION("""COMPUTED_VALUE"""),"RK")</f>
        <v>RK</v>
      </c>
      <c r="E4" s="103" t="str">
        <f>IFERROR(__xludf.DUMMYFUNCTION("""COMPUTED_VALUE"""),"TREND")</f>
        <v>TREND</v>
      </c>
      <c r="F4" s="103" t="str">
        <f>IFERROR(__xludf.DUMMYFUNCTION("""COMPUTED_VALUE"""),"PROJ W-L")</f>
        <v>PROJ W-L</v>
      </c>
      <c r="G4" s="103" t="str">
        <f>IFERROR(__xludf.DUMMYFUNCTION("""COMPUTED_VALUE"""),"WIN OUT%")</f>
        <v>WIN OUT%</v>
      </c>
      <c r="H4" s="103" t="str">
        <f>IFERROR(__xludf.DUMMYFUNCTION("""COMPUTED_VALUE"""),"6WINS%")</f>
        <v>6WINS%</v>
      </c>
      <c r="I4" s="103" t="str">
        <f>IFERROR(__xludf.DUMMYFUNCTION("""COMPUTED_VALUE"""),"WIN DIV%")</f>
        <v>WIN DIV%</v>
      </c>
      <c r="J4" s="103" t="str">
        <f>IFERROR(__xludf.DUMMYFUNCTION("""COMPUTED_VALUE"""),"WIN CONF%")</f>
        <v>WIN CONF%</v>
      </c>
      <c r="K4" s="103" t="str">
        <f>IFERROR(__xludf.DUMMYFUNCTION("""COMPUTED_VALUE"""),"PLAYOFF%")</f>
        <v>PLAYOFF%</v>
      </c>
      <c r="L4" s="103" t="str">
        <f>IFERROR(__xludf.DUMMYFUNCTION("""COMPUTED_VALUE"""),"MAKE NC%")</f>
        <v>MAKE NC%</v>
      </c>
      <c r="M4" s="103" t="str">
        <f>IFERROR(__xludf.DUMMYFUNCTION("""COMPUTED_VALUE"""),"WIN NC%")</f>
        <v>WIN NC%</v>
      </c>
      <c r="N4" s="103" t="str">
        <f>IFERROR(__xludf.DUMMYFUNCTION("""COMPUTED_VALUE"""),"Team")</f>
        <v>Team</v>
      </c>
      <c r="O4" s="103" t="str">
        <f>IFERROR(__xludf.DUMMYFUNCTION("""COMPUTED_VALUE"""),"CONF")</f>
        <v>CONF</v>
      </c>
      <c r="P4" s="23" t="s">
        <v>115</v>
      </c>
      <c r="Q4" s="23"/>
    </row>
    <row r="5">
      <c r="B5" s="103" t="str">
        <f>IFERROR(__xludf.DUMMYFUNCTION("""COMPUTED_VALUE"""),"0-0")</f>
        <v>0-0</v>
      </c>
      <c r="C5" s="104">
        <f>IFERROR(__xludf.DUMMYFUNCTION("""COMPUTED_VALUE"""),28.7)</f>
        <v>28.7</v>
      </c>
      <c r="D5" s="104">
        <f>IFERROR(__xludf.DUMMYFUNCTION("""COMPUTED_VALUE"""),1.0)</f>
        <v>1</v>
      </c>
      <c r="E5" s="104" t="str">
        <f>IFERROR(__xludf.DUMMYFUNCTION("""COMPUTED_VALUE"""),"--")</f>
        <v>--</v>
      </c>
      <c r="F5" s="103" t="str">
        <f>IFERROR(__xludf.DUMMYFUNCTION("""COMPUTED_VALUE"""),"10.2-2.4")</f>
        <v>10.2-2.4</v>
      </c>
      <c r="G5" s="104">
        <f>IFERROR(__xludf.DUMMYFUNCTION("""COMPUTED_VALUE"""),9.2)</f>
        <v>9.2</v>
      </c>
      <c r="H5" s="104">
        <f>IFERROR(__xludf.DUMMYFUNCTION("""COMPUTED_VALUE"""),99.4)</f>
        <v>99.4</v>
      </c>
      <c r="I5" s="104">
        <f>IFERROR(__xludf.DUMMYFUNCTION("""COMPUTED_VALUE"""),0.0)</f>
        <v>0</v>
      </c>
      <c r="J5" s="104">
        <f>IFERROR(__xludf.DUMMYFUNCTION("""COMPUTED_VALUE"""),38.8)</f>
        <v>38.8</v>
      </c>
      <c r="K5" s="104">
        <f>IFERROR(__xludf.DUMMYFUNCTION("""COMPUTED_VALUE"""),75.7)</f>
        <v>75.7</v>
      </c>
      <c r="L5" s="104">
        <f>IFERROR(__xludf.DUMMYFUNCTION("""COMPUTED_VALUE"""),28.0)</f>
        <v>28</v>
      </c>
      <c r="M5" s="104">
        <f>IFERROR(__xludf.DUMMYFUNCTION("""COMPUTED_VALUE"""),17.0)</f>
        <v>17</v>
      </c>
      <c r="N5" s="103" t="str">
        <f>IFERROR(__xludf.DUMMYFUNCTION("""COMPUTED_VALUE"""),"Ohio State Buckeyes")</f>
        <v>Ohio State Buckeyes</v>
      </c>
      <c r="O5" s="105" t="str">
        <f>IFERROR(__xludf.DUMMYFUNCTION("""COMPUTED_VALUE"""),"Big Ten")</f>
        <v>Big Ten</v>
      </c>
      <c r="P5" s="106">
        <f>IFERROR(__xludf.DUMMYFUNCTION("if(F5="""","""",indeX(split(F5,""-""),1)-J5/100)"),9.812)</f>
        <v>9.812</v>
      </c>
      <c r="Q5" s="106"/>
    </row>
    <row r="6">
      <c r="B6" s="103" t="str">
        <f>IFERROR(__xludf.DUMMYFUNCTION("""COMPUTED_VALUE"""),"0-0")</f>
        <v>0-0</v>
      </c>
      <c r="C6" s="104">
        <f>IFERROR(__xludf.DUMMYFUNCTION("""COMPUTED_VALUE"""),26.9)</f>
        <v>26.9</v>
      </c>
      <c r="D6" s="104">
        <f>IFERROR(__xludf.DUMMYFUNCTION("""COMPUTED_VALUE"""),2.0)</f>
        <v>2</v>
      </c>
      <c r="E6" s="104" t="str">
        <f>IFERROR(__xludf.DUMMYFUNCTION("""COMPUTED_VALUE"""),"--")</f>
        <v>--</v>
      </c>
      <c r="F6" s="103" t="str">
        <f>IFERROR(__xludf.DUMMYFUNCTION("""COMPUTED_VALUE"""),"9.8-2.7")</f>
        <v>9.8-2.7</v>
      </c>
      <c r="G6" s="104">
        <f>IFERROR(__xludf.DUMMYFUNCTION("""COMPUTED_VALUE"""),6.8)</f>
        <v>6.8</v>
      </c>
      <c r="H6" s="104">
        <f>IFERROR(__xludf.DUMMYFUNCTION("""COMPUTED_VALUE"""),98.0)</f>
        <v>98</v>
      </c>
      <c r="I6" s="104">
        <f>IFERROR(__xludf.DUMMYFUNCTION("""COMPUTED_VALUE"""),0.0)</f>
        <v>0</v>
      </c>
      <c r="J6" s="104">
        <f>IFERROR(__xludf.DUMMYFUNCTION("""COMPUTED_VALUE"""),29.7)</f>
        <v>29.7</v>
      </c>
      <c r="K6" s="104">
        <f>IFERROR(__xludf.DUMMYFUNCTION("""COMPUTED_VALUE"""),70.2)</f>
        <v>70.2</v>
      </c>
      <c r="L6" s="104">
        <f>IFERROR(__xludf.DUMMYFUNCTION("""COMPUTED_VALUE"""),22.5)</f>
        <v>22.5</v>
      </c>
      <c r="M6" s="104">
        <f>IFERROR(__xludf.DUMMYFUNCTION("""COMPUTED_VALUE"""),12.8)</f>
        <v>12.8</v>
      </c>
      <c r="N6" s="103" t="str">
        <f>IFERROR(__xludf.DUMMYFUNCTION("""COMPUTED_VALUE"""),"Texas Longhorns")</f>
        <v>Texas Longhorns</v>
      </c>
      <c r="O6" s="105" t="str">
        <f>IFERROR(__xludf.DUMMYFUNCTION("""COMPUTED_VALUE"""),"SEC")</f>
        <v>SEC</v>
      </c>
      <c r="P6" s="106">
        <f>IFERROR(__xludf.DUMMYFUNCTION("if(F6="""","""",indeX(split(F6,""-""),1)-J6/100)"),9.503)</f>
        <v>9.503</v>
      </c>
      <c r="Q6" s="106"/>
    </row>
    <row r="7">
      <c r="B7" s="103" t="str">
        <f>IFERROR(__xludf.DUMMYFUNCTION("""COMPUTED_VALUE"""),"0-0")</f>
        <v>0-0</v>
      </c>
      <c r="C7" s="104">
        <f>IFERROR(__xludf.DUMMYFUNCTION("""COMPUTED_VALUE"""),25.9)</f>
        <v>25.9</v>
      </c>
      <c r="D7" s="104">
        <f>IFERROR(__xludf.DUMMYFUNCTION("""COMPUTED_VALUE"""),3.0)</f>
        <v>3</v>
      </c>
      <c r="E7" s="103" t="str">
        <f>IFERROR(__xludf.DUMMYFUNCTION("""COMPUTED_VALUE"""),"--")</f>
        <v>--</v>
      </c>
      <c r="F7" s="103" t="str">
        <f>IFERROR(__xludf.DUMMYFUNCTION("""COMPUTED_VALUE"""),"10.7-1.3")</f>
        <v>10.7-1.3</v>
      </c>
      <c r="G7" s="104">
        <f>IFERROR(__xludf.DUMMYFUNCTION("""COMPUTED_VALUE"""),32.7)</f>
        <v>32.7</v>
      </c>
      <c r="H7" s="104">
        <f>IFERROR(__xludf.DUMMYFUNCTION("""COMPUTED_VALUE"""),100.0)</f>
        <v>100</v>
      </c>
      <c r="I7" s="104">
        <f>IFERROR(__xludf.DUMMYFUNCTION("""COMPUTED_VALUE"""),0.0)</f>
        <v>0</v>
      </c>
      <c r="J7" s="104">
        <f>IFERROR(__xludf.DUMMYFUNCTION("""COMPUTED_VALUE"""),0.0)</f>
        <v>0</v>
      </c>
      <c r="K7" s="104">
        <f>IFERROR(__xludf.DUMMYFUNCTION("""COMPUTED_VALUE"""),74.1)</f>
        <v>74.1</v>
      </c>
      <c r="L7" s="104">
        <f>IFERROR(__xludf.DUMMYFUNCTION("""COMPUTED_VALUE"""),19.6)</f>
        <v>19.6</v>
      </c>
      <c r="M7" s="104">
        <f>IFERROR(__xludf.DUMMYFUNCTION("""COMPUTED_VALUE"""),10.6)</f>
        <v>10.6</v>
      </c>
      <c r="N7" s="103" t="str">
        <f>IFERROR(__xludf.DUMMYFUNCTION("""COMPUTED_VALUE"""),"Notre Dame Fighting Irish")</f>
        <v>Notre Dame Fighting Irish</v>
      </c>
      <c r="O7" s="105" t="str">
        <f>IFERROR(__xludf.DUMMYFUNCTION("""COMPUTED_VALUE"""),"FBS Indep.")</f>
        <v>FBS Indep.</v>
      </c>
      <c r="P7" s="106">
        <f>IFERROR(__xludf.DUMMYFUNCTION("if(F7="""","""",indeX(split(F7,""-""),1)-J7/100)"),10.7)</f>
        <v>10.7</v>
      </c>
      <c r="Q7" s="106"/>
    </row>
    <row r="8">
      <c r="B8" s="107" t="str">
        <f>IFERROR(__xludf.DUMMYFUNCTION("""COMPUTED_VALUE"""),"0-0")</f>
        <v>0-0</v>
      </c>
      <c r="C8" s="104">
        <f>IFERROR(__xludf.DUMMYFUNCTION("""COMPUTED_VALUE"""),25.3)</f>
        <v>25.3</v>
      </c>
      <c r="D8" s="104">
        <f>IFERROR(__xludf.DUMMYFUNCTION("""COMPUTED_VALUE"""),4.0)</f>
        <v>4</v>
      </c>
      <c r="E8" s="104" t="str">
        <f>IFERROR(__xludf.DUMMYFUNCTION("""COMPUTED_VALUE"""),"--")</f>
        <v>--</v>
      </c>
      <c r="F8" s="103" t="str">
        <f>IFERROR(__xludf.DUMMYFUNCTION("""COMPUTED_VALUE"""),"10.2-2.3")</f>
        <v>10.2-2.3</v>
      </c>
      <c r="G8" s="104">
        <f>IFERROR(__xludf.DUMMYFUNCTION("""COMPUTED_VALUE"""),8.5)</f>
        <v>8.5</v>
      </c>
      <c r="H8" s="104">
        <f>IFERROR(__xludf.DUMMYFUNCTION("""COMPUTED_VALUE"""),99.4)</f>
        <v>99.4</v>
      </c>
      <c r="I8" s="104">
        <f>IFERROR(__xludf.DUMMYFUNCTION("""COMPUTED_VALUE"""),0.0)</f>
        <v>0</v>
      </c>
      <c r="J8" s="104">
        <f>IFERROR(__xludf.DUMMYFUNCTION("""COMPUTED_VALUE"""),24.2)</f>
        <v>24.2</v>
      </c>
      <c r="K8" s="104">
        <f>IFERROR(__xludf.DUMMYFUNCTION("""COMPUTED_VALUE"""),64.7)</f>
        <v>64.7</v>
      </c>
      <c r="L8" s="104">
        <f>IFERROR(__xludf.DUMMYFUNCTION("""COMPUTED_VALUE"""),17.7)</f>
        <v>17.7</v>
      </c>
      <c r="M8" s="104">
        <f>IFERROR(__xludf.DUMMYFUNCTION("""COMPUTED_VALUE"""),9.2)</f>
        <v>9.2</v>
      </c>
      <c r="N8" s="103" t="str">
        <f>IFERROR(__xludf.DUMMYFUNCTION("""COMPUTED_VALUE"""),"Oregon Ducks")</f>
        <v>Oregon Ducks</v>
      </c>
      <c r="O8" s="105" t="str">
        <f>IFERROR(__xludf.DUMMYFUNCTION("""COMPUTED_VALUE"""),"Big Ten")</f>
        <v>Big Ten</v>
      </c>
      <c r="P8" s="106">
        <f>IFERROR(__xludf.DUMMYFUNCTION("if(F8="""","""",indeX(split(F8,""-""),1)-J8/100)"),9.957999999999998)</f>
        <v>9.958</v>
      </c>
      <c r="Q8" s="106"/>
    </row>
    <row r="9">
      <c r="B9" s="107" t="str">
        <f>IFERROR(__xludf.DUMMYFUNCTION("""COMPUTED_VALUE"""),"0-0")</f>
        <v>0-0</v>
      </c>
      <c r="C9" s="104">
        <f>IFERROR(__xludf.DUMMYFUNCTION("""COMPUTED_VALUE"""),24.8)</f>
        <v>24.8</v>
      </c>
      <c r="D9" s="104">
        <f>IFERROR(__xludf.DUMMYFUNCTION("""COMPUTED_VALUE"""),5.0)</f>
        <v>5</v>
      </c>
      <c r="E9" s="104" t="str">
        <f>IFERROR(__xludf.DUMMYFUNCTION("""COMPUTED_VALUE"""),"--")</f>
        <v>--</v>
      </c>
      <c r="F9" s="103" t="str">
        <f>IFERROR(__xludf.DUMMYFUNCTION("""COMPUTED_VALUE"""),"9.9-2.5")</f>
        <v>9.9-2.5</v>
      </c>
      <c r="G9" s="104">
        <f>IFERROR(__xludf.DUMMYFUNCTION("""COMPUTED_VALUE"""),10.9)</f>
        <v>10.9</v>
      </c>
      <c r="H9" s="104">
        <f>IFERROR(__xludf.DUMMYFUNCTION("""COMPUTED_VALUE"""),98.5)</f>
        <v>98.5</v>
      </c>
      <c r="I9" s="104">
        <f>IFERROR(__xludf.DUMMYFUNCTION("""COMPUTED_VALUE"""),0.0)</f>
        <v>0</v>
      </c>
      <c r="J9" s="104">
        <f>IFERROR(__xludf.DUMMYFUNCTION("""COMPUTED_VALUE"""),23.3)</f>
        <v>23.3</v>
      </c>
      <c r="K9" s="104">
        <f>IFERROR(__xludf.DUMMYFUNCTION("""COMPUTED_VALUE"""),63.9)</f>
        <v>63.9</v>
      </c>
      <c r="L9" s="104">
        <f>IFERROR(__xludf.DUMMYFUNCTION("""COMPUTED_VALUE"""),17.1)</f>
        <v>17.1</v>
      </c>
      <c r="M9" s="104">
        <f>IFERROR(__xludf.DUMMYFUNCTION("""COMPUTED_VALUE"""),9.6)</f>
        <v>9.6</v>
      </c>
      <c r="N9" s="103" t="str">
        <f>IFERROR(__xludf.DUMMYFUNCTION("""COMPUTED_VALUE"""),"Georgia Bulldogs")</f>
        <v>Georgia Bulldogs</v>
      </c>
      <c r="O9" s="105" t="str">
        <f>IFERROR(__xludf.DUMMYFUNCTION("""COMPUTED_VALUE"""),"SEC")</f>
        <v>SEC</v>
      </c>
      <c r="P9" s="106">
        <f>IFERROR(__xludf.DUMMYFUNCTION("if(F9="""","""",indeX(split(F9,""-""),1)-J9/100)"),9.667)</f>
        <v>9.667</v>
      </c>
      <c r="Q9" s="106"/>
    </row>
    <row r="10">
      <c r="B10" s="107" t="str">
        <f>IFERROR(__xludf.DUMMYFUNCTION("""COMPUTED_VALUE"""),"0-0")</f>
        <v>0-0</v>
      </c>
      <c r="C10" s="104">
        <f>IFERROR(__xludf.DUMMYFUNCTION("""COMPUTED_VALUE"""),23.1)</f>
        <v>23.1</v>
      </c>
      <c r="D10" s="104">
        <f>IFERROR(__xludf.DUMMYFUNCTION("""COMPUTED_VALUE"""),6.0)</f>
        <v>6</v>
      </c>
      <c r="E10" s="104" t="str">
        <f>IFERROR(__xludf.DUMMYFUNCTION("""COMPUTED_VALUE"""),"--")</f>
        <v>--</v>
      </c>
      <c r="F10" s="103" t="str">
        <f>IFERROR(__xludf.DUMMYFUNCTION("""COMPUTED_VALUE"""),"10.1-2.3")</f>
        <v>10.1-2.3</v>
      </c>
      <c r="G10" s="104">
        <f>IFERROR(__xludf.DUMMYFUNCTION("""COMPUTED_VALUE"""),9.5)</f>
        <v>9.5</v>
      </c>
      <c r="H10" s="104">
        <f>IFERROR(__xludf.DUMMYFUNCTION("""COMPUTED_VALUE"""),99.4)</f>
        <v>99.4</v>
      </c>
      <c r="I10" s="104">
        <f>IFERROR(__xludf.DUMMYFUNCTION("""COMPUTED_VALUE"""),0.0)</f>
        <v>0</v>
      </c>
      <c r="J10" s="104">
        <f>IFERROR(__xludf.DUMMYFUNCTION("""COMPUTED_VALUE"""),18.7)</f>
        <v>18.7</v>
      </c>
      <c r="K10" s="104">
        <f>IFERROR(__xludf.DUMMYFUNCTION("""COMPUTED_VALUE"""),57.1)</f>
        <v>57.1</v>
      </c>
      <c r="L10" s="104">
        <f>IFERROR(__xludf.DUMMYFUNCTION("""COMPUTED_VALUE"""),13.1)</f>
        <v>13.1</v>
      </c>
      <c r="M10" s="104">
        <f>IFERROR(__xludf.DUMMYFUNCTION("""COMPUTED_VALUE"""),6.4)</f>
        <v>6.4</v>
      </c>
      <c r="N10" s="103" t="str">
        <f>IFERROR(__xludf.DUMMYFUNCTION("""COMPUTED_VALUE"""),"Indiana Hoosiers")</f>
        <v>Indiana Hoosiers</v>
      </c>
      <c r="O10" s="105" t="str">
        <f>IFERROR(__xludf.DUMMYFUNCTION("""COMPUTED_VALUE"""),"Big Ten")</f>
        <v>Big Ten</v>
      </c>
      <c r="P10" s="106">
        <f>IFERROR(__xludf.DUMMYFUNCTION("if(F10="""","""",indeX(split(F10,""-""),1)-J10/100)"),9.913)</f>
        <v>9.913</v>
      </c>
      <c r="Q10" s="106"/>
    </row>
    <row r="11">
      <c r="B11" s="103" t="str">
        <f>IFERROR(__xludf.DUMMYFUNCTION("""COMPUTED_VALUE"""),"0-0")</f>
        <v>0-0</v>
      </c>
      <c r="C11" s="104">
        <f>IFERROR(__xludf.DUMMYFUNCTION("""COMPUTED_VALUE"""),21.8)</f>
        <v>21.8</v>
      </c>
      <c r="D11" s="104">
        <f>IFERROR(__xludf.DUMMYFUNCTION("""COMPUTED_VALUE"""),7.0)</f>
        <v>7</v>
      </c>
      <c r="E11" s="104" t="str">
        <f>IFERROR(__xludf.DUMMYFUNCTION("""COMPUTED_VALUE"""),"--")</f>
        <v>--</v>
      </c>
      <c r="F11" s="103" t="str">
        <f>IFERROR(__xludf.DUMMYFUNCTION("""COMPUTED_VALUE"""),"10.4-2.3")</f>
        <v>10.4-2.3</v>
      </c>
      <c r="G11" s="104">
        <f>IFERROR(__xludf.DUMMYFUNCTION("""COMPUTED_VALUE"""),8.8)</f>
        <v>8.8</v>
      </c>
      <c r="H11" s="104">
        <f>IFERROR(__xludf.DUMMYFUNCTION("""COMPUTED_VALUE"""),99.4)</f>
        <v>99.4</v>
      </c>
      <c r="I11" s="104">
        <f>IFERROR(__xludf.DUMMYFUNCTION("""COMPUTED_VALUE"""),0.0)</f>
        <v>0</v>
      </c>
      <c r="J11" s="104">
        <f>IFERROR(__xludf.DUMMYFUNCTION("""COMPUTED_VALUE"""),50.3)</f>
        <v>50.3</v>
      </c>
      <c r="K11" s="104">
        <f>IFERROR(__xludf.DUMMYFUNCTION("""COMPUTED_VALUE"""),63.3)</f>
        <v>63.3</v>
      </c>
      <c r="L11" s="104">
        <f>IFERROR(__xludf.DUMMYFUNCTION("""COMPUTED_VALUE"""),11.2)</f>
        <v>11.2</v>
      </c>
      <c r="M11" s="104">
        <f>IFERROR(__xludf.DUMMYFUNCTION("""COMPUTED_VALUE"""),5.3)</f>
        <v>5.3</v>
      </c>
      <c r="N11" s="103" t="str">
        <f>IFERROR(__xludf.DUMMYFUNCTION("""COMPUTED_VALUE"""),"Miami Hurricanes")</f>
        <v>Miami Hurricanes</v>
      </c>
      <c r="O11" s="105" t="str">
        <f>IFERROR(__xludf.DUMMYFUNCTION("""COMPUTED_VALUE"""),"ACC")</f>
        <v>ACC</v>
      </c>
      <c r="P11" s="106">
        <f>IFERROR(__xludf.DUMMYFUNCTION("if(F11="""","""",indeX(split(F11,""-""),1)-J11/100)"),9.897)</f>
        <v>9.897</v>
      </c>
      <c r="Q11" s="106"/>
    </row>
    <row r="12">
      <c r="B12" s="103" t="str">
        <f>IFERROR(__xludf.DUMMYFUNCTION("""COMPUTED_VALUE"""),"0-0")</f>
        <v>0-0</v>
      </c>
      <c r="C12" s="104">
        <f>IFERROR(__xludf.DUMMYFUNCTION("""COMPUTED_VALUE"""),20.1)</f>
        <v>20.1</v>
      </c>
      <c r="D12" s="104">
        <f>IFERROR(__xludf.DUMMYFUNCTION("""COMPUTED_VALUE"""),8.0)</f>
        <v>8</v>
      </c>
      <c r="E12" s="104" t="str">
        <f>IFERROR(__xludf.DUMMYFUNCTION("""COMPUTED_VALUE"""),"--")</f>
        <v>--</v>
      </c>
      <c r="F12" s="103" t="str">
        <f>IFERROR(__xludf.DUMMYFUNCTION("""COMPUTED_VALUE"""),"8.6-3.6")</f>
        <v>8.6-3.6</v>
      </c>
      <c r="G12" s="104">
        <f>IFERROR(__xludf.DUMMYFUNCTION("""COMPUTED_VALUE"""),1.6)</f>
        <v>1.6</v>
      </c>
      <c r="H12" s="104">
        <f>IFERROR(__xludf.DUMMYFUNCTION("""COMPUTED_VALUE"""),93.1)</f>
        <v>93.1</v>
      </c>
      <c r="I12" s="104">
        <f>IFERROR(__xludf.DUMMYFUNCTION("""COMPUTED_VALUE"""),0.0)</f>
        <v>0</v>
      </c>
      <c r="J12" s="104">
        <f>IFERROR(__xludf.DUMMYFUNCTION("""COMPUTED_VALUE"""),10.3)</f>
        <v>10.3</v>
      </c>
      <c r="K12" s="104">
        <f>IFERROR(__xludf.DUMMYFUNCTION("""COMPUTED_VALUE"""),41.4)</f>
        <v>41.4</v>
      </c>
      <c r="L12" s="104">
        <f>IFERROR(__xludf.DUMMYFUNCTION("""COMPUTED_VALUE"""),8.1)</f>
        <v>8.1</v>
      </c>
      <c r="M12" s="104">
        <f>IFERROR(__xludf.DUMMYFUNCTION("""COMPUTED_VALUE"""),3.8)</f>
        <v>3.8</v>
      </c>
      <c r="N12" s="103" t="str">
        <f>IFERROR(__xludf.DUMMYFUNCTION("""COMPUTED_VALUE"""),"Alabama Crimson Tide")</f>
        <v>Alabama Crimson Tide</v>
      </c>
      <c r="O12" s="105" t="str">
        <f>IFERROR(__xludf.DUMMYFUNCTION("""COMPUTED_VALUE"""),"SEC")</f>
        <v>SEC</v>
      </c>
      <c r="P12" s="106">
        <f>IFERROR(__xludf.DUMMYFUNCTION("if(F12="""","""",indeX(split(F12,""-""),1)-J12/100)"),8.497)</f>
        <v>8.497</v>
      </c>
      <c r="Q12" s="106"/>
    </row>
    <row r="13">
      <c r="B13" s="107" t="str">
        <f>IFERROR(__xludf.DUMMYFUNCTION("""COMPUTED_VALUE"""),"0-0")</f>
        <v>0-0</v>
      </c>
      <c r="C13" s="104">
        <f>IFERROR(__xludf.DUMMYFUNCTION("""COMPUTED_VALUE"""),20.0)</f>
        <v>20</v>
      </c>
      <c r="D13" s="104">
        <f>IFERROR(__xludf.DUMMYFUNCTION("""COMPUTED_VALUE"""),9.0)</f>
        <v>9</v>
      </c>
      <c r="E13" s="104" t="str">
        <f>IFERROR(__xludf.DUMMYFUNCTION("""COMPUTED_VALUE"""),"--")</f>
        <v>--</v>
      </c>
      <c r="F13" s="103" t="str">
        <f>IFERROR(__xludf.DUMMYFUNCTION("""COMPUTED_VALUE"""),"8.4-3.8")</f>
        <v>8.4-3.8</v>
      </c>
      <c r="G13" s="104">
        <f>IFERROR(__xludf.DUMMYFUNCTION("""COMPUTED_VALUE"""),1.1)</f>
        <v>1.1</v>
      </c>
      <c r="H13" s="104">
        <f>IFERROR(__xludf.DUMMYFUNCTION("""COMPUTED_VALUE"""),91.9)</f>
        <v>91.9</v>
      </c>
      <c r="I13" s="104">
        <f>IFERROR(__xludf.DUMMYFUNCTION("""COMPUTED_VALUE"""),0.0)</f>
        <v>0</v>
      </c>
      <c r="J13" s="104">
        <f>IFERROR(__xludf.DUMMYFUNCTION("""COMPUTED_VALUE"""),8.8)</f>
        <v>8.8</v>
      </c>
      <c r="K13" s="104">
        <f>IFERROR(__xludf.DUMMYFUNCTION("""COMPUTED_VALUE"""),39.5)</f>
        <v>39.5</v>
      </c>
      <c r="L13" s="104">
        <f>IFERROR(__xludf.DUMMYFUNCTION("""COMPUTED_VALUE"""),7.6)</f>
        <v>7.6</v>
      </c>
      <c r="M13" s="104">
        <f>IFERROR(__xludf.DUMMYFUNCTION("""COMPUTED_VALUE"""),3.5)</f>
        <v>3.5</v>
      </c>
      <c r="N13" s="103" t="str">
        <f>IFERROR(__xludf.DUMMYFUNCTION("""COMPUTED_VALUE"""),"LSU Tigers")</f>
        <v>LSU Tigers</v>
      </c>
      <c r="O13" s="105" t="str">
        <f>IFERROR(__xludf.DUMMYFUNCTION("""COMPUTED_VALUE"""),"SEC")</f>
        <v>SEC</v>
      </c>
      <c r="P13" s="106">
        <f>IFERROR(__xludf.DUMMYFUNCTION("if(F13="""","""",indeX(split(F13,""-""),1)-J13/100)"),8.312000000000001)</f>
        <v>8.312</v>
      </c>
      <c r="Q13" s="106"/>
    </row>
    <row r="14">
      <c r="B14" s="107" t="str">
        <f>IFERROR(__xludf.DUMMYFUNCTION("""COMPUTED_VALUE"""),"0-0")</f>
        <v>0-0</v>
      </c>
      <c r="C14" s="104">
        <f>IFERROR(__xludf.DUMMYFUNCTION("""COMPUTED_VALUE"""),20.0)</f>
        <v>20</v>
      </c>
      <c r="D14" s="104">
        <f>IFERROR(__xludf.DUMMYFUNCTION("""COMPUTED_VALUE"""),10.0)</f>
        <v>10</v>
      </c>
      <c r="E14" s="104" t="str">
        <f>IFERROR(__xludf.DUMMYFUNCTION("""COMPUTED_VALUE"""),"--")</f>
        <v>--</v>
      </c>
      <c r="F14" s="103" t="str">
        <f>IFERROR(__xludf.DUMMYFUNCTION("""COMPUTED_VALUE"""),"10.8-1.8")</f>
        <v>10.8-1.8</v>
      </c>
      <c r="G14" s="104">
        <f>IFERROR(__xludf.DUMMYFUNCTION("""COMPUTED_VALUE"""),25.2)</f>
        <v>25.2</v>
      </c>
      <c r="H14" s="104">
        <f>IFERROR(__xludf.DUMMYFUNCTION("""COMPUTED_VALUE"""),99.5)</f>
        <v>99.5</v>
      </c>
      <c r="I14" s="104">
        <f>IFERROR(__xludf.DUMMYFUNCTION("""COMPUTED_VALUE"""),0.0)</f>
        <v>0</v>
      </c>
      <c r="J14" s="104">
        <f>IFERROR(__xludf.DUMMYFUNCTION("""COMPUTED_VALUE"""),45.9)</f>
        <v>45.9</v>
      </c>
      <c r="K14" s="104">
        <f>IFERROR(__xludf.DUMMYFUNCTION("""COMPUTED_VALUE"""),57.8)</f>
        <v>57.8</v>
      </c>
      <c r="L14" s="104">
        <f>IFERROR(__xludf.DUMMYFUNCTION("""COMPUTED_VALUE"""),8.1)</f>
        <v>8.1</v>
      </c>
      <c r="M14" s="104">
        <f>IFERROR(__xludf.DUMMYFUNCTION("""COMPUTED_VALUE"""),3.5)</f>
        <v>3.5</v>
      </c>
      <c r="N14" s="103" t="str">
        <f>IFERROR(__xludf.DUMMYFUNCTION("""COMPUTED_VALUE"""),"Texas Tech Red Raiders")</f>
        <v>Texas Tech Red Raiders</v>
      </c>
      <c r="O14" s="105" t="str">
        <f>IFERROR(__xludf.DUMMYFUNCTION("""COMPUTED_VALUE"""),"Big 12")</f>
        <v>Big 12</v>
      </c>
      <c r="P14" s="106">
        <f>IFERROR(__xludf.DUMMYFUNCTION("if(F14="""","""",indeX(split(F14,""-""),1)-J14/100)"),10.341000000000001)</f>
        <v>10.341</v>
      </c>
      <c r="Q14" s="106"/>
    </row>
    <row r="15">
      <c r="B15" s="107" t="str">
        <f>IFERROR(__xludf.DUMMYFUNCTION("""COMPUTED_VALUE"""),"0-0")</f>
        <v>0-0</v>
      </c>
      <c r="C15" s="104">
        <f>IFERROR(__xludf.DUMMYFUNCTION("""COMPUTED_VALUE"""),20.0)</f>
        <v>20</v>
      </c>
      <c r="D15" s="104">
        <f>IFERROR(__xludf.DUMMYFUNCTION("""COMPUTED_VALUE"""),11.0)</f>
        <v>11</v>
      </c>
      <c r="E15" s="104" t="str">
        <f>IFERROR(__xludf.DUMMYFUNCTION("""COMPUTED_VALUE"""),"--")</f>
        <v>--</v>
      </c>
      <c r="F15" s="103" t="str">
        <f>IFERROR(__xludf.DUMMYFUNCTION("""COMPUTED_VALUE"""),"8.4-3.8")</f>
        <v>8.4-3.8</v>
      </c>
      <c r="G15" s="104">
        <f>IFERROR(__xludf.DUMMYFUNCTION("""COMPUTED_VALUE"""),0.8)</f>
        <v>0.8</v>
      </c>
      <c r="H15" s="104">
        <f>IFERROR(__xludf.DUMMYFUNCTION("""COMPUTED_VALUE"""),92.6)</f>
        <v>92.6</v>
      </c>
      <c r="I15" s="104">
        <f>IFERROR(__xludf.DUMMYFUNCTION("""COMPUTED_VALUE"""),0.0)</f>
        <v>0</v>
      </c>
      <c r="J15" s="104">
        <f>IFERROR(__xludf.DUMMYFUNCTION("""COMPUTED_VALUE"""),8.4)</f>
        <v>8.4</v>
      </c>
      <c r="K15" s="104">
        <f>IFERROR(__xludf.DUMMYFUNCTION("""COMPUTED_VALUE"""),38.8)</f>
        <v>38.8</v>
      </c>
      <c r="L15" s="104">
        <f>IFERROR(__xludf.DUMMYFUNCTION("""COMPUTED_VALUE"""),7.3)</f>
        <v>7.3</v>
      </c>
      <c r="M15" s="104">
        <f>IFERROR(__xludf.DUMMYFUNCTION("""COMPUTED_VALUE"""),3.4)</f>
        <v>3.4</v>
      </c>
      <c r="N15" s="103" t="str">
        <f>IFERROR(__xludf.DUMMYFUNCTION("""COMPUTED_VALUE"""),"Texas A&amp;M Aggies")</f>
        <v>Texas A&amp;M Aggies</v>
      </c>
      <c r="O15" s="105" t="str">
        <f>IFERROR(__xludf.DUMMYFUNCTION("""COMPUTED_VALUE"""),"SEC")</f>
        <v>SEC</v>
      </c>
      <c r="P15" s="106">
        <f>IFERROR(__xludf.DUMMYFUNCTION("if(F15="""","""",indeX(split(F15,""-""),1)-J15/100)"),8.316)</f>
        <v>8.316</v>
      </c>
      <c r="Q15" s="106"/>
    </row>
    <row r="16">
      <c r="B16" s="107" t="str">
        <f>IFERROR(__xludf.DUMMYFUNCTION("""COMPUTED_VALUE"""),"0-0")</f>
        <v>0-0</v>
      </c>
      <c r="C16" s="104">
        <f>IFERROR(__xludf.DUMMYFUNCTION("""COMPUTED_VALUE"""),17.8)</f>
        <v>17.8</v>
      </c>
      <c r="D16" s="104">
        <f>IFERROR(__xludf.DUMMYFUNCTION("""COMPUTED_VALUE"""),12.0)</f>
        <v>12</v>
      </c>
      <c r="E16" s="104" t="str">
        <f>IFERROR(__xludf.DUMMYFUNCTION("""COMPUTED_VALUE"""),"--")</f>
        <v>--</v>
      </c>
      <c r="F16" s="103" t="str">
        <f>IFERROR(__xludf.DUMMYFUNCTION("""COMPUTED_VALUE"""),"7.5-4.6")</f>
        <v>7.5-4.6</v>
      </c>
      <c r="G16" s="104">
        <f>IFERROR(__xludf.DUMMYFUNCTION("""COMPUTED_VALUE"""),0.1)</f>
        <v>0.1</v>
      </c>
      <c r="H16" s="104">
        <f>IFERROR(__xludf.DUMMYFUNCTION("""COMPUTED_VALUE"""),83.2)</f>
        <v>83.2</v>
      </c>
      <c r="I16" s="104">
        <f>IFERROR(__xludf.DUMMYFUNCTION("""COMPUTED_VALUE"""),0.0)</f>
        <v>0</v>
      </c>
      <c r="J16" s="104">
        <f>IFERROR(__xludf.DUMMYFUNCTION("""COMPUTED_VALUE"""),5.4)</f>
        <v>5.4</v>
      </c>
      <c r="K16" s="104">
        <f>IFERROR(__xludf.DUMMYFUNCTION("""COMPUTED_VALUE"""),28.2)</f>
        <v>28.2</v>
      </c>
      <c r="L16" s="104">
        <f>IFERROR(__xludf.DUMMYFUNCTION("""COMPUTED_VALUE"""),4.6)</f>
        <v>4.6</v>
      </c>
      <c r="M16" s="104">
        <f>IFERROR(__xludf.DUMMYFUNCTION("""COMPUTED_VALUE"""),1.9)</f>
        <v>1.9</v>
      </c>
      <c r="N16" s="103" t="str">
        <f>IFERROR(__xludf.DUMMYFUNCTION("""COMPUTED_VALUE"""),"Oklahoma Sooners")</f>
        <v>Oklahoma Sooners</v>
      </c>
      <c r="O16" s="105" t="str">
        <f>IFERROR(__xludf.DUMMYFUNCTION("""COMPUTED_VALUE"""),"SEC")</f>
        <v>SEC</v>
      </c>
      <c r="P16" s="106">
        <f>IFERROR(__xludf.DUMMYFUNCTION("if(F16="""","""",indeX(split(F16,""-""),1)-J16/100)"),7.446)</f>
        <v>7.446</v>
      </c>
      <c r="Q16" s="106"/>
    </row>
    <row r="17">
      <c r="B17" s="107" t="str">
        <f>IFERROR(__xludf.DUMMYFUNCTION("""COMPUTED_VALUE"""),"0-0")</f>
        <v>0-0</v>
      </c>
      <c r="C17" s="104">
        <f>IFERROR(__xludf.DUMMYFUNCTION("""COMPUTED_VALUE"""),17.0)</f>
        <v>17</v>
      </c>
      <c r="D17" s="104">
        <f>IFERROR(__xludf.DUMMYFUNCTION("""COMPUTED_VALUE"""),13.0)</f>
        <v>13</v>
      </c>
      <c r="E17" s="104" t="str">
        <f>IFERROR(__xludf.DUMMYFUNCTION("""COMPUTED_VALUE"""),"--")</f>
        <v>--</v>
      </c>
      <c r="F17" s="103" t="str">
        <f>IFERROR(__xludf.DUMMYFUNCTION("""COMPUTED_VALUE"""),"8.2-3.9")</f>
        <v>8.2-3.9</v>
      </c>
      <c r="G17" s="104">
        <f>IFERROR(__xludf.DUMMYFUNCTION("""COMPUTED_VALUE"""),0.3)</f>
        <v>0.3</v>
      </c>
      <c r="H17" s="104">
        <f>IFERROR(__xludf.DUMMYFUNCTION("""COMPUTED_VALUE"""),93.2)</f>
        <v>93.2</v>
      </c>
      <c r="I17" s="104">
        <f>IFERROR(__xludf.DUMMYFUNCTION("""COMPUTED_VALUE"""),0.0)</f>
        <v>0</v>
      </c>
      <c r="J17" s="104">
        <f>IFERROR(__xludf.DUMMYFUNCTION("""COMPUTED_VALUE"""),5.1)</f>
        <v>5.1</v>
      </c>
      <c r="K17" s="104">
        <f>IFERROR(__xludf.DUMMYFUNCTION("""COMPUTED_VALUE"""),27.5)</f>
        <v>27.5</v>
      </c>
      <c r="L17" s="104">
        <f>IFERROR(__xludf.DUMMYFUNCTION("""COMPUTED_VALUE"""),3.9)</f>
        <v>3.9</v>
      </c>
      <c r="M17" s="104">
        <f>IFERROR(__xludf.DUMMYFUNCTION("""COMPUTED_VALUE"""),1.7)</f>
        <v>1.7</v>
      </c>
      <c r="N17" s="103" t="str">
        <f>IFERROR(__xludf.DUMMYFUNCTION("""COMPUTED_VALUE"""),"USC Trojans")</f>
        <v>USC Trojans</v>
      </c>
      <c r="O17" s="105" t="str">
        <f>IFERROR(__xludf.DUMMYFUNCTION("""COMPUTED_VALUE"""),"Big Ten")</f>
        <v>Big Ten</v>
      </c>
      <c r="P17" s="106">
        <f>IFERROR(__xludf.DUMMYFUNCTION("if(F17="""","""",indeX(split(F17,""-""),1)-J17/100)"),8.149)</f>
        <v>8.149</v>
      </c>
      <c r="Q17" s="106"/>
    </row>
    <row r="18">
      <c r="B18" s="107" t="str">
        <f>IFERROR(__xludf.DUMMYFUNCTION("""COMPUTED_VALUE"""),"0-0")</f>
        <v>0-0</v>
      </c>
      <c r="C18" s="104">
        <f>IFERROR(__xludf.DUMMYFUNCTION("""COMPUTED_VALUE"""),16.0)</f>
        <v>16</v>
      </c>
      <c r="D18" s="104">
        <f>IFERROR(__xludf.DUMMYFUNCTION("""COMPUTED_VALUE"""),14.0)</f>
        <v>14</v>
      </c>
      <c r="E18" s="104" t="str">
        <f>IFERROR(__xludf.DUMMYFUNCTION("""COMPUTED_VALUE"""),"--")</f>
        <v>--</v>
      </c>
      <c r="F18" s="103" t="str">
        <f>IFERROR(__xludf.DUMMYFUNCTION("""COMPUTED_VALUE"""),"7.3-4.8")</f>
        <v>7.3-4.8</v>
      </c>
      <c r="G18" s="104">
        <f>IFERROR(__xludf.DUMMYFUNCTION("""COMPUTED_VALUE"""),0.1)</f>
        <v>0.1</v>
      </c>
      <c r="H18" s="104">
        <f>IFERROR(__xludf.DUMMYFUNCTION("""COMPUTED_VALUE"""),81.0)</f>
        <v>81</v>
      </c>
      <c r="I18" s="104">
        <f>IFERROR(__xludf.DUMMYFUNCTION("""COMPUTED_VALUE"""),0.0)</f>
        <v>0</v>
      </c>
      <c r="J18" s="104">
        <f>IFERROR(__xludf.DUMMYFUNCTION("""COMPUTED_VALUE"""),3.7)</f>
        <v>3.7</v>
      </c>
      <c r="K18" s="104">
        <f>IFERROR(__xludf.DUMMYFUNCTION("""COMPUTED_VALUE"""),22.5)</f>
        <v>22.5</v>
      </c>
      <c r="L18" s="104">
        <f>IFERROR(__xludf.DUMMYFUNCTION("""COMPUTED_VALUE"""),3.4)</f>
        <v>3.4</v>
      </c>
      <c r="M18" s="104">
        <f>IFERROR(__xludf.DUMMYFUNCTION("""COMPUTED_VALUE"""),1.5)</f>
        <v>1.5</v>
      </c>
      <c r="N18" s="103" t="str">
        <f>IFERROR(__xludf.DUMMYFUNCTION("""COMPUTED_VALUE"""),"Ole Miss Rebels")</f>
        <v>Ole Miss Rebels</v>
      </c>
      <c r="O18" s="105" t="str">
        <f>IFERROR(__xludf.DUMMYFUNCTION("""COMPUTED_VALUE"""),"SEC")</f>
        <v>SEC</v>
      </c>
      <c r="P18" s="106">
        <f>IFERROR(__xludf.DUMMYFUNCTION("if(F18="""","""",indeX(split(F18,""-""),1)-J18/100)"),7.263)</f>
        <v>7.263</v>
      </c>
      <c r="Q18" s="106"/>
    </row>
    <row r="19">
      <c r="B19" s="103" t="str">
        <f>IFERROR(__xludf.DUMMYFUNCTION("""COMPUTED_VALUE"""),"0-0")</f>
        <v>0-0</v>
      </c>
      <c r="C19" s="104">
        <f>IFERROR(__xludf.DUMMYFUNCTION("""COMPUTED_VALUE"""),15.9)</f>
        <v>15.9</v>
      </c>
      <c r="D19" s="104">
        <f>IFERROR(__xludf.DUMMYFUNCTION("""COMPUTED_VALUE"""),15.0)</f>
        <v>15</v>
      </c>
      <c r="E19" s="104" t="str">
        <f>IFERROR(__xludf.DUMMYFUNCTION("""COMPUTED_VALUE"""),"--")</f>
        <v>--</v>
      </c>
      <c r="F19" s="103" t="str">
        <f>IFERROR(__xludf.DUMMYFUNCTION("""COMPUTED_VALUE"""),"7.8-4.3")</f>
        <v>7.8-4.3</v>
      </c>
      <c r="G19" s="104">
        <f>IFERROR(__xludf.DUMMYFUNCTION("""COMPUTED_VALUE"""),0.1)</f>
        <v>0.1</v>
      </c>
      <c r="H19" s="104">
        <f>IFERROR(__xludf.DUMMYFUNCTION("""COMPUTED_VALUE"""),89.7)</f>
        <v>89.7</v>
      </c>
      <c r="I19" s="104">
        <f>IFERROR(__xludf.DUMMYFUNCTION("""COMPUTED_VALUE"""),0.0)</f>
        <v>0</v>
      </c>
      <c r="J19" s="104">
        <f>IFERROR(__xludf.DUMMYFUNCTION("""COMPUTED_VALUE"""),3.8)</f>
        <v>3.8</v>
      </c>
      <c r="K19" s="104">
        <f>IFERROR(__xludf.DUMMYFUNCTION("""COMPUTED_VALUE"""),23.2)</f>
        <v>23.2</v>
      </c>
      <c r="L19" s="104">
        <f>IFERROR(__xludf.DUMMYFUNCTION("""COMPUTED_VALUE"""),2.8)</f>
        <v>2.8</v>
      </c>
      <c r="M19" s="104">
        <f>IFERROR(__xludf.DUMMYFUNCTION("""COMPUTED_VALUE"""),1.1)</f>
        <v>1.1</v>
      </c>
      <c r="N19" s="103" t="str">
        <f>IFERROR(__xludf.DUMMYFUNCTION("""COMPUTED_VALUE"""),"Michigan Wolverines")</f>
        <v>Michigan Wolverines</v>
      </c>
      <c r="O19" s="105" t="str">
        <f>IFERROR(__xludf.DUMMYFUNCTION("""COMPUTED_VALUE"""),"Big Ten")</f>
        <v>Big Ten</v>
      </c>
      <c r="P19" s="106">
        <f>IFERROR(__xludf.DUMMYFUNCTION("if(F19="""","""",indeX(split(F19,""-""),1)-J19/100)"),7.762)</f>
        <v>7.762</v>
      </c>
      <c r="Q19" s="106"/>
    </row>
    <row r="20">
      <c r="B20" s="107" t="str">
        <f>IFERROR(__xludf.DUMMYFUNCTION("""COMPUTED_VALUE"""),"0-0")</f>
        <v>0-0</v>
      </c>
      <c r="C20" s="104">
        <f>IFERROR(__xludf.DUMMYFUNCTION("""COMPUTED_VALUE"""),15.1)</f>
        <v>15.1</v>
      </c>
      <c r="D20" s="104">
        <f>IFERROR(__xludf.DUMMYFUNCTION("""COMPUTED_VALUE"""),16.0)</f>
        <v>16</v>
      </c>
      <c r="E20" s="104" t="str">
        <f>IFERROR(__xludf.DUMMYFUNCTION("""COMPUTED_VALUE"""),"--")</f>
        <v>--</v>
      </c>
      <c r="F20" s="103" t="str">
        <f>IFERROR(__xludf.DUMMYFUNCTION("""COMPUTED_VALUE"""),"7.3-4.7")</f>
        <v>7.3-4.7</v>
      </c>
      <c r="G20" s="104">
        <f>IFERROR(__xludf.DUMMYFUNCTION("""COMPUTED_VALUE"""),0.1)</f>
        <v>0.1</v>
      </c>
      <c r="H20" s="104">
        <f>IFERROR(__xludf.DUMMYFUNCTION("""COMPUTED_VALUE"""),80.8)</f>
        <v>80.8</v>
      </c>
      <c r="I20" s="104">
        <f>IFERROR(__xludf.DUMMYFUNCTION("""COMPUTED_VALUE"""),0.0)</f>
        <v>0</v>
      </c>
      <c r="J20" s="104">
        <f>IFERROR(__xludf.DUMMYFUNCTION("""COMPUTED_VALUE"""),3.1)</f>
        <v>3.1</v>
      </c>
      <c r="K20" s="104">
        <f>IFERROR(__xludf.DUMMYFUNCTION("""COMPUTED_VALUE"""),20.4)</f>
        <v>20.4</v>
      </c>
      <c r="L20" s="104">
        <f>IFERROR(__xludf.DUMMYFUNCTION("""COMPUTED_VALUE"""),2.5)</f>
        <v>2.5</v>
      </c>
      <c r="M20" s="104">
        <f>IFERROR(__xludf.DUMMYFUNCTION("""COMPUTED_VALUE"""),1.0)</f>
        <v>1</v>
      </c>
      <c r="N20" s="103" t="str">
        <f>IFERROR(__xludf.DUMMYFUNCTION("""COMPUTED_VALUE"""),"Tennessee Volunteers")</f>
        <v>Tennessee Volunteers</v>
      </c>
      <c r="O20" s="105" t="str">
        <f>IFERROR(__xludf.DUMMYFUNCTION("""COMPUTED_VALUE"""),"SEC")</f>
        <v>SEC</v>
      </c>
      <c r="P20" s="106">
        <f>IFERROR(__xludf.DUMMYFUNCTION("if(F20="""","""",indeX(split(F20,""-""),1)-J20/100)"),7.269)</f>
        <v>7.269</v>
      </c>
      <c r="Q20" s="106"/>
    </row>
    <row r="21">
      <c r="B21" s="107" t="str">
        <f>IFERROR(__xludf.DUMMYFUNCTION("""COMPUTED_VALUE"""),"0-0")</f>
        <v>0-0</v>
      </c>
      <c r="C21" s="104">
        <f>IFERROR(__xludf.DUMMYFUNCTION("""COMPUTED_VALUE"""),13.7)</f>
        <v>13.7</v>
      </c>
      <c r="D21" s="104">
        <f>IFERROR(__xludf.DUMMYFUNCTION("""COMPUTED_VALUE"""),17.0)</f>
        <v>17</v>
      </c>
      <c r="E21" s="104" t="str">
        <f>IFERROR(__xludf.DUMMYFUNCTION("""COMPUTED_VALUE"""),"--")</f>
        <v>--</v>
      </c>
      <c r="F21" s="103" t="str">
        <f>IFERROR(__xludf.DUMMYFUNCTION("""COMPUTED_VALUE"""),"9.0-3.2")</f>
        <v>9.0-3.2</v>
      </c>
      <c r="G21" s="104">
        <f>IFERROR(__xludf.DUMMYFUNCTION("""COMPUTED_VALUE"""),2.5)</f>
        <v>2.5</v>
      </c>
      <c r="H21" s="104">
        <f>IFERROR(__xludf.DUMMYFUNCTION("""COMPUTED_VALUE"""),95.8)</f>
        <v>95.8</v>
      </c>
      <c r="I21" s="104">
        <f>IFERROR(__xludf.DUMMYFUNCTION("""COMPUTED_VALUE"""),0.0)</f>
        <v>0</v>
      </c>
      <c r="J21" s="104">
        <f>IFERROR(__xludf.DUMMYFUNCTION("""COMPUTED_VALUE"""),4.5)</f>
        <v>4.5</v>
      </c>
      <c r="K21" s="104">
        <f>IFERROR(__xludf.DUMMYFUNCTION("""COMPUTED_VALUE"""),22.0)</f>
        <v>22</v>
      </c>
      <c r="L21" s="104">
        <f>IFERROR(__xludf.DUMMYFUNCTION("""COMPUTED_VALUE"""),2.1)</f>
        <v>2.1</v>
      </c>
      <c r="M21" s="104">
        <f>IFERROR(__xludf.DUMMYFUNCTION("""COMPUTED_VALUE"""),0.8)</f>
        <v>0.8</v>
      </c>
      <c r="N21" s="103" t="str">
        <f>IFERROR(__xludf.DUMMYFUNCTION("""COMPUTED_VALUE"""),"Penn State Nittany Lions")</f>
        <v>Penn State Nittany Lions</v>
      </c>
      <c r="O21" s="105" t="str">
        <f>IFERROR(__xludf.DUMMYFUNCTION("""COMPUTED_VALUE"""),"Big Ten")</f>
        <v>Big Ten</v>
      </c>
      <c r="P21" s="106">
        <f>IFERROR(__xludf.DUMMYFUNCTION("if(F21="""","""",indeX(split(F21,""-""),1)-J21/100)"),8.955)</f>
        <v>8.955</v>
      </c>
      <c r="Q21" s="106"/>
    </row>
    <row r="22">
      <c r="B22" s="107" t="str">
        <f>IFERROR(__xludf.DUMMYFUNCTION("""COMPUTED_VALUE"""),"0-0")</f>
        <v>0-0</v>
      </c>
      <c r="C22" s="104">
        <f>IFERROR(__xludf.DUMMYFUNCTION("""COMPUTED_VALUE"""),13.6)</f>
        <v>13.6</v>
      </c>
      <c r="D22" s="104">
        <f>IFERROR(__xludf.DUMMYFUNCTION("""COMPUTED_VALUE"""),18.0)</f>
        <v>18</v>
      </c>
      <c r="E22" s="104" t="str">
        <f>IFERROR(__xludf.DUMMYFUNCTION("""COMPUTED_VALUE"""),"--")</f>
        <v>--</v>
      </c>
      <c r="F22" s="103" t="str">
        <f>IFERROR(__xludf.DUMMYFUNCTION("""COMPUTED_VALUE"""),"6.7-5.3")</f>
        <v>6.7-5.3</v>
      </c>
      <c r="G22" s="104">
        <f>IFERROR(__xludf.DUMMYFUNCTION("""COMPUTED_VALUE"""),0.0)</f>
        <v>0</v>
      </c>
      <c r="H22" s="104">
        <f>IFERROR(__xludf.DUMMYFUNCTION("""COMPUTED_VALUE"""),71.6)</f>
        <v>71.6</v>
      </c>
      <c r="I22" s="104">
        <f>IFERROR(__xludf.DUMMYFUNCTION("""COMPUTED_VALUE"""),0.0)</f>
        <v>0</v>
      </c>
      <c r="J22" s="104">
        <f>IFERROR(__xludf.DUMMYFUNCTION("""COMPUTED_VALUE"""),2.0)</f>
        <v>2</v>
      </c>
      <c r="K22" s="104">
        <f>IFERROR(__xludf.DUMMYFUNCTION("""COMPUTED_VALUE"""),15.1)</f>
        <v>15.1</v>
      </c>
      <c r="L22" s="104">
        <f>IFERROR(__xludf.DUMMYFUNCTION("""COMPUTED_VALUE"""),1.7)</f>
        <v>1.7</v>
      </c>
      <c r="M22" s="104">
        <f>IFERROR(__xludf.DUMMYFUNCTION("""COMPUTED_VALUE"""),0.7)</f>
        <v>0.7</v>
      </c>
      <c r="N22" s="103" t="str">
        <f>IFERROR(__xludf.DUMMYFUNCTION("""COMPUTED_VALUE"""),"Florida Gators")</f>
        <v>Florida Gators</v>
      </c>
      <c r="O22" s="105" t="str">
        <f>IFERROR(__xludf.DUMMYFUNCTION("""COMPUTED_VALUE"""),"SEC")</f>
        <v>SEC</v>
      </c>
      <c r="P22" s="106">
        <f>IFERROR(__xludf.DUMMYFUNCTION("if(F22="""","""",indeX(split(F22,""-""),1)-J22/100)"),6.680000000000001)</f>
        <v>6.68</v>
      </c>
      <c r="Q22" s="106"/>
    </row>
    <row r="23">
      <c r="B23" s="107" t="str">
        <f>IFERROR(__xludf.DUMMYFUNCTION("""COMPUTED_VALUE"""),"0-0")</f>
        <v>0-0</v>
      </c>
      <c r="C23" s="104">
        <f>IFERROR(__xludf.DUMMYFUNCTION("""COMPUTED_VALUE"""),13.4)</f>
        <v>13.4</v>
      </c>
      <c r="D23" s="104">
        <f>IFERROR(__xludf.DUMMYFUNCTION("""COMPUTED_VALUE"""),19.0)</f>
        <v>19</v>
      </c>
      <c r="E23" s="104" t="str">
        <f>IFERROR(__xludf.DUMMYFUNCTION("""COMPUTED_VALUE"""),"--")</f>
        <v>--</v>
      </c>
      <c r="F23" s="103" t="str">
        <f>IFERROR(__xludf.DUMMYFUNCTION("""COMPUTED_VALUE"""),"8.1-4.1")</f>
        <v>8.1-4.1</v>
      </c>
      <c r="G23" s="104">
        <f>IFERROR(__xludf.DUMMYFUNCTION("""COMPUTED_VALUE"""),0.5)</f>
        <v>0.5</v>
      </c>
      <c r="H23" s="104">
        <f>IFERROR(__xludf.DUMMYFUNCTION("""COMPUTED_VALUE"""),89.3)</f>
        <v>89.3</v>
      </c>
      <c r="I23" s="104">
        <f>IFERROR(__xludf.DUMMYFUNCTION("""COMPUTED_VALUE"""),0.0)</f>
        <v>0</v>
      </c>
      <c r="J23" s="104">
        <f>IFERROR(__xludf.DUMMYFUNCTION("""COMPUTED_VALUE"""),11.9)</f>
        <v>11.9</v>
      </c>
      <c r="K23" s="104">
        <f>IFERROR(__xludf.DUMMYFUNCTION("""COMPUTED_VALUE"""),22.3)</f>
        <v>22.3</v>
      </c>
      <c r="L23" s="104">
        <f>IFERROR(__xludf.DUMMYFUNCTION("""COMPUTED_VALUE"""),2.1)</f>
        <v>2.1</v>
      </c>
      <c r="M23" s="104">
        <f>IFERROR(__xludf.DUMMYFUNCTION("""COMPUTED_VALUE"""),0.8)</f>
        <v>0.8</v>
      </c>
      <c r="N23" s="103" t="str">
        <f>IFERROR(__xludf.DUMMYFUNCTION("""COMPUTED_VALUE"""),"Clemson Tigers")</f>
        <v>Clemson Tigers</v>
      </c>
      <c r="O23" s="105" t="str">
        <f>IFERROR(__xludf.DUMMYFUNCTION("""COMPUTED_VALUE"""),"ACC")</f>
        <v>ACC</v>
      </c>
      <c r="P23" s="106">
        <f>IFERROR(__xludf.DUMMYFUNCTION("if(F23="""","""",indeX(split(F23,""-""),1)-J23/100)"),7.981)</f>
        <v>7.981</v>
      </c>
      <c r="Q23" s="106"/>
    </row>
    <row r="24">
      <c r="B24" s="107" t="str">
        <f>IFERROR(__xludf.DUMMYFUNCTION("""COMPUTED_VALUE"""),"0-0")</f>
        <v>0-0</v>
      </c>
      <c r="C24" s="104">
        <f>IFERROR(__xludf.DUMMYFUNCTION("""COMPUTED_VALUE"""),13.1)</f>
        <v>13.1</v>
      </c>
      <c r="D24" s="104">
        <f>IFERROR(__xludf.DUMMYFUNCTION("""COMPUTED_VALUE"""),20.0)</f>
        <v>20</v>
      </c>
      <c r="E24" s="104" t="str">
        <f>IFERROR(__xludf.DUMMYFUNCTION("""COMPUTED_VALUE"""),"--")</f>
        <v>--</v>
      </c>
      <c r="F24" s="103" t="str">
        <f>IFERROR(__xludf.DUMMYFUNCTION("""COMPUTED_VALUE"""),"8.7-3.6")</f>
        <v>8.7-3.6</v>
      </c>
      <c r="G24" s="104">
        <f>IFERROR(__xludf.DUMMYFUNCTION("""COMPUTED_VALUE"""),1.4)</f>
        <v>1.4</v>
      </c>
      <c r="H24" s="104">
        <f>IFERROR(__xludf.DUMMYFUNCTION("""COMPUTED_VALUE"""),93.1)</f>
        <v>93.1</v>
      </c>
      <c r="I24" s="104">
        <f>IFERROR(__xludf.DUMMYFUNCTION("""COMPUTED_VALUE"""),0.0)</f>
        <v>0</v>
      </c>
      <c r="J24" s="104">
        <f>IFERROR(__xludf.DUMMYFUNCTION("""COMPUTED_VALUE"""),16.5)</f>
        <v>16.5</v>
      </c>
      <c r="K24" s="104">
        <f>IFERROR(__xludf.DUMMYFUNCTION("""COMPUTED_VALUE"""),25.6)</f>
        <v>25.6</v>
      </c>
      <c r="L24" s="104">
        <f>IFERROR(__xludf.DUMMYFUNCTION("""COMPUTED_VALUE"""),2.0)</f>
        <v>2</v>
      </c>
      <c r="M24" s="104">
        <f>IFERROR(__xludf.DUMMYFUNCTION("""COMPUTED_VALUE"""),0.7)</f>
        <v>0.7</v>
      </c>
      <c r="N24" s="103" t="str">
        <f>IFERROR(__xludf.DUMMYFUNCTION("""COMPUTED_VALUE"""),"BYU Cougars")</f>
        <v>BYU Cougars</v>
      </c>
      <c r="O24" s="105" t="str">
        <f>IFERROR(__xludf.DUMMYFUNCTION("""COMPUTED_VALUE"""),"Big 12")</f>
        <v>Big 12</v>
      </c>
      <c r="P24" s="106">
        <f>IFERROR(__xludf.DUMMYFUNCTION("if(F24="""","""",indeX(split(F24,""-""),1)-J24/100)"),8.535)</f>
        <v>8.535</v>
      </c>
      <c r="Q24" s="106"/>
    </row>
    <row r="25">
      <c r="B25" s="107" t="str">
        <f>IFERROR(__xludf.DUMMYFUNCTION("""COMPUTED_VALUE"""),"0-0")</f>
        <v>0-0</v>
      </c>
      <c r="C25" s="104">
        <f>IFERROR(__xludf.DUMMYFUNCTION("""COMPUTED_VALUE"""),12.2)</f>
        <v>12.2</v>
      </c>
      <c r="D25" s="104">
        <f>IFERROR(__xludf.DUMMYFUNCTION("""COMPUTED_VALUE"""),21.0)</f>
        <v>21</v>
      </c>
      <c r="E25" s="104" t="str">
        <f>IFERROR(__xludf.DUMMYFUNCTION("""COMPUTED_VALUE"""),"--")</f>
        <v>--</v>
      </c>
      <c r="F25" s="103" t="str">
        <f>IFERROR(__xludf.DUMMYFUNCTION("""COMPUTED_VALUE"""),"6.7-5.3")</f>
        <v>6.7-5.3</v>
      </c>
      <c r="G25" s="104">
        <f>IFERROR(__xludf.DUMMYFUNCTION("""COMPUTED_VALUE"""),0.0)</f>
        <v>0</v>
      </c>
      <c r="H25" s="104">
        <f>IFERROR(__xludf.DUMMYFUNCTION("""COMPUTED_VALUE"""),71.9)</f>
        <v>71.9</v>
      </c>
      <c r="I25" s="104">
        <f>IFERROR(__xludf.DUMMYFUNCTION("""COMPUTED_VALUE"""),0.0)</f>
        <v>0</v>
      </c>
      <c r="J25" s="104">
        <f>IFERROR(__xludf.DUMMYFUNCTION("""COMPUTED_VALUE"""),1.5)</f>
        <v>1.5</v>
      </c>
      <c r="K25" s="104">
        <f>IFERROR(__xludf.DUMMYFUNCTION("""COMPUTED_VALUE"""),12.4)</f>
        <v>12.4</v>
      </c>
      <c r="L25" s="104">
        <f>IFERROR(__xludf.DUMMYFUNCTION("""COMPUTED_VALUE"""),1.2)</f>
        <v>1.2</v>
      </c>
      <c r="M25" s="104">
        <f>IFERROR(__xludf.DUMMYFUNCTION("""COMPUTED_VALUE"""),0.4)</f>
        <v>0.4</v>
      </c>
      <c r="N25" s="103" t="str">
        <f>IFERROR(__xludf.DUMMYFUNCTION("""COMPUTED_VALUE"""),"Missouri Tigers")</f>
        <v>Missouri Tigers</v>
      </c>
      <c r="O25" s="105" t="str">
        <f>IFERROR(__xludf.DUMMYFUNCTION("""COMPUTED_VALUE"""),"SEC")</f>
        <v>SEC</v>
      </c>
      <c r="P25" s="106">
        <f>IFERROR(__xludf.DUMMYFUNCTION("if(F25="""","""",indeX(split(F25,""-""),1)-J25/100)"),6.6850000000000005)</f>
        <v>6.685</v>
      </c>
      <c r="Q25" s="106"/>
    </row>
    <row r="26">
      <c r="B26" s="107" t="str">
        <f>IFERROR(__xludf.DUMMYFUNCTION("""COMPUTED_VALUE"""),"0-0")</f>
        <v>0-0</v>
      </c>
      <c r="C26" s="104">
        <f>IFERROR(__xludf.DUMMYFUNCTION("""COMPUTED_VALUE"""),12.0)</f>
        <v>12</v>
      </c>
      <c r="D26" s="104">
        <f>IFERROR(__xludf.DUMMYFUNCTION("""COMPUTED_VALUE"""),22.0)</f>
        <v>22</v>
      </c>
      <c r="E26" s="104" t="str">
        <f>IFERROR(__xludf.DUMMYFUNCTION("""COMPUTED_VALUE"""),"--")</f>
        <v>--</v>
      </c>
      <c r="F26" s="103" t="str">
        <f>IFERROR(__xludf.DUMMYFUNCTION("""COMPUTED_VALUE"""),"6.6-5.4")</f>
        <v>6.6-5.4</v>
      </c>
      <c r="G26" s="104">
        <f>IFERROR(__xludf.DUMMYFUNCTION("""COMPUTED_VALUE"""),0.0)</f>
        <v>0</v>
      </c>
      <c r="H26" s="104">
        <f>IFERROR(__xludf.DUMMYFUNCTION("""COMPUTED_VALUE"""),69.7)</f>
        <v>69.7</v>
      </c>
      <c r="I26" s="104">
        <f>IFERROR(__xludf.DUMMYFUNCTION("""COMPUTED_VALUE"""),0.0)</f>
        <v>0</v>
      </c>
      <c r="J26" s="104">
        <f>IFERROR(__xludf.DUMMYFUNCTION("""COMPUTED_VALUE"""),1.4)</f>
        <v>1.4</v>
      </c>
      <c r="K26" s="104">
        <f>IFERROR(__xludf.DUMMYFUNCTION("""COMPUTED_VALUE"""),12.0)</f>
        <v>12</v>
      </c>
      <c r="L26" s="104">
        <f>IFERROR(__xludf.DUMMYFUNCTION("""COMPUTED_VALUE"""),1.2)</f>
        <v>1.2</v>
      </c>
      <c r="M26" s="104">
        <f>IFERROR(__xludf.DUMMYFUNCTION("""COMPUTED_VALUE"""),0.5)</f>
        <v>0.5</v>
      </c>
      <c r="N26" s="103" t="str">
        <f>IFERROR(__xludf.DUMMYFUNCTION("""COMPUTED_VALUE"""),"Auburn Tigers")</f>
        <v>Auburn Tigers</v>
      </c>
      <c r="O26" s="105" t="str">
        <f>IFERROR(__xludf.DUMMYFUNCTION("""COMPUTED_VALUE"""),"SEC")</f>
        <v>SEC</v>
      </c>
      <c r="P26" s="106">
        <f>IFERROR(__xludf.DUMMYFUNCTION("if(F26="""","""",indeX(split(F26,""-""),1)-J26/100)"),6.585999999999999)</f>
        <v>6.586</v>
      </c>
      <c r="Q26" s="106"/>
    </row>
    <row r="27">
      <c r="B27" s="107" t="str">
        <f>IFERROR(__xludf.DUMMYFUNCTION("""COMPUTED_VALUE"""),"0-0")</f>
        <v>0-0</v>
      </c>
      <c r="C27" s="104">
        <f>IFERROR(__xludf.DUMMYFUNCTION("""COMPUTED_VALUE"""),11.7)</f>
        <v>11.7</v>
      </c>
      <c r="D27" s="104">
        <f>IFERROR(__xludf.DUMMYFUNCTION("""COMPUTED_VALUE"""),23.0)</f>
        <v>23</v>
      </c>
      <c r="E27" s="104" t="str">
        <f>IFERROR(__xludf.DUMMYFUNCTION("""COMPUTED_VALUE"""),"--")</f>
        <v>--</v>
      </c>
      <c r="F27" s="103" t="str">
        <f>IFERROR(__xludf.DUMMYFUNCTION("""COMPUTED_VALUE"""),"6.4-5.6")</f>
        <v>6.4-5.6</v>
      </c>
      <c r="G27" s="104">
        <f>IFERROR(__xludf.DUMMYFUNCTION("""COMPUTED_VALUE"""),0.0)</f>
        <v>0</v>
      </c>
      <c r="H27" s="104">
        <f>IFERROR(__xludf.DUMMYFUNCTION("""COMPUTED_VALUE"""),66.6)</f>
        <v>66.6</v>
      </c>
      <c r="I27" s="104">
        <f>IFERROR(__xludf.DUMMYFUNCTION("""COMPUTED_VALUE"""),0.0)</f>
        <v>0</v>
      </c>
      <c r="J27" s="104">
        <f>IFERROR(__xludf.DUMMYFUNCTION("""COMPUTED_VALUE"""),1.3)</f>
        <v>1.3</v>
      </c>
      <c r="K27" s="104">
        <f>IFERROR(__xludf.DUMMYFUNCTION("""COMPUTED_VALUE"""),10.8)</f>
        <v>10.8</v>
      </c>
      <c r="L27" s="104">
        <f>IFERROR(__xludf.DUMMYFUNCTION("""COMPUTED_VALUE"""),1.1)</f>
        <v>1.1</v>
      </c>
      <c r="M27" s="104">
        <f>IFERROR(__xludf.DUMMYFUNCTION("""COMPUTED_VALUE"""),0.4)</f>
        <v>0.4</v>
      </c>
      <c r="N27" s="103" t="str">
        <f>IFERROR(__xludf.DUMMYFUNCTION("""COMPUTED_VALUE"""),"South Carolina Gamecocks")</f>
        <v>South Carolina Gamecocks</v>
      </c>
      <c r="O27" s="105" t="str">
        <f>IFERROR(__xludf.DUMMYFUNCTION("""COMPUTED_VALUE"""),"SEC")</f>
        <v>SEC</v>
      </c>
      <c r="P27" s="106">
        <f>IFERROR(__xludf.DUMMYFUNCTION("if(F27="""","""",indeX(split(F27,""-""),1)-J27/100)"),6.3870000000000005)</f>
        <v>6.387</v>
      </c>
      <c r="Q27" s="106"/>
    </row>
    <row r="28">
      <c r="B28" s="107" t="str">
        <f>IFERROR(__xludf.DUMMYFUNCTION("""COMPUTED_VALUE"""),"0-0")</f>
        <v>0-0</v>
      </c>
      <c r="C28" s="104">
        <f>IFERROR(__xludf.DUMMYFUNCTION("""COMPUTED_VALUE"""),11.1)</f>
        <v>11.1</v>
      </c>
      <c r="D28" s="104">
        <f>IFERROR(__xludf.DUMMYFUNCTION("""COMPUTED_VALUE"""),24.0)</f>
        <v>24</v>
      </c>
      <c r="E28" s="104" t="str">
        <f>IFERROR(__xludf.DUMMYFUNCTION("""COMPUTED_VALUE"""),"--")</f>
        <v>--</v>
      </c>
      <c r="F28" s="103" t="str">
        <f>IFERROR(__xludf.DUMMYFUNCTION("""COMPUTED_VALUE"""),"8.3-4.0")</f>
        <v>8.3-4.0</v>
      </c>
      <c r="G28" s="104">
        <f>IFERROR(__xludf.DUMMYFUNCTION("""COMPUTED_VALUE"""),0.4)</f>
        <v>0.4</v>
      </c>
      <c r="H28" s="104">
        <f>IFERROR(__xludf.DUMMYFUNCTION("""COMPUTED_VALUE"""),91.6)</f>
        <v>91.6</v>
      </c>
      <c r="I28" s="104">
        <f>IFERROR(__xludf.DUMMYFUNCTION("""COMPUTED_VALUE"""),0.0)</f>
        <v>0</v>
      </c>
      <c r="J28" s="104">
        <f>IFERROR(__xludf.DUMMYFUNCTION("""COMPUTED_VALUE"""),10.3)</f>
        <v>10.3</v>
      </c>
      <c r="K28" s="104">
        <f>IFERROR(__xludf.DUMMYFUNCTION("""COMPUTED_VALUE"""),18.2)</f>
        <v>18.2</v>
      </c>
      <c r="L28" s="104">
        <f>IFERROR(__xludf.DUMMYFUNCTION("""COMPUTED_VALUE"""),1.3)</f>
        <v>1.3</v>
      </c>
      <c r="M28" s="104">
        <f>IFERROR(__xludf.DUMMYFUNCTION("""COMPUTED_VALUE"""),0.4)</f>
        <v>0.4</v>
      </c>
      <c r="N28" s="103" t="str">
        <f>IFERROR(__xludf.DUMMYFUNCTION("""COMPUTED_VALUE"""),"SMU Mustangs")</f>
        <v>SMU Mustangs</v>
      </c>
      <c r="O28" s="105" t="str">
        <f>IFERROR(__xludf.DUMMYFUNCTION("""COMPUTED_VALUE"""),"ACC")</f>
        <v>ACC</v>
      </c>
      <c r="P28" s="106">
        <f>IFERROR(__xludf.DUMMYFUNCTION("if(F28="""","""",indeX(split(F28,""-""),1)-J28/100)"),8.197000000000001)</f>
        <v>8.197</v>
      </c>
      <c r="Q28" s="106"/>
    </row>
    <row r="29">
      <c r="B29" s="107" t="str">
        <f>IFERROR(__xludf.DUMMYFUNCTION("""COMPUTED_VALUE"""),"0-0")</f>
        <v>0-0</v>
      </c>
      <c r="C29" s="104">
        <f>IFERROR(__xludf.DUMMYFUNCTION("""COMPUTED_VALUE"""),10.6)</f>
        <v>10.6</v>
      </c>
      <c r="D29" s="104">
        <f>IFERROR(__xludf.DUMMYFUNCTION("""COMPUTED_VALUE"""),25.0)</f>
        <v>25</v>
      </c>
      <c r="E29" s="104" t="str">
        <f>IFERROR(__xludf.DUMMYFUNCTION("""COMPUTED_VALUE"""),"--")</f>
        <v>--</v>
      </c>
      <c r="F29" s="103" t="str">
        <f>IFERROR(__xludf.DUMMYFUNCTION("""COMPUTED_VALUE"""),"7.6-4.4")</f>
        <v>7.6-4.4</v>
      </c>
      <c r="G29" s="104">
        <f>IFERROR(__xludf.DUMMYFUNCTION("""COMPUTED_VALUE"""),0.1)</f>
        <v>0.1</v>
      </c>
      <c r="H29" s="104">
        <f>IFERROR(__xludf.DUMMYFUNCTION("""COMPUTED_VALUE"""),86.2)</f>
        <v>86.2</v>
      </c>
      <c r="I29" s="104">
        <f>IFERROR(__xludf.DUMMYFUNCTION("""COMPUTED_VALUE"""),0.0)</f>
        <v>0</v>
      </c>
      <c r="J29" s="104">
        <f>IFERROR(__xludf.DUMMYFUNCTION("""COMPUTED_VALUE"""),1.7)</f>
        <v>1.7</v>
      </c>
      <c r="K29" s="104">
        <f>IFERROR(__xludf.DUMMYFUNCTION("""COMPUTED_VALUE"""),11.8)</f>
        <v>11.8</v>
      </c>
      <c r="L29" s="104">
        <f>IFERROR(__xludf.DUMMYFUNCTION("""COMPUTED_VALUE"""),0.8)</f>
        <v>0.8</v>
      </c>
      <c r="M29" s="104">
        <f>IFERROR(__xludf.DUMMYFUNCTION("""COMPUTED_VALUE"""),0.2)</f>
        <v>0.2</v>
      </c>
      <c r="N29" s="103" t="str">
        <f>IFERROR(__xludf.DUMMYFUNCTION("""COMPUTED_VALUE"""),"Iowa Hawkeyes")</f>
        <v>Iowa Hawkeyes</v>
      </c>
      <c r="O29" s="105" t="str">
        <f>IFERROR(__xludf.DUMMYFUNCTION("""COMPUTED_VALUE"""),"Big Ten")</f>
        <v>Big Ten</v>
      </c>
      <c r="P29" s="106">
        <f>IFERROR(__xludf.DUMMYFUNCTION("if(F29="""","""",indeX(split(F29,""-""),1)-J29/100)"),7.582999999999999)</f>
        <v>7.583</v>
      </c>
      <c r="Q29" s="106"/>
    </row>
    <row r="30">
      <c r="B30" s="107" t="str">
        <f>IFERROR(__xludf.DUMMYFUNCTION("""COMPUTED_VALUE"""),"0-0")</f>
        <v>0-0</v>
      </c>
      <c r="C30" s="104">
        <f>IFERROR(__xludf.DUMMYFUNCTION("""COMPUTED_VALUE"""),9.9)</f>
        <v>9.9</v>
      </c>
      <c r="D30" s="104">
        <f>IFERROR(__xludf.DUMMYFUNCTION("""COMPUTED_VALUE"""),26.0)</f>
        <v>26</v>
      </c>
      <c r="E30" s="104" t="str">
        <f>IFERROR(__xludf.DUMMYFUNCTION("""COMPUTED_VALUE"""),"--")</f>
        <v>--</v>
      </c>
      <c r="F30" s="103" t="str">
        <f>IFERROR(__xludf.DUMMYFUNCTION("""COMPUTED_VALUE"""),"7.0-5.0")</f>
        <v>7.0-5.0</v>
      </c>
      <c r="G30" s="104">
        <f>IFERROR(__xludf.DUMMYFUNCTION("""COMPUTED_VALUE"""),0.0)</f>
        <v>0</v>
      </c>
      <c r="H30" s="104">
        <f>IFERROR(__xludf.DUMMYFUNCTION("""COMPUTED_VALUE"""),78.1)</f>
        <v>78.1</v>
      </c>
      <c r="I30" s="104">
        <f>IFERROR(__xludf.DUMMYFUNCTION("""COMPUTED_VALUE"""),0.0)</f>
        <v>0</v>
      </c>
      <c r="J30" s="104">
        <f>IFERROR(__xludf.DUMMYFUNCTION("""COMPUTED_VALUE"""),1.0)</f>
        <v>1</v>
      </c>
      <c r="K30" s="104">
        <f>IFERROR(__xludf.DUMMYFUNCTION("""COMPUTED_VALUE"""),9.2)</f>
        <v>9.2</v>
      </c>
      <c r="L30" s="104">
        <f>IFERROR(__xludf.DUMMYFUNCTION("""COMPUTED_VALUE"""),0.6)</f>
        <v>0.6</v>
      </c>
      <c r="M30" s="104">
        <f>IFERROR(__xludf.DUMMYFUNCTION("""COMPUTED_VALUE"""),0.2)</f>
        <v>0.2</v>
      </c>
      <c r="N30" s="103" t="str">
        <f>IFERROR(__xludf.DUMMYFUNCTION("""COMPUTED_VALUE"""),"Washington Huskies")</f>
        <v>Washington Huskies</v>
      </c>
      <c r="O30" s="105" t="str">
        <f>IFERROR(__xludf.DUMMYFUNCTION("""COMPUTED_VALUE"""),"Big Ten")</f>
        <v>Big Ten</v>
      </c>
      <c r="P30" s="106">
        <f>IFERROR(__xludf.DUMMYFUNCTION("if(F30="""","""",indeX(split(F30,""-""),1)-J30/100)"),6.99)</f>
        <v>6.99</v>
      </c>
      <c r="Q30" s="106"/>
    </row>
    <row r="31">
      <c r="B31" s="107" t="str">
        <f>IFERROR(__xludf.DUMMYFUNCTION("""COMPUTED_VALUE"""),"0-0")</f>
        <v>0-0</v>
      </c>
      <c r="C31" s="104">
        <f>IFERROR(__xludf.DUMMYFUNCTION("""COMPUTED_VALUE"""),9.5)</f>
        <v>9.5</v>
      </c>
      <c r="D31" s="104">
        <f>IFERROR(__xludf.DUMMYFUNCTION("""COMPUTED_VALUE"""),27.0)</f>
        <v>27</v>
      </c>
      <c r="E31" s="104" t="str">
        <f>IFERROR(__xludf.DUMMYFUNCTION("""COMPUTED_VALUE"""),"--")</f>
        <v>--</v>
      </c>
      <c r="F31" s="103" t="str">
        <f>IFERROR(__xludf.DUMMYFUNCTION("""COMPUTED_VALUE"""),"7.6-4.6")</f>
        <v>7.6-4.6</v>
      </c>
      <c r="G31" s="104">
        <f>IFERROR(__xludf.DUMMYFUNCTION("""COMPUTED_VALUE"""),0.3)</f>
        <v>0.3</v>
      </c>
      <c r="H31" s="104">
        <f>IFERROR(__xludf.DUMMYFUNCTION("""COMPUTED_VALUE"""),82.0)</f>
        <v>82</v>
      </c>
      <c r="I31" s="104">
        <f>IFERROR(__xludf.DUMMYFUNCTION("""COMPUTED_VALUE"""),0.0)</f>
        <v>0</v>
      </c>
      <c r="J31" s="104">
        <f>IFERROR(__xludf.DUMMYFUNCTION("""COMPUTED_VALUE"""),7.0)</f>
        <v>7</v>
      </c>
      <c r="K31" s="104">
        <f>IFERROR(__xludf.DUMMYFUNCTION("""COMPUTED_VALUE"""),13.4)</f>
        <v>13.4</v>
      </c>
      <c r="L31" s="104">
        <f>IFERROR(__xludf.DUMMYFUNCTION("""COMPUTED_VALUE"""),0.8)</f>
        <v>0.8</v>
      </c>
      <c r="M31" s="104">
        <f>IFERROR(__xludf.DUMMYFUNCTION("""COMPUTED_VALUE"""),0.2)</f>
        <v>0.2</v>
      </c>
      <c r="N31" s="103" t="str">
        <f>IFERROR(__xludf.DUMMYFUNCTION("""COMPUTED_VALUE"""),"Louisville Cardinals")</f>
        <v>Louisville Cardinals</v>
      </c>
      <c r="O31" s="105" t="str">
        <f>IFERROR(__xludf.DUMMYFUNCTION("""COMPUTED_VALUE"""),"ACC")</f>
        <v>ACC</v>
      </c>
      <c r="P31" s="106">
        <f>IFERROR(__xludf.DUMMYFUNCTION("if(F31="""","""",indeX(split(F31,""-""),1)-J31/100)"),7.529999999999999)</f>
        <v>7.53</v>
      </c>
      <c r="Q31" s="106"/>
    </row>
    <row r="32">
      <c r="B32" s="107" t="str">
        <f>IFERROR(__xludf.DUMMYFUNCTION("""COMPUTED_VALUE"""),"0-0")</f>
        <v>0-0</v>
      </c>
      <c r="C32" s="104">
        <f>IFERROR(__xludf.DUMMYFUNCTION("""COMPUTED_VALUE"""),9.3)</f>
        <v>9.3</v>
      </c>
      <c r="D32" s="104">
        <f>IFERROR(__xludf.DUMMYFUNCTION("""COMPUTED_VALUE"""),28.0)</f>
        <v>28</v>
      </c>
      <c r="E32" s="104" t="str">
        <f>IFERROR(__xludf.DUMMYFUNCTION("""COMPUTED_VALUE"""),"--")</f>
        <v>--</v>
      </c>
      <c r="F32" s="103" t="str">
        <f>IFERROR(__xludf.DUMMYFUNCTION("""COMPUTED_VALUE"""),"6.7-5.4")</f>
        <v>6.7-5.4</v>
      </c>
      <c r="G32" s="104">
        <f>IFERROR(__xludf.DUMMYFUNCTION("""COMPUTED_VALUE"""),0.0)</f>
        <v>0</v>
      </c>
      <c r="H32" s="104">
        <f>IFERROR(__xludf.DUMMYFUNCTION("""COMPUTED_VALUE"""),71.0)</f>
        <v>71</v>
      </c>
      <c r="I32" s="104">
        <f>IFERROR(__xludf.DUMMYFUNCTION("""COMPUTED_VALUE"""),0.0)</f>
        <v>0</v>
      </c>
      <c r="J32" s="104">
        <f>IFERROR(__xludf.DUMMYFUNCTION("""COMPUTED_VALUE"""),4.2)</f>
        <v>4.2</v>
      </c>
      <c r="K32" s="104">
        <f>IFERROR(__xludf.DUMMYFUNCTION("""COMPUTED_VALUE"""),9.5)</f>
        <v>9.5</v>
      </c>
      <c r="L32" s="104">
        <f>IFERROR(__xludf.DUMMYFUNCTION("""COMPUTED_VALUE"""),0.6)</f>
        <v>0.6</v>
      </c>
      <c r="M32" s="104">
        <f>IFERROR(__xludf.DUMMYFUNCTION("""COMPUTED_VALUE"""),0.2)</f>
        <v>0.2</v>
      </c>
      <c r="N32" s="103" t="str">
        <f>IFERROR(__xludf.DUMMYFUNCTION("""COMPUTED_VALUE"""),"Florida State Seminoles")</f>
        <v>Florida State Seminoles</v>
      </c>
      <c r="O32" s="105" t="str">
        <f>IFERROR(__xludf.DUMMYFUNCTION("""COMPUTED_VALUE"""),"ACC")</f>
        <v>ACC</v>
      </c>
      <c r="P32" s="106">
        <f>IFERROR(__xludf.DUMMYFUNCTION("if(F32="""","""",indeX(split(F32,""-""),1)-J32/100)"),6.658)</f>
        <v>6.658</v>
      </c>
      <c r="Q32" s="106"/>
    </row>
    <row r="33">
      <c r="B33" s="107" t="str">
        <f>IFERROR(__xludf.DUMMYFUNCTION("""COMPUTED_VALUE"""),"0-0")</f>
        <v>0-0</v>
      </c>
      <c r="C33" s="104">
        <f>IFERROR(__xludf.DUMMYFUNCTION("""COMPUTED_VALUE"""),9.0)</f>
        <v>9</v>
      </c>
      <c r="D33" s="104">
        <f>IFERROR(__xludf.DUMMYFUNCTION("""COMPUTED_VALUE"""),29.0)</f>
        <v>29</v>
      </c>
      <c r="E33" s="104" t="str">
        <f>IFERROR(__xludf.DUMMYFUNCTION("""COMPUTED_VALUE"""),"--")</f>
        <v>--</v>
      </c>
      <c r="F33" s="103" t="str">
        <f>IFERROR(__xludf.DUMMYFUNCTION("""COMPUTED_VALUE"""),"6.2-5.8")</f>
        <v>6.2-5.8</v>
      </c>
      <c r="G33" s="104">
        <f>IFERROR(__xludf.DUMMYFUNCTION("""COMPUTED_VALUE"""),0.0)</f>
        <v>0</v>
      </c>
      <c r="H33" s="104">
        <f>IFERROR(__xludf.DUMMYFUNCTION("""COMPUTED_VALUE"""),62.5)</f>
        <v>62.5</v>
      </c>
      <c r="I33" s="104">
        <f>IFERROR(__xludf.DUMMYFUNCTION("""COMPUTED_VALUE"""),0.0)</f>
        <v>0</v>
      </c>
      <c r="J33" s="104">
        <f>IFERROR(__xludf.DUMMYFUNCTION("""COMPUTED_VALUE"""),0.7)</f>
        <v>0.7</v>
      </c>
      <c r="K33" s="104">
        <f>IFERROR(__xludf.DUMMYFUNCTION("""COMPUTED_VALUE"""),6.8)</f>
        <v>6.8</v>
      </c>
      <c r="L33" s="104">
        <f>IFERROR(__xludf.DUMMYFUNCTION("""COMPUTED_VALUE"""),0.5)</f>
        <v>0.5</v>
      </c>
      <c r="M33" s="104">
        <f>IFERROR(__xludf.DUMMYFUNCTION("""COMPUTED_VALUE"""),0.1)</f>
        <v>0.1</v>
      </c>
      <c r="N33" s="103" t="str">
        <f>IFERROR(__xludf.DUMMYFUNCTION("""COMPUTED_VALUE"""),"Vanderbilt Commodores")</f>
        <v>Vanderbilt Commodores</v>
      </c>
      <c r="O33" s="105" t="str">
        <f>IFERROR(__xludf.DUMMYFUNCTION("""COMPUTED_VALUE"""),"SEC")</f>
        <v>SEC</v>
      </c>
      <c r="P33" s="106">
        <f>IFERROR(__xludf.DUMMYFUNCTION("if(F33="""","""",indeX(split(F33,""-""),1)-J33/100)"),6.1930000000000005)</f>
        <v>6.193</v>
      </c>
      <c r="Q33" s="106"/>
    </row>
    <row r="34">
      <c r="B34" s="107" t="str">
        <f>IFERROR(__xludf.DUMMYFUNCTION("""COMPUTED_VALUE"""),"0-0")</f>
        <v>0-0</v>
      </c>
      <c r="C34" s="104">
        <f>IFERROR(__xludf.DUMMYFUNCTION("""COMPUTED_VALUE"""),8.8)</f>
        <v>8.8</v>
      </c>
      <c r="D34" s="104">
        <f>IFERROR(__xludf.DUMMYFUNCTION("""COMPUTED_VALUE"""),30.0)</f>
        <v>30</v>
      </c>
      <c r="E34" s="104" t="str">
        <f>IFERROR(__xludf.DUMMYFUNCTION("""COMPUTED_VALUE"""),"--")</f>
        <v>--</v>
      </c>
      <c r="F34" s="103" t="str">
        <f>IFERROR(__xludf.DUMMYFUNCTION("""COMPUTED_VALUE"""),"6.7-5.3")</f>
        <v>6.7-5.3</v>
      </c>
      <c r="G34" s="104">
        <f>IFERROR(__xludf.DUMMYFUNCTION("""COMPUTED_VALUE"""),0.0)</f>
        <v>0</v>
      </c>
      <c r="H34" s="104">
        <f>IFERROR(__xludf.DUMMYFUNCTION("""COMPUTED_VALUE"""),74.5)</f>
        <v>74.5</v>
      </c>
      <c r="I34" s="104">
        <f>IFERROR(__xludf.DUMMYFUNCTION("""COMPUTED_VALUE"""),0.0)</f>
        <v>0</v>
      </c>
      <c r="J34" s="104">
        <f>IFERROR(__xludf.DUMMYFUNCTION("""COMPUTED_VALUE"""),0.7)</f>
        <v>0.7</v>
      </c>
      <c r="K34" s="104">
        <f>IFERROR(__xludf.DUMMYFUNCTION("""COMPUTED_VALUE"""),7.2)</f>
        <v>7.2</v>
      </c>
      <c r="L34" s="104">
        <f>IFERROR(__xludf.DUMMYFUNCTION("""COMPUTED_VALUE"""),0.5)</f>
        <v>0.5</v>
      </c>
      <c r="M34" s="104">
        <f>IFERROR(__xludf.DUMMYFUNCTION("""COMPUTED_VALUE"""),0.2)</f>
        <v>0.2</v>
      </c>
      <c r="N34" s="103" t="str">
        <f>IFERROR(__xludf.DUMMYFUNCTION("""COMPUTED_VALUE"""),"Nebraska Cornhuskers")</f>
        <v>Nebraska Cornhuskers</v>
      </c>
      <c r="O34" s="105" t="str">
        <f>IFERROR(__xludf.DUMMYFUNCTION("""COMPUTED_VALUE"""),"Big Ten")</f>
        <v>Big Ten</v>
      </c>
      <c r="P34" s="106">
        <f>IFERROR(__xludf.DUMMYFUNCTION("if(F34="""","""",indeX(split(F34,""-""),1)-J34/100)"),6.6930000000000005)</f>
        <v>6.693</v>
      </c>
      <c r="Q34" s="106"/>
    </row>
    <row r="35">
      <c r="B35" s="107" t="str">
        <f>IFERROR(__xludf.DUMMYFUNCTION("""COMPUTED_VALUE"""),"0-0")</f>
        <v>0-0</v>
      </c>
      <c r="C35" s="104">
        <f>IFERROR(__xludf.DUMMYFUNCTION("""COMPUTED_VALUE"""),8.5)</f>
        <v>8.5</v>
      </c>
      <c r="D35" s="104">
        <f>IFERROR(__xludf.DUMMYFUNCTION("""COMPUTED_VALUE"""),31.0)</f>
        <v>31</v>
      </c>
      <c r="E35" s="104" t="str">
        <f>IFERROR(__xludf.DUMMYFUNCTION("""COMPUTED_VALUE"""),"--")</f>
        <v>--</v>
      </c>
      <c r="F35" s="103" t="str">
        <f>IFERROR(__xludf.DUMMYFUNCTION("""COMPUTED_VALUE"""),"7.7-4.4")</f>
        <v>7.7-4.4</v>
      </c>
      <c r="G35" s="104">
        <f>IFERROR(__xludf.DUMMYFUNCTION("""COMPUTED_VALUE"""),0.4)</f>
        <v>0.4</v>
      </c>
      <c r="H35" s="104">
        <f>IFERROR(__xludf.DUMMYFUNCTION("""COMPUTED_VALUE"""),83.7)</f>
        <v>83.7</v>
      </c>
      <c r="I35" s="104">
        <f>IFERROR(__xludf.DUMMYFUNCTION("""COMPUTED_VALUE"""),0.0)</f>
        <v>0</v>
      </c>
      <c r="J35" s="104">
        <f>IFERROR(__xludf.DUMMYFUNCTION("""COMPUTED_VALUE"""),5.9)</f>
        <v>5.9</v>
      </c>
      <c r="K35" s="104">
        <f>IFERROR(__xludf.DUMMYFUNCTION("""COMPUTED_VALUE"""),10.9)</f>
        <v>10.9</v>
      </c>
      <c r="L35" s="104">
        <f>IFERROR(__xludf.DUMMYFUNCTION("""COMPUTED_VALUE"""),0.5)</f>
        <v>0.5</v>
      </c>
      <c r="M35" s="104">
        <f>IFERROR(__xludf.DUMMYFUNCTION("""COMPUTED_VALUE"""),0.1)</f>
        <v>0.1</v>
      </c>
      <c r="N35" s="103" t="str">
        <f>IFERROR(__xludf.DUMMYFUNCTION("""COMPUTED_VALUE"""),"Utah Utes")</f>
        <v>Utah Utes</v>
      </c>
      <c r="O35" s="105" t="str">
        <f>IFERROR(__xludf.DUMMYFUNCTION("""COMPUTED_VALUE"""),"Big 12")</f>
        <v>Big 12</v>
      </c>
      <c r="P35" s="106">
        <f>IFERROR(__xludf.DUMMYFUNCTION("if(F35="""","""",indeX(split(F35,""-""),1)-J35/100)"),7.641)</f>
        <v>7.641</v>
      </c>
      <c r="Q35" s="106"/>
    </row>
    <row r="36">
      <c r="B36" s="107" t="str">
        <f>IFERROR(__xludf.DUMMYFUNCTION("""COMPUTED_VALUE"""),"0-0")</f>
        <v>0-0</v>
      </c>
      <c r="C36" s="104">
        <f>IFERROR(__xludf.DUMMYFUNCTION("""COMPUTED_VALUE"""),7.9)</f>
        <v>7.9</v>
      </c>
      <c r="D36" s="104">
        <f>IFERROR(__xludf.DUMMYFUNCTION("""COMPUTED_VALUE"""),32.0)</f>
        <v>32</v>
      </c>
      <c r="E36" s="104" t="str">
        <f>IFERROR(__xludf.DUMMYFUNCTION("""COMPUTED_VALUE"""),"--")</f>
        <v>--</v>
      </c>
      <c r="F36" s="103" t="str">
        <f>IFERROR(__xludf.DUMMYFUNCTION("""COMPUTED_VALUE"""),"7.7-4.4")</f>
        <v>7.7-4.4</v>
      </c>
      <c r="G36" s="104">
        <f>IFERROR(__xludf.DUMMYFUNCTION("""COMPUTED_VALUE"""),0.3)</f>
        <v>0.3</v>
      </c>
      <c r="H36" s="104">
        <f>IFERROR(__xludf.DUMMYFUNCTION("""COMPUTED_VALUE"""),84.7)</f>
        <v>84.7</v>
      </c>
      <c r="I36" s="104">
        <f>IFERROR(__xludf.DUMMYFUNCTION("""COMPUTED_VALUE"""),0.0)</f>
        <v>0</v>
      </c>
      <c r="J36" s="104">
        <f>IFERROR(__xludf.DUMMYFUNCTION("""COMPUTED_VALUE"""),3.8)</f>
        <v>3.8</v>
      </c>
      <c r="K36" s="104">
        <f>IFERROR(__xludf.DUMMYFUNCTION("""COMPUTED_VALUE"""),9.3)</f>
        <v>9.3</v>
      </c>
      <c r="L36" s="104">
        <f>IFERROR(__xludf.DUMMYFUNCTION("""COMPUTED_VALUE"""),0.5)</f>
        <v>0.5</v>
      </c>
      <c r="M36" s="104">
        <f>IFERROR(__xludf.DUMMYFUNCTION("""COMPUTED_VALUE"""),0.1)</f>
        <v>0.1</v>
      </c>
      <c r="N36" s="103" t="str">
        <f>IFERROR(__xludf.DUMMYFUNCTION("""COMPUTED_VALUE"""),"Virginia Cavaliers")</f>
        <v>Virginia Cavaliers</v>
      </c>
      <c r="O36" s="105" t="str">
        <f>IFERROR(__xludf.DUMMYFUNCTION("""COMPUTED_VALUE"""),"ACC")</f>
        <v>ACC</v>
      </c>
      <c r="P36" s="106">
        <f>IFERROR(__xludf.DUMMYFUNCTION("if(F36="""","""",indeX(split(F36,""-""),1)-J36/100)"),7.662)</f>
        <v>7.662</v>
      </c>
      <c r="Q36" s="106"/>
    </row>
    <row r="37">
      <c r="B37" s="107" t="str">
        <f>IFERROR(__xludf.DUMMYFUNCTION("""COMPUTED_VALUE"""),"0-0")</f>
        <v>0-0</v>
      </c>
      <c r="C37" s="104">
        <f>IFERROR(__xludf.DUMMYFUNCTION("""COMPUTED_VALUE"""),7.4)</f>
        <v>7.4</v>
      </c>
      <c r="D37" s="104">
        <f>IFERROR(__xludf.DUMMYFUNCTION("""COMPUTED_VALUE"""),33.0)</f>
        <v>33</v>
      </c>
      <c r="E37" s="104" t="str">
        <f>IFERROR(__xludf.DUMMYFUNCTION("""COMPUTED_VALUE"""),"--")</f>
        <v>--</v>
      </c>
      <c r="F37" s="103" t="str">
        <f>IFERROR(__xludf.DUMMYFUNCTION("""COMPUTED_VALUE"""),"7.0-5.1")</f>
        <v>7.0-5.1</v>
      </c>
      <c r="G37" s="104">
        <f>IFERROR(__xludf.DUMMYFUNCTION("""COMPUTED_VALUE"""),0.0)</f>
        <v>0</v>
      </c>
      <c r="H37" s="104">
        <f>IFERROR(__xludf.DUMMYFUNCTION("""COMPUTED_VALUE"""),76.4)</f>
        <v>76.4</v>
      </c>
      <c r="I37" s="104">
        <f>IFERROR(__xludf.DUMMYFUNCTION("""COMPUTED_VALUE"""),0.0)</f>
        <v>0</v>
      </c>
      <c r="J37" s="104">
        <f>IFERROR(__xludf.DUMMYFUNCTION("""COMPUTED_VALUE"""),2.8)</f>
        <v>2.8</v>
      </c>
      <c r="K37" s="104">
        <f>IFERROR(__xludf.DUMMYFUNCTION("""COMPUTED_VALUE"""),6.9)</f>
        <v>6.9</v>
      </c>
      <c r="L37" s="104">
        <f>IFERROR(__xludf.DUMMYFUNCTION("""COMPUTED_VALUE"""),0.4)</f>
        <v>0.4</v>
      </c>
      <c r="M37" s="104">
        <f>IFERROR(__xludf.DUMMYFUNCTION("""COMPUTED_VALUE"""),0.1)</f>
        <v>0.1</v>
      </c>
      <c r="N37" s="103" t="str">
        <f>IFERROR(__xludf.DUMMYFUNCTION("""COMPUTED_VALUE"""),"Virginia Tech Hokies")</f>
        <v>Virginia Tech Hokies</v>
      </c>
      <c r="O37" s="105" t="str">
        <f>IFERROR(__xludf.DUMMYFUNCTION("""COMPUTED_VALUE"""),"ACC")</f>
        <v>ACC</v>
      </c>
      <c r="P37" s="106">
        <f>IFERROR(__xludf.DUMMYFUNCTION("if(F37="""","""",indeX(split(F37,""-""),1)-J37/100)"),6.972)</f>
        <v>6.972</v>
      </c>
      <c r="Q37" s="106"/>
    </row>
    <row r="38">
      <c r="B38" s="107" t="str">
        <f>IFERROR(__xludf.DUMMYFUNCTION("""COMPUTED_VALUE"""),"0-0")</f>
        <v>0-0</v>
      </c>
      <c r="C38" s="104">
        <f>IFERROR(__xludf.DUMMYFUNCTION("""COMPUTED_VALUE"""),7.2)</f>
        <v>7.2</v>
      </c>
      <c r="D38" s="104">
        <f>IFERROR(__xludf.DUMMYFUNCTION("""COMPUTED_VALUE"""),34.0)</f>
        <v>34</v>
      </c>
      <c r="E38" s="104" t="str">
        <f>IFERROR(__xludf.DUMMYFUNCTION("""COMPUTED_VALUE"""),"--")</f>
        <v>--</v>
      </c>
      <c r="F38" s="103" t="str">
        <f>IFERROR(__xludf.DUMMYFUNCTION("""COMPUTED_VALUE"""),"7.3-4.8")</f>
        <v>7.3-4.8</v>
      </c>
      <c r="G38" s="104">
        <f>IFERROR(__xludf.DUMMYFUNCTION("""COMPUTED_VALUE"""),0.1)</f>
        <v>0.1</v>
      </c>
      <c r="H38" s="104">
        <f>IFERROR(__xludf.DUMMYFUNCTION("""COMPUTED_VALUE"""),80.1)</f>
        <v>80.1</v>
      </c>
      <c r="I38" s="104">
        <f>IFERROR(__xludf.DUMMYFUNCTION("""COMPUTED_VALUE"""),0.0)</f>
        <v>0</v>
      </c>
      <c r="J38" s="104">
        <f>IFERROR(__xludf.DUMMYFUNCTION("""COMPUTED_VALUE"""),4.2)</f>
        <v>4.2</v>
      </c>
      <c r="K38" s="104">
        <f>IFERROR(__xludf.DUMMYFUNCTION("""COMPUTED_VALUE"""),7.6)</f>
        <v>7.6</v>
      </c>
      <c r="L38" s="104">
        <f>IFERROR(__xludf.DUMMYFUNCTION("""COMPUTED_VALUE"""),0.3)</f>
        <v>0.3</v>
      </c>
      <c r="M38" s="104">
        <f>IFERROR(__xludf.DUMMYFUNCTION("""COMPUTED_VALUE"""),0.1)</f>
        <v>0.1</v>
      </c>
      <c r="N38" s="103" t="str">
        <f>IFERROR(__xludf.DUMMYFUNCTION("""COMPUTED_VALUE"""),"Arizona Wildcats")</f>
        <v>Arizona Wildcats</v>
      </c>
      <c r="O38" s="105" t="str">
        <f>IFERROR(__xludf.DUMMYFUNCTION("""COMPUTED_VALUE"""),"Big 12")</f>
        <v>Big 12</v>
      </c>
      <c r="P38" s="106">
        <f>IFERROR(__xludf.DUMMYFUNCTION("if(F38="""","""",indeX(split(F38,""-""),1)-J38/100)"),7.258)</f>
        <v>7.258</v>
      </c>
      <c r="Q38" s="106"/>
    </row>
    <row r="39">
      <c r="B39" s="107" t="str">
        <f>IFERROR(__xludf.DUMMYFUNCTION("""COMPUTED_VALUE"""),"0-0")</f>
        <v>0-0</v>
      </c>
      <c r="C39" s="104">
        <f>IFERROR(__xludf.DUMMYFUNCTION("""COMPUTED_VALUE"""),7.1)</f>
        <v>7.1</v>
      </c>
      <c r="D39" s="104">
        <f>IFERROR(__xludf.DUMMYFUNCTION("""COMPUTED_VALUE"""),35.0)</f>
        <v>35</v>
      </c>
      <c r="E39" s="104" t="str">
        <f>IFERROR(__xludf.DUMMYFUNCTION("""COMPUTED_VALUE"""),"--")</f>
        <v>--</v>
      </c>
      <c r="F39" s="103" t="str">
        <f>IFERROR(__xludf.DUMMYFUNCTION("""COMPUTED_VALUE"""),"7.4-4.7")</f>
        <v>7.4-4.7</v>
      </c>
      <c r="G39" s="104">
        <f>IFERROR(__xludf.DUMMYFUNCTION("""COMPUTED_VALUE"""),0.1)</f>
        <v>0.1</v>
      </c>
      <c r="H39" s="104">
        <f>IFERROR(__xludf.DUMMYFUNCTION("""COMPUTED_VALUE"""),81.3)</f>
        <v>81.3</v>
      </c>
      <c r="I39" s="104">
        <f>IFERROR(__xludf.DUMMYFUNCTION("""COMPUTED_VALUE"""),0.0)</f>
        <v>0</v>
      </c>
      <c r="J39" s="104">
        <f>IFERROR(__xludf.DUMMYFUNCTION("""COMPUTED_VALUE"""),4.1)</f>
        <v>4.1</v>
      </c>
      <c r="K39" s="104">
        <f>IFERROR(__xludf.DUMMYFUNCTION("""COMPUTED_VALUE"""),7.8)</f>
        <v>7.8</v>
      </c>
      <c r="L39" s="104">
        <f>IFERROR(__xludf.DUMMYFUNCTION("""COMPUTED_VALUE"""),0.4)</f>
        <v>0.4</v>
      </c>
      <c r="M39" s="104">
        <f>IFERROR(__xludf.DUMMYFUNCTION("""COMPUTED_VALUE"""),0.1)</f>
        <v>0.1</v>
      </c>
      <c r="N39" s="103" t="str">
        <f>IFERROR(__xludf.DUMMYFUNCTION("""COMPUTED_VALUE"""),"Houston Cougars")</f>
        <v>Houston Cougars</v>
      </c>
      <c r="O39" s="105" t="str">
        <f>IFERROR(__xludf.DUMMYFUNCTION("""COMPUTED_VALUE"""),"Big 12")</f>
        <v>Big 12</v>
      </c>
      <c r="P39" s="106">
        <f>IFERROR(__xludf.DUMMYFUNCTION("if(F39="""","""",indeX(split(F39,""-""),1)-J39/100)"),7.359)</f>
        <v>7.359</v>
      </c>
      <c r="Q39" s="106"/>
    </row>
    <row r="40">
      <c r="B40" s="107" t="str">
        <f>IFERROR(__xludf.DUMMYFUNCTION("""COMPUTED_VALUE"""),"0-0")</f>
        <v>0-0</v>
      </c>
      <c r="C40" s="104">
        <f>IFERROR(__xludf.DUMMYFUNCTION("""COMPUTED_VALUE"""),6.6)</f>
        <v>6.6</v>
      </c>
      <c r="D40" s="104">
        <f>IFERROR(__xludf.DUMMYFUNCTION("""COMPUTED_VALUE"""),36.0)</f>
        <v>36</v>
      </c>
      <c r="E40" s="104" t="str">
        <f>IFERROR(__xludf.DUMMYFUNCTION("""COMPUTED_VALUE"""),"--")</f>
        <v>--</v>
      </c>
      <c r="F40" s="103" t="str">
        <f>IFERROR(__xludf.DUMMYFUNCTION("""COMPUTED_VALUE"""),"7.1-5.0")</f>
        <v>7.1-5.0</v>
      </c>
      <c r="G40" s="104">
        <f>IFERROR(__xludf.DUMMYFUNCTION("""COMPUTED_VALUE"""),0.1)</f>
        <v>0.1</v>
      </c>
      <c r="H40" s="104">
        <f>IFERROR(__xludf.DUMMYFUNCTION("""COMPUTED_VALUE"""),77.6)</f>
        <v>77.6</v>
      </c>
      <c r="I40" s="104">
        <f>IFERROR(__xludf.DUMMYFUNCTION("""COMPUTED_VALUE"""),0.0)</f>
        <v>0</v>
      </c>
      <c r="J40" s="104">
        <f>IFERROR(__xludf.DUMMYFUNCTION("""COMPUTED_VALUE"""),2.3)</f>
        <v>2.3</v>
      </c>
      <c r="K40" s="104">
        <f>IFERROR(__xludf.DUMMYFUNCTION("""COMPUTED_VALUE"""),6.2)</f>
        <v>6.2</v>
      </c>
      <c r="L40" s="104">
        <f>IFERROR(__xludf.DUMMYFUNCTION("""COMPUTED_VALUE"""),0.3)</f>
        <v>0.3</v>
      </c>
      <c r="M40" s="104">
        <f>IFERROR(__xludf.DUMMYFUNCTION("""COMPUTED_VALUE"""),0.1)</f>
        <v>0.1</v>
      </c>
      <c r="N40" s="103" t="str">
        <f>IFERROR(__xludf.DUMMYFUNCTION("""COMPUTED_VALUE"""),"Pittsburgh Panthers")</f>
        <v>Pittsburgh Panthers</v>
      </c>
      <c r="O40" s="105" t="str">
        <f>IFERROR(__xludf.DUMMYFUNCTION("""COMPUTED_VALUE"""),"ACC")</f>
        <v>ACC</v>
      </c>
      <c r="P40" s="106">
        <f>IFERROR(__xludf.DUMMYFUNCTION("if(F40="""","""",indeX(split(F40,""-""),1)-J40/100)"),7.077)</f>
        <v>7.077</v>
      </c>
      <c r="Q40" s="106"/>
    </row>
    <row r="41">
      <c r="B41" s="107" t="str">
        <f>IFERROR(__xludf.DUMMYFUNCTION("""COMPUTED_VALUE"""),"0-0")</f>
        <v>0-0</v>
      </c>
      <c r="C41" s="104">
        <f>IFERROR(__xludf.DUMMYFUNCTION("""COMPUTED_VALUE"""),6.5)</f>
        <v>6.5</v>
      </c>
      <c r="D41" s="104">
        <f>IFERROR(__xludf.DUMMYFUNCTION("""COMPUTED_VALUE"""),37.0)</f>
        <v>37</v>
      </c>
      <c r="E41" s="104" t="str">
        <f>IFERROR(__xludf.DUMMYFUNCTION("""COMPUTED_VALUE"""),"--")</f>
        <v>--</v>
      </c>
      <c r="F41" s="103" t="str">
        <f>IFERROR(__xludf.DUMMYFUNCTION("""COMPUTED_VALUE"""),"6.6-5.5")</f>
        <v>6.6-5.5</v>
      </c>
      <c r="G41" s="104">
        <f>IFERROR(__xludf.DUMMYFUNCTION("""COMPUTED_VALUE"""),0.0)</f>
        <v>0</v>
      </c>
      <c r="H41" s="104">
        <f>IFERROR(__xludf.DUMMYFUNCTION("""COMPUTED_VALUE"""),68.8)</f>
        <v>68.8</v>
      </c>
      <c r="I41" s="104">
        <f>IFERROR(__xludf.DUMMYFUNCTION("""COMPUTED_VALUE"""),0.0)</f>
        <v>0</v>
      </c>
      <c r="J41" s="104">
        <f>IFERROR(__xludf.DUMMYFUNCTION("""COMPUTED_VALUE"""),3.2)</f>
        <v>3.2</v>
      </c>
      <c r="K41" s="104">
        <f>IFERROR(__xludf.DUMMYFUNCTION("""COMPUTED_VALUE"""),6.0)</f>
        <v>6</v>
      </c>
      <c r="L41" s="104">
        <f>IFERROR(__xludf.DUMMYFUNCTION("""COMPUTED_VALUE"""),0.2)</f>
        <v>0.2</v>
      </c>
      <c r="M41" s="104">
        <f>IFERROR(__xludf.DUMMYFUNCTION("""COMPUTED_VALUE"""),0.1)</f>
        <v>0.1</v>
      </c>
      <c r="N41" s="103" t="str">
        <f>IFERROR(__xludf.DUMMYFUNCTION("""COMPUTED_VALUE"""),"Baylor Bears")</f>
        <v>Baylor Bears</v>
      </c>
      <c r="O41" s="105" t="str">
        <f>IFERROR(__xludf.DUMMYFUNCTION("""COMPUTED_VALUE"""),"Big 12")</f>
        <v>Big 12</v>
      </c>
      <c r="P41" s="106">
        <f>IFERROR(__xludf.DUMMYFUNCTION("if(F41="""","""",indeX(split(F41,""-""),1)-J41/100)"),6.568)</f>
        <v>6.568</v>
      </c>
      <c r="Q41" s="106"/>
    </row>
    <row r="42">
      <c r="B42" s="107" t="str">
        <f>IFERROR(__xludf.DUMMYFUNCTION("""COMPUTED_VALUE"""),"0-0")</f>
        <v>0-0</v>
      </c>
      <c r="C42" s="104">
        <f>IFERROR(__xludf.DUMMYFUNCTION("""COMPUTED_VALUE"""),6.4)</f>
        <v>6.4</v>
      </c>
      <c r="D42" s="104">
        <f>IFERROR(__xludf.DUMMYFUNCTION("""COMPUTED_VALUE"""),38.0)</f>
        <v>38</v>
      </c>
      <c r="E42" s="104" t="str">
        <f>IFERROR(__xludf.DUMMYFUNCTION("""COMPUTED_VALUE"""),"--")</f>
        <v>--</v>
      </c>
      <c r="F42" s="103" t="str">
        <f>IFERROR(__xludf.DUMMYFUNCTION("""COMPUTED_VALUE"""),"6.8-5.3")</f>
        <v>6.8-5.3</v>
      </c>
      <c r="G42" s="104">
        <f>IFERROR(__xludf.DUMMYFUNCTION("""COMPUTED_VALUE"""),0.0)</f>
        <v>0</v>
      </c>
      <c r="H42" s="104">
        <f>IFERROR(__xludf.DUMMYFUNCTION("""COMPUTED_VALUE"""),72.1)</f>
        <v>72.1</v>
      </c>
      <c r="I42" s="104">
        <f>IFERROR(__xludf.DUMMYFUNCTION("""COMPUTED_VALUE"""),0.0)</f>
        <v>0</v>
      </c>
      <c r="J42" s="104">
        <f>IFERROR(__xludf.DUMMYFUNCTION("""COMPUTED_VALUE"""),4.0)</f>
        <v>4</v>
      </c>
      <c r="K42" s="104">
        <f>IFERROR(__xludf.DUMMYFUNCTION("""COMPUTED_VALUE"""),6.8)</f>
        <v>6.8</v>
      </c>
      <c r="L42" s="104">
        <f>IFERROR(__xludf.DUMMYFUNCTION("""COMPUTED_VALUE"""),0.3)</f>
        <v>0.3</v>
      </c>
      <c r="M42" s="104">
        <f>IFERROR(__xludf.DUMMYFUNCTION("""COMPUTED_VALUE"""),0.1)</f>
        <v>0.1</v>
      </c>
      <c r="N42" s="103" t="str">
        <f>IFERROR(__xludf.DUMMYFUNCTION("""COMPUTED_VALUE"""),"TCU Horned Frogs")</f>
        <v>TCU Horned Frogs</v>
      </c>
      <c r="O42" s="105" t="str">
        <f>IFERROR(__xludf.DUMMYFUNCTION("""COMPUTED_VALUE"""),"Big 12")</f>
        <v>Big 12</v>
      </c>
      <c r="P42" s="106">
        <f>IFERROR(__xludf.DUMMYFUNCTION("if(F42="""","""",indeX(split(F42,""-""),1)-J42/100)"),6.76)</f>
        <v>6.76</v>
      </c>
      <c r="Q42" s="106"/>
    </row>
    <row r="43">
      <c r="B43" s="107" t="str">
        <f>IFERROR(__xludf.DUMMYFUNCTION("""COMPUTED_VALUE"""),"0-0")</f>
        <v>0-0</v>
      </c>
      <c r="C43" s="104">
        <f>IFERROR(__xludf.DUMMYFUNCTION("""COMPUTED_VALUE"""),6.3)</f>
        <v>6.3</v>
      </c>
      <c r="D43" s="104">
        <f>IFERROR(__xludf.DUMMYFUNCTION("""COMPUTED_VALUE"""),39.0)</f>
        <v>39</v>
      </c>
      <c r="E43" s="104" t="str">
        <f>IFERROR(__xludf.DUMMYFUNCTION("""COMPUTED_VALUE"""),"--")</f>
        <v>--</v>
      </c>
      <c r="F43" s="103" t="str">
        <f>IFERROR(__xludf.DUMMYFUNCTION("""COMPUTED_VALUE"""),"6.7-5.3")</f>
        <v>6.7-5.3</v>
      </c>
      <c r="G43" s="104">
        <f>IFERROR(__xludf.DUMMYFUNCTION("""COMPUTED_VALUE"""),0.0)</f>
        <v>0</v>
      </c>
      <c r="H43" s="104">
        <f>IFERROR(__xludf.DUMMYFUNCTION("""COMPUTED_VALUE"""),72.3)</f>
        <v>72.3</v>
      </c>
      <c r="I43" s="104">
        <f>IFERROR(__xludf.DUMMYFUNCTION("""COMPUTED_VALUE"""),0.0)</f>
        <v>0</v>
      </c>
      <c r="J43" s="104">
        <f>IFERROR(__xludf.DUMMYFUNCTION("""COMPUTED_VALUE"""),0.5)</f>
        <v>0.5</v>
      </c>
      <c r="K43" s="104">
        <f>IFERROR(__xludf.DUMMYFUNCTION("""COMPUTED_VALUE"""),4.7)</f>
        <v>4.7</v>
      </c>
      <c r="L43" s="104">
        <f>IFERROR(__xludf.DUMMYFUNCTION("""COMPUTED_VALUE"""),0.2)</f>
        <v>0.2</v>
      </c>
      <c r="M43" s="104">
        <f>IFERROR(__xludf.DUMMYFUNCTION("""COMPUTED_VALUE"""),0.1)</f>
        <v>0.1</v>
      </c>
      <c r="N43" s="103" t="str">
        <f>IFERROR(__xludf.DUMMYFUNCTION("""COMPUTED_VALUE"""),"Illinois Fighting Illini")</f>
        <v>Illinois Fighting Illini</v>
      </c>
      <c r="O43" s="105" t="str">
        <f>IFERROR(__xludf.DUMMYFUNCTION("""COMPUTED_VALUE"""),"Big Ten")</f>
        <v>Big Ten</v>
      </c>
      <c r="P43" s="106">
        <f>IFERROR(__xludf.DUMMYFUNCTION("if(F43="""","""",indeX(split(F43,""-""),1)-J43/100)"),6.695)</f>
        <v>6.695</v>
      </c>
      <c r="Q43" s="106"/>
    </row>
    <row r="44">
      <c r="B44" s="107" t="str">
        <f>IFERROR(__xludf.DUMMYFUNCTION("""COMPUTED_VALUE"""),"0-0")</f>
        <v>0-0</v>
      </c>
      <c r="C44" s="104">
        <f>IFERROR(__xludf.DUMMYFUNCTION("""COMPUTED_VALUE"""),5.4)</f>
        <v>5.4</v>
      </c>
      <c r="D44" s="104">
        <f>IFERROR(__xludf.DUMMYFUNCTION("""COMPUTED_VALUE"""),40.0)</f>
        <v>40</v>
      </c>
      <c r="E44" s="103" t="str">
        <f>IFERROR(__xludf.DUMMYFUNCTION("""COMPUTED_VALUE"""),"--")</f>
        <v>--</v>
      </c>
      <c r="F44" s="103" t="str">
        <f>IFERROR(__xludf.DUMMYFUNCTION("""COMPUTED_VALUE"""),"4.6-7.4")</f>
        <v>4.6-7.4</v>
      </c>
      <c r="G44" s="104">
        <f>IFERROR(__xludf.DUMMYFUNCTION("""COMPUTED_VALUE"""),0.0)</f>
        <v>0</v>
      </c>
      <c r="H44" s="104">
        <f>IFERROR(__xludf.DUMMYFUNCTION("""COMPUTED_VALUE"""),30.4)</f>
        <v>30.4</v>
      </c>
      <c r="I44" s="104">
        <f>IFERROR(__xludf.DUMMYFUNCTION("""COMPUTED_VALUE"""),0.0)</f>
        <v>0</v>
      </c>
      <c r="J44" s="104">
        <f>IFERROR(__xludf.DUMMYFUNCTION("""COMPUTED_VALUE"""),0.2)</f>
        <v>0.2</v>
      </c>
      <c r="K44" s="104">
        <f>IFERROR(__xludf.DUMMYFUNCTION("""COMPUTED_VALUE"""),2.2)</f>
        <v>2.2</v>
      </c>
      <c r="L44" s="104">
        <f>IFERROR(__xludf.DUMMYFUNCTION("""COMPUTED_VALUE"""),0.1)</f>
        <v>0.1</v>
      </c>
      <c r="M44" s="104">
        <f>IFERROR(__xludf.DUMMYFUNCTION("""COMPUTED_VALUE"""),0.0)</f>
        <v>0</v>
      </c>
      <c r="N44" s="103" t="str">
        <f>IFERROR(__xludf.DUMMYFUNCTION("""COMPUTED_VALUE"""),"Kentucky Wildcats")</f>
        <v>Kentucky Wildcats</v>
      </c>
      <c r="O44" s="105" t="str">
        <f>IFERROR(__xludf.DUMMYFUNCTION("""COMPUTED_VALUE"""),"SEC")</f>
        <v>SEC</v>
      </c>
      <c r="P44" s="106">
        <f>IFERROR(__xludf.DUMMYFUNCTION("if(F44="""","""",indeX(split(F44,""-""),1)-J44/100)"),4.598)</f>
        <v>4.598</v>
      </c>
      <c r="Q44" s="106"/>
    </row>
    <row r="45">
      <c r="B45" s="107" t="str">
        <f>IFERROR(__xludf.DUMMYFUNCTION("""COMPUTED_VALUE"""),"0-0")</f>
        <v>0-0</v>
      </c>
      <c r="C45" s="104">
        <f>IFERROR(__xludf.DUMMYFUNCTION("""COMPUTED_VALUE"""),5.1)</f>
        <v>5.1</v>
      </c>
      <c r="D45" s="104">
        <f>IFERROR(__xludf.DUMMYFUNCTION("""COMPUTED_VALUE"""),41.0)</f>
        <v>41</v>
      </c>
      <c r="E45" s="104" t="str">
        <f>IFERROR(__xludf.DUMMYFUNCTION("""COMPUTED_VALUE"""),"--")</f>
        <v>--</v>
      </c>
      <c r="F45" s="103" t="str">
        <f>IFERROR(__xludf.DUMMYFUNCTION("""COMPUTED_VALUE"""),"7.0-5.1")</f>
        <v>7.0-5.1</v>
      </c>
      <c r="G45" s="104">
        <f>IFERROR(__xludf.DUMMYFUNCTION("""COMPUTED_VALUE"""),0.1)</f>
        <v>0.1</v>
      </c>
      <c r="H45" s="104">
        <f>IFERROR(__xludf.DUMMYFUNCTION("""COMPUTED_VALUE"""),74.1)</f>
        <v>74.1</v>
      </c>
      <c r="I45" s="104">
        <f>IFERROR(__xludf.DUMMYFUNCTION("""COMPUTED_VALUE"""),0.0)</f>
        <v>0</v>
      </c>
      <c r="J45" s="104">
        <f>IFERROR(__xludf.DUMMYFUNCTION("""COMPUTED_VALUE"""),3.1)</f>
        <v>3.1</v>
      </c>
      <c r="K45" s="104">
        <f>IFERROR(__xludf.DUMMYFUNCTION("""COMPUTED_VALUE"""),5.7)</f>
        <v>5.7</v>
      </c>
      <c r="L45" s="104">
        <f>IFERROR(__xludf.DUMMYFUNCTION("""COMPUTED_VALUE"""),0.2)</f>
        <v>0.2</v>
      </c>
      <c r="M45" s="104">
        <f>IFERROR(__xludf.DUMMYFUNCTION("""COMPUTED_VALUE"""),0.1)</f>
        <v>0.1</v>
      </c>
      <c r="N45" s="103" t="str">
        <f>IFERROR(__xludf.DUMMYFUNCTION("""COMPUTED_VALUE"""),"Kansas State Wildcats")</f>
        <v>Kansas State Wildcats</v>
      </c>
      <c r="O45" s="105" t="str">
        <f>IFERROR(__xludf.DUMMYFUNCTION("""COMPUTED_VALUE"""),"Big 12")</f>
        <v>Big 12</v>
      </c>
      <c r="P45" s="106">
        <f>IFERROR(__xludf.DUMMYFUNCTION("if(F45="""","""",indeX(split(F45,""-""),1)-J45/100)"),6.969)</f>
        <v>6.969</v>
      </c>
      <c r="Q45" s="106"/>
    </row>
    <row r="46">
      <c r="B46" s="107" t="str">
        <f>IFERROR(__xludf.DUMMYFUNCTION("""COMPUTED_VALUE"""),"0-0")</f>
        <v>0-0</v>
      </c>
      <c r="C46" s="104">
        <f>IFERROR(__xludf.DUMMYFUNCTION("""COMPUTED_VALUE"""),4.9)</f>
        <v>4.9</v>
      </c>
      <c r="D46" s="104">
        <f>IFERROR(__xludf.DUMMYFUNCTION("""COMPUTED_VALUE"""),42.0)</f>
        <v>42</v>
      </c>
      <c r="E46" s="104" t="str">
        <f>IFERROR(__xludf.DUMMYFUNCTION("""COMPUTED_VALUE"""),"--")</f>
        <v>--</v>
      </c>
      <c r="F46" s="103" t="str">
        <f>IFERROR(__xludf.DUMMYFUNCTION("""COMPUTED_VALUE"""),"5.8-6.2")</f>
        <v>5.8-6.2</v>
      </c>
      <c r="G46" s="104">
        <f>IFERROR(__xludf.DUMMYFUNCTION("""COMPUTED_VALUE"""),0.0)</f>
        <v>0</v>
      </c>
      <c r="H46" s="104">
        <f>IFERROR(__xludf.DUMMYFUNCTION("""COMPUTED_VALUE"""),55.5)</f>
        <v>55.5</v>
      </c>
      <c r="I46" s="104">
        <f>IFERROR(__xludf.DUMMYFUNCTION("""COMPUTED_VALUE"""),0.0)</f>
        <v>0</v>
      </c>
      <c r="J46" s="104">
        <f>IFERROR(__xludf.DUMMYFUNCTION("""COMPUTED_VALUE"""),1.5)</f>
        <v>1.5</v>
      </c>
      <c r="K46" s="104">
        <f>IFERROR(__xludf.DUMMYFUNCTION("""COMPUTED_VALUE"""),3.6)</f>
        <v>3.6</v>
      </c>
      <c r="L46" s="104">
        <f>IFERROR(__xludf.DUMMYFUNCTION("""COMPUTED_VALUE"""),0.1)</f>
        <v>0.1</v>
      </c>
      <c r="M46" s="104">
        <f>IFERROR(__xludf.DUMMYFUNCTION("""COMPUTED_VALUE"""),0.0)</f>
        <v>0</v>
      </c>
      <c r="N46" s="103" t="str">
        <f>IFERROR(__xludf.DUMMYFUNCTION("""COMPUTED_VALUE"""),"North Carolina Tar Heels")</f>
        <v>North Carolina Tar Heels</v>
      </c>
      <c r="O46" s="105" t="str">
        <f>IFERROR(__xludf.DUMMYFUNCTION("""COMPUTED_VALUE"""),"ACC")</f>
        <v>ACC</v>
      </c>
      <c r="P46" s="106">
        <f>IFERROR(__xludf.DUMMYFUNCTION("if(F46="""","""",indeX(split(F46,""-""),1)-J46/100)"),5.785)</f>
        <v>5.785</v>
      </c>
      <c r="Q46" s="106"/>
    </row>
    <row r="47">
      <c r="B47" s="107" t="str">
        <f>IFERROR(__xludf.DUMMYFUNCTION("""COMPUTED_VALUE"""),"0-0")</f>
        <v>0-0</v>
      </c>
      <c r="C47" s="104">
        <f>IFERROR(__xludf.DUMMYFUNCTION("""COMPUTED_VALUE"""),4.8)</f>
        <v>4.8</v>
      </c>
      <c r="D47" s="104">
        <f>IFERROR(__xludf.DUMMYFUNCTION("""COMPUTED_VALUE"""),43.0)</f>
        <v>43</v>
      </c>
      <c r="E47" s="104" t="str">
        <f>IFERROR(__xludf.DUMMYFUNCTION("""COMPUTED_VALUE"""),"--")</f>
        <v>--</v>
      </c>
      <c r="F47" s="103" t="str">
        <f>IFERROR(__xludf.DUMMYFUNCTION("""COMPUTED_VALUE"""),"6.5-5.5")</f>
        <v>6.5-5.5</v>
      </c>
      <c r="G47" s="104">
        <f>IFERROR(__xludf.DUMMYFUNCTION("""COMPUTED_VALUE"""),0.0)</f>
        <v>0</v>
      </c>
      <c r="H47" s="104">
        <f>IFERROR(__xludf.DUMMYFUNCTION("""COMPUTED_VALUE"""),69.2)</f>
        <v>69.2</v>
      </c>
      <c r="I47" s="104">
        <f>IFERROR(__xludf.DUMMYFUNCTION("""COMPUTED_VALUE"""),0.0)</f>
        <v>0</v>
      </c>
      <c r="J47" s="104">
        <f>IFERROR(__xludf.DUMMYFUNCTION("""COMPUTED_VALUE"""),0.6)</f>
        <v>0.6</v>
      </c>
      <c r="K47" s="104">
        <f>IFERROR(__xludf.DUMMYFUNCTION("""COMPUTED_VALUE"""),3.5)</f>
        <v>3.5</v>
      </c>
      <c r="L47" s="104">
        <f>IFERROR(__xludf.DUMMYFUNCTION("""COMPUTED_VALUE"""),0.1)</f>
        <v>0.1</v>
      </c>
      <c r="M47" s="104">
        <f>IFERROR(__xludf.DUMMYFUNCTION("""COMPUTED_VALUE"""),0.0)</f>
        <v>0</v>
      </c>
      <c r="N47" s="103" t="str">
        <f>IFERROR(__xludf.DUMMYFUNCTION("""COMPUTED_VALUE"""),"Wisconsin Badgers")</f>
        <v>Wisconsin Badgers</v>
      </c>
      <c r="O47" s="105" t="str">
        <f>IFERROR(__xludf.DUMMYFUNCTION("""COMPUTED_VALUE"""),"Big Ten")</f>
        <v>Big Ten</v>
      </c>
      <c r="P47" s="106">
        <f>IFERROR(__xludf.DUMMYFUNCTION("if(F47="""","""",indeX(split(F47,""-""),1)-J47/100)"),6.494)</f>
        <v>6.494</v>
      </c>
      <c r="Q47" s="106"/>
    </row>
    <row r="48">
      <c r="B48" s="107" t="str">
        <f>IFERROR(__xludf.DUMMYFUNCTION("""COMPUTED_VALUE"""),"0-0")</f>
        <v>0-0</v>
      </c>
      <c r="C48" s="104">
        <f>IFERROR(__xludf.DUMMYFUNCTION("""COMPUTED_VALUE"""),4.8)</f>
        <v>4.8</v>
      </c>
      <c r="D48" s="104">
        <f>IFERROR(__xludf.DUMMYFUNCTION("""COMPUTED_VALUE"""),44.0)</f>
        <v>44</v>
      </c>
      <c r="E48" s="104" t="str">
        <f>IFERROR(__xludf.DUMMYFUNCTION("""COMPUTED_VALUE"""),"--")</f>
        <v>--</v>
      </c>
      <c r="F48" s="103" t="str">
        <f>IFERROR(__xludf.DUMMYFUNCTION("""COMPUTED_VALUE"""),"6.0-6.1")</f>
        <v>6.0-6.1</v>
      </c>
      <c r="G48" s="104">
        <f>IFERROR(__xludf.DUMMYFUNCTION("""COMPUTED_VALUE"""),0.0)</f>
        <v>0</v>
      </c>
      <c r="H48" s="104">
        <f>IFERROR(__xludf.DUMMYFUNCTION("""COMPUTED_VALUE"""),57.6)</f>
        <v>57.6</v>
      </c>
      <c r="I48" s="104">
        <f>IFERROR(__xludf.DUMMYFUNCTION("""COMPUTED_VALUE"""),0.0)</f>
        <v>0</v>
      </c>
      <c r="J48" s="104">
        <f>IFERROR(__xludf.DUMMYFUNCTION("""COMPUTED_VALUE"""),2.3)</f>
        <v>2.3</v>
      </c>
      <c r="K48" s="104">
        <f>IFERROR(__xludf.DUMMYFUNCTION("""COMPUTED_VALUE"""),4.0)</f>
        <v>4</v>
      </c>
      <c r="L48" s="104">
        <f>IFERROR(__xludf.DUMMYFUNCTION("""COMPUTED_VALUE"""),0.1)</f>
        <v>0.1</v>
      </c>
      <c r="M48" s="104">
        <f>IFERROR(__xludf.DUMMYFUNCTION("""COMPUTED_VALUE"""),0.0)</f>
        <v>0</v>
      </c>
      <c r="N48" s="103" t="str">
        <f>IFERROR(__xludf.DUMMYFUNCTION("""COMPUTED_VALUE"""),"Arizona State Sun Devils")</f>
        <v>Arizona State Sun Devils</v>
      </c>
      <c r="O48" s="105" t="str">
        <f>IFERROR(__xludf.DUMMYFUNCTION("""COMPUTED_VALUE"""),"Big 12")</f>
        <v>Big 12</v>
      </c>
      <c r="P48" s="106">
        <f>IFERROR(__xludf.DUMMYFUNCTION("if(F48="""","""",indeX(split(F48,""-""),1)-J48/100)"),5.977)</f>
        <v>5.977</v>
      </c>
      <c r="Q48" s="106"/>
    </row>
    <row r="49">
      <c r="B49" s="107" t="str">
        <f>IFERROR(__xludf.DUMMYFUNCTION("""COMPUTED_VALUE"""),"0-0")</f>
        <v>0-0</v>
      </c>
      <c r="C49" s="104">
        <f>IFERROR(__xludf.DUMMYFUNCTION("""COMPUTED_VALUE"""),4.5)</f>
        <v>4.5</v>
      </c>
      <c r="D49" s="104">
        <f>IFERROR(__xludf.DUMMYFUNCTION("""COMPUTED_VALUE"""),45.0)</f>
        <v>45</v>
      </c>
      <c r="E49" s="104" t="str">
        <f>IFERROR(__xludf.DUMMYFUNCTION("""COMPUTED_VALUE"""),"--")</f>
        <v>--</v>
      </c>
      <c r="F49" s="103" t="str">
        <f>IFERROR(__xludf.DUMMYFUNCTION("""COMPUTED_VALUE"""),"6.0-6.1")</f>
        <v>6.0-6.1</v>
      </c>
      <c r="G49" s="104">
        <f>IFERROR(__xludf.DUMMYFUNCTION("""COMPUTED_VALUE"""),0.0)</f>
        <v>0</v>
      </c>
      <c r="H49" s="104">
        <f>IFERROR(__xludf.DUMMYFUNCTION("""COMPUTED_VALUE"""),57.2)</f>
        <v>57.2</v>
      </c>
      <c r="I49" s="104">
        <f>IFERROR(__xludf.DUMMYFUNCTION("""COMPUTED_VALUE"""),0.0)</f>
        <v>0</v>
      </c>
      <c r="J49" s="104">
        <f>IFERROR(__xludf.DUMMYFUNCTION("""COMPUTED_VALUE"""),2.5)</f>
        <v>2.5</v>
      </c>
      <c r="K49" s="104">
        <f>IFERROR(__xludf.DUMMYFUNCTION("""COMPUTED_VALUE"""),4.2)</f>
        <v>4.2</v>
      </c>
      <c r="L49" s="104">
        <f>IFERROR(__xludf.DUMMYFUNCTION("""COMPUTED_VALUE"""),0.1)</f>
        <v>0.1</v>
      </c>
      <c r="M49" s="104">
        <f>IFERROR(__xludf.DUMMYFUNCTION("""COMPUTED_VALUE"""),0.0)</f>
        <v>0</v>
      </c>
      <c r="N49" s="103" t="str">
        <f>IFERROR(__xludf.DUMMYFUNCTION("""COMPUTED_VALUE"""),"Colorado Buffaloes")</f>
        <v>Colorado Buffaloes</v>
      </c>
      <c r="O49" s="105" t="str">
        <f>IFERROR(__xludf.DUMMYFUNCTION("""COMPUTED_VALUE"""),"Big 12")</f>
        <v>Big 12</v>
      </c>
      <c r="P49" s="106">
        <f>IFERROR(__xludf.DUMMYFUNCTION("if(F49="""","""",indeX(split(F49,""-""),1)-J49/100)"),5.975)</f>
        <v>5.975</v>
      </c>
      <c r="Q49" s="106"/>
    </row>
    <row r="50">
      <c r="B50" s="107" t="str">
        <f>IFERROR(__xludf.DUMMYFUNCTION("""COMPUTED_VALUE"""),"0-0")</f>
        <v>0-0</v>
      </c>
      <c r="C50" s="104">
        <f>IFERROR(__xludf.DUMMYFUNCTION("""COMPUTED_VALUE"""),4.4)</f>
        <v>4.4</v>
      </c>
      <c r="D50" s="104">
        <f>IFERROR(__xludf.DUMMYFUNCTION("""COMPUTED_VALUE"""),46.0)</f>
        <v>46</v>
      </c>
      <c r="E50" s="104" t="str">
        <f>IFERROR(__xludf.DUMMYFUNCTION("""COMPUTED_VALUE"""),"--")</f>
        <v>--</v>
      </c>
      <c r="F50" s="103" t="str">
        <f>IFERROR(__xludf.DUMMYFUNCTION("""COMPUTED_VALUE"""),"6.4-5.7")</f>
        <v>6.4-5.7</v>
      </c>
      <c r="G50" s="104">
        <f>IFERROR(__xludf.DUMMYFUNCTION("""COMPUTED_VALUE"""),0.0)</f>
        <v>0</v>
      </c>
      <c r="H50" s="104">
        <f>IFERROR(__xludf.DUMMYFUNCTION("""COMPUTED_VALUE"""),64.9)</f>
        <v>64.9</v>
      </c>
      <c r="I50" s="104">
        <f>IFERROR(__xludf.DUMMYFUNCTION("""COMPUTED_VALUE"""),0.0)</f>
        <v>0</v>
      </c>
      <c r="J50" s="104">
        <f>IFERROR(__xludf.DUMMYFUNCTION("""COMPUTED_VALUE"""),2.1)</f>
        <v>2.1</v>
      </c>
      <c r="K50" s="104">
        <f>IFERROR(__xludf.DUMMYFUNCTION("""COMPUTED_VALUE"""),4.1)</f>
        <v>4.1</v>
      </c>
      <c r="L50" s="104">
        <f>IFERROR(__xludf.DUMMYFUNCTION("""COMPUTED_VALUE"""),0.2)</f>
        <v>0.2</v>
      </c>
      <c r="M50" s="104">
        <f>IFERROR(__xludf.DUMMYFUNCTION("""COMPUTED_VALUE"""),0.0)</f>
        <v>0</v>
      </c>
      <c r="N50" s="103" t="str">
        <f>IFERROR(__xludf.DUMMYFUNCTION("""COMPUTED_VALUE"""),"Cincinnati Bearcats")</f>
        <v>Cincinnati Bearcats</v>
      </c>
      <c r="O50" s="105" t="str">
        <f>IFERROR(__xludf.DUMMYFUNCTION("""COMPUTED_VALUE"""),"Big 12")</f>
        <v>Big 12</v>
      </c>
      <c r="P50" s="106">
        <f>IFERROR(__xludf.DUMMYFUNCTION("if(F50="""","""",indeX(split(F50,""-""),1)-J50/100)"),6.3790000000000004)</f>
        <v>6.379</v>
      </c>
      <c r="Q50" s="106"/>
    </row>
    <row r="51">
      <c r="B51" s="103" t="str">
        <f>IFERROR(__xludf.DUMMYFUNCTION("""COMPUTED_VALUE"""),"0-0")</f>
        <v>0-0</v>
      </c>
      <c r="C51" s="104">
        <f>IFERROR(__xludf.DUMMYFUNCTION("""COMPUTED_VALUE"""),4.4)</f>
        <v>4.4</v>
      </c>
      <c r="D51" s="104">
        <f>IFERROR(__xludf.DUMMYFUNCTION("""COMPUTED_VALUE"""),47.0)</f>
        <v>47</v>
      </c>
      <c r="E51" s="104" t="str">
        <f>IFERROR(__xludf.DUMMYFUNCTION("""COMPUTED_VALUE"""),"--")</f>
        <v>--</v>
      </c>
      <c r="F51" s="103" t="str">
        <f>IFERROR(__xludf.DUMMYFUNCTION("""COMPUTED_VALUE"""),"4.3-7.7")</f>
        <v>4.3-7.7</v>
      </c>
      <c r="G51" s="104">
        <f>IFERROR(__xludf.DUMMYFUNCTION("""COMPUTED_VALUE"""),0.0)</f>
        <v>0</v>
      </c>
      <c r="H51" s="104">
        <f>IFERROR(__xludf.DUMMYFUNCTION("""COMPUTED_VALUE"""),24.2)</f>
        <v>24.2</v>
      </c>
      <c r="I51" s="104">
        <f>IFERROR(__xludf.DUMMYFUNCTION("""COMPUTED_VALUE"""),0.0)</f>
        <v>0</v>
      </c>
      <c r="J51" s="104">
        <f>IFERROR(__xludf.DUMMYFUNCTION("""COMPUTED_VALUE"""),0.1)</f>
        <v>0.1</v>
      </c>
      <c r="K51" s="104">
        <f>IFERROR(__xludf.DUMMYFUNCTION("""COMPUTED_VALUE"""),1.7)</f>
        <v>1.7</v>
      </c>
      <c r="L51" s="104">
        <f>IFERROR(__xludf.DUMMYFUNCTION("""COMPUTED_VALUE"""),0.1)</f>
        <v>0.1</v>
      </c>
      <c r="M51" s="104">
        <f>IFERROR(__xludf.DUMMYFUNCTION("""COMPUTED_VALUE"""),0.0)</f>
        <v>0</v>
      </c>
      <c r="N51" s="103" t="str">
        <f>IFERROR(__xludf.DUMMYFUNCTION("""COMPUTED_VALUE"""),"Arkansas Razorbacks")</f>
        <v>Arkansas Razorbacks</v>
      </c>
      <c r="O51" s="105" t="str">
        <f>IFERROR(__xludf.DUMMYFUNCTION("""COMPUTED_VALUE"""),"SEC")</f>
        <v>SEC</v>
      </c>
      <c r="P51" s="106">
        <f>IFERROR(__xludf.DUMMYFUNCTION("if(F51="""","""",indeX(split(F51,""-""),1)-J51/100)"),4.2989999999999995)</f>
        <v>4.299</v>
      </c>
      <c r="Q51" s="106"/>
    </row>
    <row r="52">
      <c r="B52" s="107" t="str">
        <f>IFERROR(__xludf.DUMMYFUNCTION("""COMPUTED_VALUE"""),"0-0")</f>
        <v>0-0</v>
      </c>
      <c r="C52" s="104">
        <f>IFERROR(__xludf.DUMMYFUNCTION("""COMPUTED_VALUE"""),4.2)</f>
        <v>4.2</v>
      </c>
      <c r="D52" s="104">
        <f>IFERROR(__xludf.DUMMYFUNCTION("""COMPUTED_VALUE"""),48.0)</f>
        <v>48</v>
      </c>
      <c r="E52" s="104" t="str">
        <f>IFERROR(__xludf.DUMMYFUNCTION("""COMPUTED_VALUE"""),"--")</f>
        <v>--</v>
      </c>
      <c r="F52" s="103" t="str">
        <f>IFERROR(__xludf.DUMMYFUNCTION("""COMPUTED_VALUE"""),"5.8-6.3")</f>
        <v>5.8-6.3</v>
      </c>
      <c r="G52" s="104">
        <f>IFERROR(__xludf.DUMMYFUNCTION("""COMPUTED_VALUE"""),0.0)</f>
        <v>0</v>
      </c>
      <c r="H52" s="104">
        <f>IFERROR(__xludf.DUMMYFUNCTION("""COMPUTED_VALUE"""),54.4)</f>
        <v>54.4</v>
      </c>
      <c r="I52" s="104">
        <f>IFERROR(__xludf.DUMMYFUNCTION("""COMPUTED_VALUE"""),0.0)</f>
        <v>0</v>
      </c>
      <c r="J52" s="104">
        <f>IFERROR(__xludf.DUMMYFUNCTION("""COMPUTED_VALUE"""),1.4)</f>
        <v>1.4</v>
      </c>
      <c r="K52" s="104">
        <f>IFERROR(__xludf.DUMMYFUNCTION("""COMPUTED_VALUE"""),3.3)</f>
        <v>3.3</v>
      </c>
      <c r="L52" s="104">
        <f>IFERROR(__xludf.DUMMYFUNCTION("""COMPUTED_VALUE"""),0.1)</f>
        <v>0.1</v>
      </c>
      <c r="M52" s="104">
        <f>IFERROR(__xludf.DUMMYFUNCTION("""COMPUTED_VALUE"""),0.0)</f>
        <v>0</v>
      </c>
      <c r="N52" s="103" t="str">
        <f>IFERROR(__xludf.DUMMYFUNCTION("""COMPUTED_VALUE"""),"Georgia Tech Yellow Jackets")</f>
        <v>Georgia Tech Yellow Jackets</v>
      </c>
      <c r="O52" s="105" t="str">
        <f>IFERROR(__xludf.DUMMYFUNCTION("""COMPUTED_VALUE"""),"ACC")</f>
        <v>ACC</v>
      </c>
      <c r="P52" s="106">
        <f>IFERROR(__xludf.DUMMYFUNCTION("if(F52="""","""",indeX(split(F52,""-""),1)-J52/100)"),5.786)</f>
        <v>5.786</v>
      </c>
      <c r="Q52" s="106"/>
    </row>
    <row r="53">
      <c r="B53" s="107" t="str">
        <f>IFERROR(__xludf.DUMMYFUNCTION("""COMPUTED_VALUE"""),"0-0")</f>
        <v>0-0</v>
      </c>
      <c r="C53" s="104">
        <f>IFERROR(__xludf.DUMMYFUNCTION("""COMPUTED_VALUE"""),4.1)</f>
        <v>4.1</v>
      </c>
      <c r="D53" s="104">
        <f>IFERROR(__xludf.DUMMYFUNCTION("""COMPUTED_VALUE"""),49.0)</f>
        <v>49</v>
      </c>
      <c r="E53" s="104" t="str">
        <f>IFERROR(__xludf.DUMMYFUNCTION("""COMPUTED_VALUE"""),"--")</f>
        <v>--</v>
      </c>
      <c r="F53" s="103" t="str">
        <f>IFERROR(__xludf.DUMMYFUNCTION("""COMPUTED_VALUE"""),"4.6-7.4")</f>
        <v>4.6-7.4</v>
      </c>
      <c r="G53" s="104">
        <f>IFERROR(__xludf.DUMMYFUNCTION("""COMPUTED_VALUE"""),0.0)</f>
        <v>0</v>
      </c>
      <c r="H53" s="104">
        <f>IFERROR(__xludf.DUMMYFUNCTION("""COMPUTED_VALUE"""),29.5)</f>
        <v>29.5</v>
      </c>
      <c r="I53" s="104">
        <f>IFERROR(__xludf.DUMMYFUNCTION("""COMPUTED_VALUE"""),0.0)</f>
        <v>0</v>
      </c>
      <c r="J53" s="104">
        <f>IFERROR(__xludf.DUMMYFUNCTION("""COMPUTED_VALUE"""),0.1)</f>
        <v>0.1</v>
      </c>
      <c r="K53" s="104">
        <f>IFERROR(__xludf.DUMMYFUNCTION("""COMPUTED_VALUE"""),1.7)</f>
        <v>1.7</v>
      </c>
      <c r="L53" s="104">
        <f>IFERROR(__xludf.DUMMYFUNCTION("""COMPUTED_VALUE"""),0.1)</f>
        <v>0.1</v>
      </c>
      <c r="M53" s="104">
        <f>IFERROR(__xludf.DUMMYFUNCTION("""COMPUTED_VALUE"""),0.0)</f>
        <v>0</v>
      </c>
      <c r="N53" s="103" t="str">
        <f>IFERROR(__xludf.DUMMYFUNCTION("""COMPUTED_VALUE"""),"Mississippi State Bulldogs")</f>
        <v>Mississippi State Bulldogs</v>
      </c>
      <c r="O53" s="105" t="str">
        <f>IFERROR(__xludf.DUMMYFUNCTION("""COMPUTED_VALUE"""),"SEC")</f>
        <v>SEC</v>
      </c>
      <c r="P53" s="106">
        <f>IFERROR(__xludf.DUMMYFUNCTION("if(F53="""","""",indeX(split(F53,""-""),1)-J53/100)"),4.598999999999999)</f>
        <v>4.599</v>
      </c>
      <c r="Q53" s="106"/>
    </row>
    <row r="54">
      <c r="B54" s="107" t="str">
        <f>IFERROR(__xludf.DUMMYFUNCTION("""COMPUTED_VALUE"""),"0-0")</f>
        <v>0-0</v>
      </c>
      <c r="C54" s="104">
        <f>IFERROR(__xludf.DUMMYFUNCTION("""COMPUTED_VALUE"""),4.0)</f>
        <v>4</v>
      </c>
      <c r="D54" s="104">
        <f>IFERROR(__xludf.DUMMYFUNCTION("""COMPUTED_VALUE"""),50.0)</f>
        <v>50</v>
      </c>
      <c r="E54" s="104" t="str">
        <f>IFERROR(__xludf.DUMMYFUNCTION("""COMPUTED_VALUE"""),"--")</f>
        <v>--</v>
      </c>
      <c r="F54" s="103" t="str">
        <f>IFERROR(__xludf.DUMMYFUNCTION("""COMPUTED_VALUE"""),"7.8-3.8")</f>
        <v>7.8-3.8</v>
      </c>
      <c r="G54" s="104">
        <f>IFERROR(__xludf.DUMMYFUNCTION("""COMPUTED_VALUE"""),0.3)</f>
        <v>0.3</v>
      </c>
      <c r="H54" s="104">
        <f>IFERROR(__xludf.DUMMYFUNCTION("""COMPUTED_VALUE"""),84.9)</f>
        <v>84.9</v>
      </c>
      <c r="I54" s="104">
        <f>IFERROR(__xludf.DUMMYFUNCTION("""COMPUTED_VALUE"""),0.0)</f>
        <v>0</v>
      </c>
      <c r="J54" s="104">
        <f>IFERROR(__xludf.DUMMYFUNCTION("""COMPUTED_VALUE"""),36.4)</f>
        <v>36.4</v>
      </c>
      <c r="K54" s="104">
        <f>IFERROR(__xludf.DUMMYFUNCTION("""COMPUTED_VALUE"""),11.2)</f>
        <v>11.2</v>
      </c>
      <c r="L54" s="104">
        <f>IFERROR(__xludf.DUMMYFUNCTION("""COMPUTED_VALUE"""),0.2)</f>
        <v>0.2</v>
      </c>
      <c r="M54" s="104">
        <f>IFERROR(__xludf.DUMMYFUNCTION("""COMPUTED_VALUE"""),0.1)</f>
        <v>0.1</v>
      </c>
      <c r="N54" s="103" t="str">
        <f>IFERROR(__xludf.DUMMYFUNCTION("""COMPUTED_VALUE"""),"Boise State Broncos")</f>
        <v>Boise State Broncos</v>
      </c>
      <c r="O54" s="105" t="str">
        <f>IFERROR(__xludf.DUMMYFUNCTION("""COMPUTED_VALUE"""),"Pac-12")</f>
        <v>Pac-12</v>
      </c>
      <c r="P54" s="106">
        <f>IFERROR(__xludf.DUMMYFUNCTION("if(F54="""","""",indeX(split(F54,""-""),1)-J54/100)"),7.436)</f>
        <v>7.436</v>
      </c>
      <c r="Q54" s="106"/>
    </row>
    <row r="55">
      <c r="B55" s="107" t="str">
        <f>IFERROR(__xludf.DUMMYFUNCTION("""COMPUTED_VALUE"""),"0-0")</f>
        <v>0-0</v>
      </c>
      <c r="C55" s="104">
        <f>IFERROR(__xludf.DUMMYFUNCTION("""COMPUTED_VALUE"""),3.7)</f>
        <v>3.7</v>
      </c>
      <c r="D55" s="104">
        <f>IFERROR(__xludf.DUMMYFUNCTION("""COMPUTED_VALUE"""),51.0)</f>
        <v>51</v>
      </c>
      <c r="E55" s="104" t="str">
        <f>IFERROR(__xludf.DUMMYFUNCTION("""COMPUTED_VALUE"""),"--")</f>
        <v>--</v>
      </c>
      <c r="F55" s="103" t="str">
        <f>IFERROR(__xludf.DUMMYFUNCTION("""COMPUTED_VALUE"""),"6.7-5.4")</f>
        <v>6.7-5.4</v>
      </c>
      <c r="G55" s="104">
        <f>IFERROR(__xludf.DUMMYFUNCTION("""COMPUTED_VALUE"""),0.0)</f>
        <v>0</v>
      </c>
      <c r="H55" s="104">
        <f>IFERROR(__xludf.DUMMYFUNCTION("""COMPUTED_VALUE"""),70.1)</f>
        <v>70.1</v>
      </c>
      <c r="I55" s="104">
        <f>IFERROR(__xludf.DUMMYFUNCTION("""COMPUTED_VALUE"""),0.0)</f>
        <v>0</v>
      </c>
      <c r="J55" s="104">
        <f>IFERROR(__xludf.DUMMYFUNCTION("""COMPUTED_VALUE"""),1.5)</f>
        <v>1.5</v>
      </c>
      <c r="K55" s="104">
        <f>IFERROR(__xludf.DUMMYFUNCTION("""COMPUTED_VALUE"""),3.5)</f>
        <v>3.5</v>
      </c>
      <c r="L55" s="104">
        <f>IFERROR(__xludf.DUMMYFUNCTION("""COMPUTED_VALUE"""),0.1)</f>
        <v>0.1</v>
      </c>
      <c r="M55" s="104">
        <f>IFERROR(__xludf.DUMMYFUNCTION("""COMPUTED_VALUE"""),0.0)</f>
        <v>0</v>
      </c>
      <c r="N55" s="103" t="str">
        <f>IFERROR(__xludf.DUMMYFUNCTION("""COMPUTED_VALUE"""),"NC State Wolfpack")</f>
        <v>NC State Wolfpack</v>
      </c>
      <c r="O55" s="105" t="str">
        <f>IFERROR(__xludf.DUMMYFUNCTION("""COMPUTED_VALUE"""),"ACC")</f>
        <v>ACC</v>
      </c>
      <c r="P55" s="106">
        <f>IFERROR(__xludf.DUMMYFUNCTION("if(F55="""","""",indeX(split(F55,""-""),1)-J55/100)"),6.6850000000000005)</f>
        <v>6.685</v>
      </c>
      <c r="Q55" s="106"/>
    </row>
    <row r="56">
      <c r="B56" s="107" t="str">
        <f>IFERROR(__xludf.DUMMYFUNCTION("""COMPUTED_VALUE"""),"0-0")</f>
        <v>0-0</v>
      </c>
      <c r="C56" s="104">
        <f>IFERROR(__xludf.DUMMYFUNCTION("""COMPUTED_VALUE"""),3.5)</f>
        <v>3.5</v>
      </c>
      <c r="D56" s="104">
        <f>IFERROR(__xludf.DUMMYFUNCTION("""COMPUTED_VALUE"""),52.0)</f>
        <v>52</v>
      </c>
      <c r="E56" s="104" t="str">
        <f>IFERROR(__xludf.DUMMYFUNCTION("""COMPUTED_VALUE"""),"--")</f>
        <v>--</v>
      </c>
      <c r="F56" s="103" t="str">
        <f>IFERROR(__xludf.DUMMYFUNCTION("""COMPUTED_VALUE"""),"6.0-6.0")</f>
        <v>6.0-6.0</v>
      </c>
      <c r="G56" s="104">
        <f>IFERROR(__xludf.DUMMYFUNCTION("""COMPUTED_VALUE"""),0.0)</f>
        <v>0</v>
      </c>
      <c r="H56" s="104">
        <f>IFERROR(__xludf.DUMMYFUNCTION("""COMPUTED_VALUE"""),57.9)</f>
        <v>57.9</v>
      </c>
      <c r="I56" s="104">
        <f>IFERROR(__xludf.DUMMYFUNCTION("""COMPUTED_VALUE"""),0.0)</f>
        <v>0</v>
      </c>
      <c r="J56" s="104">
        <f>IFERROR(__xludf.DUMMYFUNCTION("""COMPUTED_VALUE"""),1.2)</f>
        <v>1.2</v>
      </c>
      <c r="K56" s="104">
        <f>IFERROR(__xludf.DUMMYFUNCTION("""COMPUTED_VALUE"""),2.9)</f>
        <v>2.9</v>
      </c>
      <c r="L56" s="104">
        <f>IFERROR(__xludf.DUMMYFUNCTION("""COMPUTED_VALUE"""),0.1)</f>
        <v>0.1</v>
      </c>
      <c r="M56" s="104">
        <f>IFERROR(__xludf.DUMMYFUNCTION("""COMPUTED_VALUE"""),0.0)</f>
        <v>0</v>
      </c>
      <c r="N56" s="103" t="str">
        <f>IFERROR(__xludf.DUMMYFUNCTION("""COMPUTED_VALUE"""),"Duke Blue Devils")</f>
        <v>Duke Blue Devils</v>
      </c>
      <c r="O56" s="105" t="str">
        <f>IFERROR(__xludf.DUMMYFUNCTION("""COMPUTED_VALUE"""),"ACC")</f>
        <v>ACC</v>
      </c>
      <c r="P56" s="106">
        <f>IFERROR(__xludf.DUMMYFUNCTION("if(F56="""","""",indeX(split(F56,""-""),1)-J56/100)"),5.988)</f>
        <v>5.988</v>
      </c>
      <c r="Q56" s="106"/>
    </row>
    <row r="57">
      <c r="B57" s="107" t="str">
        <f>IFERROR(__xludf.DUMMYFUNCTION("""COMPUTED_VALUE"""),"0-0")</f>
        <v>0-0</v>
      </c>
      <c r="C57" s="104">
        <f>IFERROR(__xludf.DUMMYFUNCTION("""COMPUTED_VALUE"""),3.4)</f>
        <v>3.4</v>
      </c>
      <c r="D57" s="104">
        <f>IFERROR(__xludf.DUMMYFUNCTION("""COMPUTED_VALUE"""),53.0)</f>
        <v>53</v>
      </c>
      <c r="E57" s="104" t="str">
        <f>IFERROR(__xludf.DUMMYFUNCTION("""COMPUTED_VALUE"""),"--")</f>
        <v>--</v>
      </c>
      <c r="F57" s="103" t="str">
        <f>IFERROR(__xludf.DUMMYFUNCTION("""COMPUTED_VALUE"""),"6.3-5.8")</f>
        <v>6.3-5.8</v>
      </c>
      <c r="G57" s="104">
        <f>IFERROR(__xludf.DUMMYFUNCTION("""COMPUTED_VALUE"""),0.0)</f>
        <v>0</v>
      </c>
      <c r="H57" s="104">
        <f>IFERROR(__xludf.DUMMYFUNCTION("""COMPUTED_VALUE"""),63.3)</f>
        <v>63.3</v>
      </c>
      <c r="I57" s="104">
        <f>IFERROR(__xludf.DUMMYFUNCTION("""COMPUTED_VALUE"""),0.0)</f>
        <v>0</v>
      </c>
      <c r="J57" s="104">
        <f>IFERROR(__xludf.DUMMYFUNCTION("""COMPUTED_VALUE"""),1.0)</f>
        <v>1</v>
      </c>
      <c r="K57" s="104">
        <f>IFERROR(__xludf.DUMMYFUNCTION("""COMPUTED_VALUE"""),2.8)</f>
        <v>2.8</v>
      </c>
      <c r="L57" s="104">
        <f>IFERROR(__xludf.DUMMYFUNCTION("""COMPUTED_VALUE"""),0.1)</f>
        <v>0.1</v>
      </c>
      <c r="M57" s="104">
        <f>IFERROR(__xludf.DUMMYFUNCTION("""COMPUTED_VALUE"""),0.0)</f>
        <v>0</v>
      </c>
      <c r="N57" s="103" t="str">
        <f>IFERROR(__xludf.DUMMYFUNCTION("""COMPUTED_VALUE"""),"Wake Forest Demon Deacons")</f>
        <v>Wake Forest Demon Deacons</v>
      </c>
      <c r="O57" s="105" t="str">
        <f>IFERROR(__xludf.DUMMYFUNCTION("""COMPUTED_VALUE"""),"ACC")</f>
        <v>ACC</v>
      </c>
      <c r="P57" s="106">
        <f>IFERROR(__xludf.DUMMYFUNCTION("if(F57="""","""",indeX(split(F57,""-""),1)-J57/100)"),6.29)</f>
        <v>6.29</v>
      </c>
      <c r="Q57" s="106"/>
    </row>
    <row r="58">
      <c r="B58" s="107" t="str">
        <f>IFERROR(__xludf.DUMMYFUNCTION("""COMPUTED_VALUE"""),"0-0")</f>
        <v>0-0</v>
      </c>
      <c r="C58" s="104">
        <f>IFERROR(__xludf.DUMMYFUNCTION("""COMPUTED_VALUE"""),3.3)</f>
        <v>3.3</v>
      </c>
      <c r="D58" s="104">
        <f>IFERROR(__xludf.DUMMYFUNCTION("""COMPUTED_VALUE"""),54.0)</f>
        <v>54</v>
      </c>
      <c r="E58" s="104" t="str">
        <f>IFERROR(__xludf.DUMMYFUNCTION("""COMPUTED_VALUE"""),"--")</f>
        <v>--</v>
      </c>
      <c r="F58" s="103" t="str">
        <f>IFERROR(__xludf.DUMMYFUNCTION("""COMPUTED_VALUE"""),"6.0-6.1")</f>
        <v>6.0-6.1</v>
      </c>
      <c r="G58" s="104">
        <f>IFERROR(__xludf.DUMMYFUNCTION("""COMPUTED_VALUE"""),0.0)</f>
        <v>0</v>
      </c>
      <c r="H58" s="104">
        <f>IFERROR(__xludf.DUMMYFUNCTION("""COMPUTED_VALUE"""),58.5)</f>
        <v>58.5</v>
      </c>
      <c r="I58" s="104">
        <f>IFERROR(__xludf.DUMMYFUNCTION("""COMPUTED_VALUE"""),0.0)</f>
        <v>0</v>
      </c>
      <c r="J58" s="104">
        <f>IFERROR(__xludf.DUMMYFUNCTION("""COMPUTED_VALUE"""),1.9)</f>
        <v>1.9</v>
      </c>
      <c r="K58" s="104">
        <f>IFERROR(__xludf.DUMMYFUNCTION("""COMPUTED_VALUE"""),3.2)</f>
        <v>3.2</v>
      </c>
      <c r="L58" s="104">
        <f>IFERROR(__xludf.DUMMYFUNCTION("""COMPUTED_VALUE"""),0.1)</f>
        <v>0.1</v>
      </c>
      <c r="M58" s="104">
        <f>IFERROR(__xludf.DUMMYFUNCTION("""COMPUTED_VALUE"""),0.0)</f>
        <v>0</v>
      </c>
      <c r="N58" s="103" t="str">
        <f>IFERROR(__xludf.DUMMYFUNCTION("""COMPUTED_VALUE"""),"Oklahoma State Cowboys")</f>
        <v>Oklahoma State Cowboys</v>
      </c>
      <c r="O58" s="105" t="str">
        <f>IFERROR(__xludf.DUMMYFUNCTION("""COMPUTED_VALUE"""),"Big 12")</f>
        <v>Big 12</v>
      </c>
      <c r="P58" s="106">
        <f>IFERROR(__xludf.DUMMYFUNCTION("if(F58="""","""",indeX(split(F58,""-""),1)-J58/100)"),5.981)</f>
        <v>5.981</v>
      </c>
      <c r="Q58" s="106"/>
    </row>
    <row r="59">
      <c r="B59" s="107" t="str">
        <f>IFERROR(__xludf.DUMMYFUNCTION("""COMPUTED_VALUE"""),"0-0")</f>
        <v>0-0</v>
      </c>
      <c r="C59" s="104">
        <f>IFERROR(__xludf.DUMMYFUNCTION("""COMPUTED_VALUE"""),2.8)</f>
        <v>2.8</v>
      </c>
      <c r="D59" s="104">
        <f>IFERROR(__xludf.DUMMYFUNCTION("""COMPUTED_VALUE"""),55.0)</f>
        <v>55</v>
      </c>
      <c r="E59" s="103" t="str">
        <f>IFERROR(__xludf.DUMMYFUNCTION("""COMPUTED_VALUE"""),"--")</f>
        <v>--</v>
      </c>
      <c r="F59" s="103" t="str">
        <f>IFERROR(__xludf.DUMMYFUNCTION("""COMPUTED_VALUE"""),"6.0-6.0")</f>
        <v>6.0-6.0</v>
      </c>
      <c r="G59" s="104">
        <f>IFERROR(__xludf.DUMMYFUNCTION("""COMPUTED_VALUE"""),0.0)</f>
        <v>0</v>
      </c>
      <c r="H59" s="104">
        <f>IFERROR(__xludf.DUMMYFUNCTION("""COMPUTED_VALUE"""),58.1)</f>
        <v>58.1</v>
      </c>
      <c r="I59" s="104">
        <f>IFERROR(__xludf.DUMMYFUNCTION("""COMPUTED_VALUE"""),0.0)</f>
        <v>0</v>
      </c>
      <c r="J59" s="104">
        <f>IFERROR(__xludf.DUMMYFUNCTION("""COMPUTED_VALUE"""),1.5)</f>
        <v>1.5</v>
      </c>
      <c r="K59" s="104">
        <f>IFERROR(__xludf.DUMMYFUNCTION("""COMPUTED_VALUE"""),2.8)</f>
        <v>2.8</v>
      </c>
      <c r="L59" s="104">
        <f>IFERROR(__xludf.DUMMYFUNCTION("""COMPUTED_VALUE"""),0.1)</f>
        <v>0.1</v>
      </c>
      <c r="M59" s="104">
        <f>IFERROR(__xludf.DUMMYFUNCTION("""COMPUTED_VALUE"""),0.0)</f>
        <v>0</v>
      </c>
      <c r="N59" s="103" t="str">
        <f>IFERROR(__xludf.DUMMYFUNCTION("""COMPUTED_VALUE"""),"Kansas Jayhawks")</f>
        <v>Kansas Jayhawks</v>
      </c>
      <c r="O59" s="105" t="str">
        <f>IFERROR(__xludf.DUMMYFUNCTION("""COMPUTED_VALUE"""),"Big 12")</f>
        <v>Big 12</v>
      </c>
      <c r="P59" s="106">
        <f>IFERROR(__xludf.DUMMYFUNCTION("if(F59="""","""",indeX(split(F59,""-""),1)-J59/100)"),5.985)</f>
        <v>5.985</v>
      </c>
      <c r="Q59" s="106"/>
    </row>
    <row r="60">
      <c r="B60" s="103" t="str">
        <f>IFERROR(__xludf.DUMMYFUNCTION("""COMPUTED_VALUE"""),"0-0")</f>
        <v>0-0</v>
      </c>
      <c r="C60" s="104">
        <f>IFERROR(__xludf.DUMMYFUNCTION("""COMPUTED_VALUE"""),2.3)</f>
        <v>2.3</v>
      </c>
      <c r="D60" s="104">
        <f>IFERROR(__xludf.DUMMYFUNCTION("""COMPUTED_VALUE"""),56.0)</f>
        <v>56</v>
      </c>
      <c r="E60" s="104" t="str">
        <f>IFERROR(__xludf.DUMMYFUNCTION("""COMPUTED_VALUE"""),"--")</f>
        <v>--</v>
      </c>
      <c r="F60" s="103" t="str">
        <f>IFERROR(__xludf.DUMMYFUNCTION("""COMPUTED_VALUE"""),"8.2-4.2")</f>
        <v>8.2-4.2</v>
      </c>
      <c r="G60" s="104">
        <f>IFERROR(__xludf.DUMMYFUNCTION("""COMPUTED_VALUE"""),0.7)</f>
        <v>0.7</v>
      </c>
      <c r="H60" s="104">
        <f>IFERROR(__xludf.DUMMYFUNCTION("""COMPUTED_VALUE"""),87.0)</f>
        <v>87</v>
      </c>
      <c r="I60" s="104">
        <f>IFERROR(__xludf.DUMMYFUNCTION("""COMPUTED_VALUE"""),0.0)</f>
        <v>0</v>
      </c>
      <c r="J60" s="104">
        <f>IFERROR(__xludf.DUMMYFUNCTION("""COMPUTED_VALUE"""),21.8)</f>
        <v>21.8</v>
      </c>
      <c r="K60" s="104">
        <f>IFERROR(__xludf.DUMMYFUNCTION("""COMPUTED_VALUE"""),7.6)</f>
        <v>7.6</v>
      </c>
      <c r="L60" s="104">
        <f>IFERROR(__xludf.DUMMYFUNCTION("""COMPUTED_VALUE"""),0.1)</f>
        <v>0.1</v>
      </c>
      <c r="M60" s="104">
        <f>IFERROR(__xludf.DUMMYFUNCTION("""COMPUTED_VALUE"""),0.0)</f>
        <v>0</v>
      </c>
      <c r="N60" s="103" t="str">
        <f>IFERROR(__xludf.DUMMYFUNCTION("""COMPUTED_VALUE"""),"Tulane Green Wave")</f>
        <v>Tulane Green Wave</v>
      </c>
      <c r="O60" s="105" t="str">
        <f>IFERROR(__xludf.DUMMYFUNCTION("""COMPUTED_VALUE"""),"American")</f>
        <v>American</v>
      </c>
      <c r="P60" s="106">
        <f>IFERROR(__xludf.DUMMYFUNCTION("if(F60="""","""",indeX(split(F60,""-""),1)-J60/100)"),7.981999999999999)</f>
        <v>7.982</v>
      </c>
      <c r="Q60" s="106"/>
    </row>
    <row r="61">
      <c r="B61" s="103" t="str">
        <f>IFERROR(__xludf.DUMMYFUNCTION("""COMPUTED_VALUE"""),"0-0")</f>
        <v>0-0</v>
      </c>
      <c r="C61" s="104">
        <f>IFERROR(__xludf.DUMMYFUNCTION("""COMPUTED_VALUE"""),2.1)</f>
        <v>2.1</v>
      </c>
      <c r="D61" s="104">
        <f>IFERROR(__xludf.DUMMYFUNCTION("""COMPUTED_VALUE"""),57.0)</f>
        <v>57</v>
      </c>
      <c r="E61" s="104" t="str">
        <f>IFERROR(__xludf.DUMMYFUNCTION("""COMPUTED_VALUE"""),"--")</f>
        <v>--</v>
      </c>
      <c r="F61" s="103" t="str">
        <f>IFERROR(__xludf.DUMMYFUNCTION("""COMPUTED_VALUE"""),"6.1-5.9")</f>
        <v>6.1-5.9</v>
      </c>
      <c r="G61" s="104">
        <f>IFERROR(__xludf.DUMMYFUNCTION("""COMPUTED_VALUE"""),0.0)</f>
        <v>0</v>
      </c>
      <c r="H61" s="104">
        <f>IFERROR(__xludf.DUMMYFUNCTION("""COMPUTED_VALUE"""),59.6)</f>
        <v>59.6</v>
      </c>
      <c r="I61" s="104">
        <f>IFERROR(__xludf.DUMMYFUNCTION("""COMPUTED_VALUE"""),0.0)</f>
        <v>0</v>
      </c>
      <c r="J61" s="104">
        <f>IFERROR(__xludf.DUMMYFUNCTION("""COMPUTED_VALUE"""),1.7)</f>
        <v>1.7</v>
      </c>
      <c r="K61" s="104">
        <f>IFERROR(__xludf.DUMMYFUNCTION("""COMPUTED_VALUE"""),3.0)</f>
        <v>3</v>
      </c>
      <c r="L61" s="104">
        <f>IFERROR(__xludf.DUMMYFUNCTION("""COMPUTED_VALUE"""),0.1)</f>
        <v>0.1</v>
      </c>
      <c r="M61" s="104">
        <f>IFERROR(__xludf.DUMMYFUNCTION("""COMPUTED_VALUE"""),0.0)</f>
        <v>0</v>
      </c>
      <c r="N61" s="103" t="str">
        <f>IFERROR(__xludf.DUMMYFUNCTION("""COMPUTED_VALUE"""),"UCF Knights")</f>
        <v>UCF Knights</v>
      </c>
      <c r="O61" s="105" t="str">
        <f>IFERROR(__xludf.DUMMYFUNCTION("""COMPUTED_VALUE"""),"Big 12")</f>
        <v>Big 12</v>
      </c>
      <c r="P61" s="106">
        <f>IFERROR(__xludf.DUMMYFUNCTION("if(F61="""","""",indeX(split(F61,""-""),1)-J61/100)"),6.082999999999999)</f>
        <v>6.083</v>
      </c>
      <c r="Q61" s="106"/>
    </row>
    <row r="62">
      <c r="B62" s="107" t="str">
        <f>IFERROR(__xludf.DUMMYFUNCTION("""COMPUTED_VALUE"""),"0-0")</f>
        <v>0-0</v>
      </c>
      <c r="C62" s="104">
        <f>IFERROR(__xludf.DUMMYFUNCTION("""COMPUTED_VALUE"""),1.8)</f>
        <v>1.8</v>
      </c>
      <c r="D62" s="104">
        <f>IFERROR(__xludf.DUMMYFUNCTION("""COMPUTED_VALUE"""),58.0)</f>
        <v>58</v>
      </c>
      <c r="E62" s="104" t="str">
        <f>IFERROR(__xludf.DUMMYFUNCTION("""COMPUTED_VALUE"""),"--")</f>
        <v>--</v>
      </c>
      <c r="F62" s="103" t="str">
        <f>IFERROR(__xludf.DUMMYFUNCTION("""COMPUTED_VALUE"""),"9.0-3.6")</f>
        <v>9.0-3.6</v>
      </c>
      <c r="G62" s="104">
        <f>IFERROR(__xludf.DUMMYFUNCTION("""COMPUTED_VALUE"""),2.4)</f>
        <v>2.4</v>
      </c>
      <c r="H62" s="104">
        <f>IFERROR(__xludf.DUMMYFUNCTION("""COMPUTED_VALUE"""),92.6)</f>
        <v>92.6</v>
      </c>
      <c r="I62" s="104">
        <f>IFERROR(__xludf.DUMMYFUNCTION("""COMPUTED_VALUE"""),0.0)</f>
        <v>0</v>
      </c>
      <c r="J62" s="104">
        <f>IFERROR(__xludf.DUMMYFUNCTION("""COMPUTED_VALUE"""),35.4)</f>
        <v>35.4</v>
      </c>
      <c r="K62" s="104">
        <f>IFERROR(__xludf.DUMMYFUNCTION("""COMPUTED_VALUE"""),8.7)</f>
        <v>8.7</v>
      </c>
      <c r="L62" s="104">
        <f>IFERROR(__xludf.DUMMYFUNCTION("""COMPUTED_VALUE"""),0.1)</f>
        <v>0.1</v>
      </c>
      <c r="M62" s="104">
        <f>IFERROR(__xludf.DUMMYFUNCTION("""COMPUTED_VALUE"""),0.0)</f>
        <v>0</v>
      </c>
      <c r="N62" s="103" t="str">
        <f>IFERROR(__xludf.DUMMYFUNCTION("""COMPUTED_VALUE"""),"UNLV Rebels")</f>
        <v>UNLV Rebels</v>
      </c>
      <c r="O62" s="105" t="str">
        <f>IFERROR(__xludf.DUMMYFUNCTION("""COMPUTED_VALUE"""),"Mountain West")</f>
        <v>Mountain West</v>
      </c>
      <c r="P62" s="106">
        <f>IFERROR(__xludf.DUMMYFUNCTION("if(F62="""","""",indeX(split(F62,""-""),1)-J62/100)"),8.646)</f>
        <v>8.646</v>
      </c>
      <c r="Q62" s="106"/>
    </row>
    <row r="63">
      <c r="B63" s="107" t="str">
        <f>IFERROR(__xludf.DUMMYFUNCTION("""COMPUTED_VALUE"""),"0-0")</f>
        <v>0-0</v>
      </c>
      <c r="C63" s="104">
        <f>IFERROR(__xludf.DUMMYFUNCTION("""COMPUTED_VALUE"""),1.4)</f>
        <v>1.4</v>
      </c>
      <c r="D63" s="104">
        <f>IFERROR(__xludf.DUMMYFUNCTION("""COMPUTED_VALUE"""),59.0)</f>
        <v>59</v>
      </c>
      <c r="E63" s="104" t="str">
        <f>IFERROR(__xludf.DUMMYFUNCTION("""COMPUTED_VALUE"""),"--")</f>
        <v>--</v>
      </c>
      <c r="F63" s="103" t="str">
        <f>IFERROR(__xludf.DUMMYFUNCTION("""COMPUTED_VALUE"""),"7.5-4.0")</f>
        <v>7.5-4.0</v>
      </c>
      <c r="G63" s="104">
        <f>IFERROR(__xludf.DUMMYFUNCTION("""COMPUTED_VALUE"""),1.0)</f>
        <v>1</v>
      </c>
      <c r="H63" s="104">
        <f>IFERROR(__xludf.DUMMYFUNCTION("""COMPUTED_VALUE"""),81.3)</f>
        <v>81.3</v>
      </c>
      <c r="I63" s="104">
        <f>IFERROR(__xludf.DUMMYFUNCTION("""COMPUTED_VALUE"""),0.0)</f>
        <v>0</v>
      </c>
      <c r="J63" s="104">
        <f>IFERROR(__xludf.DUMMYFUNCTION("""COMPUTED_VALUE"""),25.1)</f>
        <v>25.1</v>
      </c>
      <c r="K63" s="104">
        <f>IFERROR(__xludf.DUMMYFUNCTION("""COMPUTED_VALUE"""),7.5)</f>
        <v>7.5</v>
      </c>
      <c r="L63" s="104">
        <f>IFERROR(__xludf.DUMMYFUNCTION("""COMPUTED_VALUE"""),0.1)</f>
        <v>0.1</v>
      </c>
      <c r="M63" s="104">
        <f>IFERROR(__xludf.DUMMYFUNCTION("""COMPUTED_VALUE"""),0.0)</f>
        <v>0</v>
      </c>
      <c r="N63" s="103" t="str">
        <f>IFERROR(__xludf.DUMMYFUNCTION("""COMPUTED_VALUE"""),"San Diego State Aztecs")</f>
        <v>San Diego State Aztecs</v>
      </c>
      <c r="O63" s="105" t="str">
        <f>IFERROR(__xludf.DUMMYFUNCTION("""COMPUTED_VALUE"""),"Pac-12")</f>
        <v>Pac-12</v>
      </c>
      <c r="P63" s="106">
        <f>IFERROR(__xludf.DUMMYFUNCTION("if(F63="""","""",indeX(split(F63,""-""),1)-J63/100)"),7.249)</f>
        <v>7.249</v>
      </c>
      <c r="Q63" s="106"/>
    </row>
    <row r="64">
      <c r="B64" s="107" t="str">
        <f>IFERROR(__xludf.DUMMYFUNCTION("""COMPUTED_VALUE"""),"0-0")</f>
        <v>0-0</v>
      </c>
      <c r="C64" s="104">
        <f>IFERROR(__xludf.DUMMYFUNCTION("""COMPUTED_VALUE"""),1.4)</f>
        <v>1.4</v>
      </c>
      <c r="D64" s="104">
        <f>IFERROR(__xludf.DUMMYFUNCTION("""COMPUTED_VALUE"""),60.0)</f>
        <v>60</v>
      </c>
      <c r="E64" s="104" t="str">
        <f>IFERROR(__xludf.DUMMYFUNCTION("""COMPUTED_VALUE"""),"--")</f>
        <v>--</v>
      </c>
      <c r="F64" s="103" t="str">
        <f>IFERROR(__xludf.DUMMYFUNCTION("""COMPUTED_VALUE"""),"4.9-7.1")</f>
        <v>4.9-7.1</v>
      </c>
      <c r="G64" s="104">
        <f>IFERROR(__xludf.DUMMYFUNCTION("""COMPUTED_VALUE"""),0.0)</f>
        <v>0</v>
      </c>
      <c r="H64" s="104">
        <f>IFERROR(__xludf.DUMMYFUNCTION("""COMPUTED_VALUE"""),37.6)</f>
        <v>37.6</v>
      </c>
      <c r="I64" s="104">
        <f>IFERROR(__xludf.DUMMYFUNCTION("""COMPUTED_VALUE"""),0.0)</f>
        <v>0</v>
      </c>
      <c r="J64" s="104">
        <f>IFERROR(__xludf.DUMMYFUNCTION("""COMPUTED_VALUE"""),0.1)</f>
        <v>0.1</v>
      </c>
      <c r="K64" s="104">
        <f>IFERROR(__xludf.DUMMYFUNCTION("""COMPUTED_VALUE"""),0.9)</f>
        <v>0.9</v>
      </c>
      <c r="L64" s="104">
        <f>IFERROR(__xludf.DUMMYFUNCTION("""COMPUTED_VALUE"""),0.0)</f>
        <v>0</v>
      </c>
      <c r="M64" s="104">
        <f>IFERROR(__xludf.DUMMYFUNCTION("""COMPUTED_VALUE"""),0.0)</f>
        <v>0</v>
      </c>
      <c r="N64" s="103" t="str">
        <f>IFERROR(__xludf.DUMMYFUNCTION("""COMPUTED_VALUE"""),"Northwestern Wildcats")</f>
        <v>Northwestern Wildcats</v>
      </c>
      <c r="O64" s="105" t="str">
        <f>IFERROR(__xludf.DUMMYFUNCTION("""COMPUTED_VALUE"""),"Big Ten")</f>
        <v>Big Ten</v>
      </c>
      <c r="P64" s="106">
        <f>IFERROR(__xludf.DUMMYFUNCTION("if(F64="""","""",indeX(split(F64,""-""),1)-J64/100)"),4.899)</f>
        <v>4.899</v>
      </c>
      <c r="Q64" s="106"/>
    </row>
    <row r="65">
      <c r="B65" s="107" t="str">
        <f>IFERROR(__xludf.DUMMYFUNCTION("""COMPUTED_VALUE"""),"0-0")</f>
        <v>0-0</v>
      </c>
      <c r="C65" s="104">
        <f>IFERROR(__xludf.DUMMYFUNCTION("""COMPUTED_VALUE"""),1.0)</f>
        <v>1</v>
      </c>
      <c r="D65" s="104">
        <f>IFERROR(__xludf.DUMMYFUNCTION("""COMPUTED_VALUE"""),61.0)</f>
        <v>61</v>
      </c>
      <c r="E65" s="104" t="str">
        <f>IFERROR(__xludf.DUMMYFUNCTION("""COMPUTED_VALUE"""),"--")</f>
        <v>--</v>
      </c>
      <c r="F65" s="103" t="str">
        <f>IFERROR(__xludf.DUMMYFUNCTION("""COMPUTED_VALUE"""),"5.4-6.6")</f>
        <v>5.4-6.6</v>
      </c>
      <c r="G65" s="104">
        <f>IFERROR(__xludf.DUMMYFUNCTION("""COMPUTED_VALUE"""),0.0)</f>
        <v>0</v>
      </c>
      <c r="H65" s="104">
        <f>IFERROR(__xludf.DUMMYFUNCTION("""COMPUTED_VALUE"""),46.0)</f>
        <v>46</v>
      </c>
      <c r="I65" s="104">
        <f>IFERROR(__xludf.DUMMYFUNCTION("""COMPUTED_VALUE"""),0.0)</f>
        <v>0</v>
      </c>
      <c r="J65" s="104">
        <f>IFERROR(__xludf.DUMMYFUNCTION("""COMPUTED_VALUE"""),0.1)</f>
        <v>0.1</v>
      </c>
      <c r="K65" s="104">
        <f>IFERROR(__xludf.DUMMYFUNCTION("""COMPUTED_VALUE"""),1.2)</f>
        <v>1.2</v>
      </c>
      <c r="L65" s="104">
        <f>IFERROR(__xludf.DUMMYFUNCTION("""COMPUTED_VALUE"""),0.0)</f>
        <v>0</v>
      </c>
      <c r="M65" s="104">
        <f>IFERROR(__xludf.DUMMYFUNCTION("""COMPUTED_VALUE"""),0.0)</f>
        <v>0</v>
      </c>
      <c r="N65" s="103" t="str">
        <f>IFERROR(__xludf.DUMMYFUNCTION("""COMPUTED_VALUE"""),"Maryland Terrapins")</f>
        <v>Maryland Terrapins</v>
      </c>
      <c r="O65" s="105" t="str">
        <f>IFERROR(__xludf.DUMMYFUNCTION("""COMPUTED_VALUE"""),"Big Ten")</f>
        <v>Big Ten</v>
      </c>
      <c r="P65" s="106">
        <f>IFERROR(__xludf.DUMMYFUNCTION("if(F65="""","""",indeX(split(F65,""-""),1)-J65/100)"),5.399)</f>
        <v>5.399</v>
      </c>
      <c r="Q65" s="106"/>
    </row>
    <row r="66">
      <c r="B66" s="107" t="str">
        <f>IFERROR(__xludf.DUMMYFUNCTION("""COMPUTED_VALUE"""),"0-0")</f>
        <v>0-0</v>
      </c>
      <c r="C66" s="104">
        <f>IFERROR(__xludf.DUMMYFUNCTION("""COMPUTED_VALUE"""),0.9)</f>
        <v>0.9</v>
      </c>
      <c r="D66" s="104">
        <f>IFERROR(__xludf.DUMMYFUNCTION("""COMPUTED_VALUE"""),62.0)</f>
        <v>62</v>
      </c>
      <c r="E66" s="103" t="str">
        <f>IFERROR(__xludf.DUMMYFUNCTION("""COMPUTED_VALUE"""),"--")</f>
        <v>--</v>
      </c>
      <c r="F66" s="103" t="str">
        <f>IFERROR(__xludf.DUMMYFUNCTION("""COMPUTED_VALUE"""),"5.6-6.5")</f>
        <v>5.6-6.5</v>
      </c>
      <c r="G66" s="104">
        <f>IFERROR(__xludf.DUMMYFUNCTION("""COMPUTED_VALUE"""),0.0)</f>
        <v>0</v>
      </c>
      <c r="H66" s="104">
        <f>IFERROR(__xludf.DUMMYFUNCTION("""COMPUTED_VALUE"""),49.2)</f>
        <v>49.2</v>
      </c>
      <c r="I66" s="104">
        <f>IFERROR(__xludf.DUMMYFUNCTION("""COMPUTED_VALUE"""),0.0)</f>
        <v>0</v>
      </c>
      <c r="J66" s="104">
        <f>IFERROR(__xludf.DUMMYFUNCTION("""COMPUTED_VALUE"""),0.5)</f>
        <v>0.5</v>
      </c>
      <c r="K66" s="104">
        <f>IFERROR(__xludf.DUMMYFUNCTION("""COMPUTED_VALUE"""),1.4)</f>
        <v>1.4</v>
      </c>
      <c r="L66" s="104">
        <f>IFERROR(__xludf.DUMMYFUNCTION("""COMPUTED_VALUE"""),0.0)</f>
        <v>0</v>
      </c>
      <c r="M66" s="104">
        <f>IFERROR(__xludf.DUMMYFUNCTION("""COMPUTED_VALUE"""),0.0)</f>
        <v>0</v>
      </c>
      <c r="N66" s="103" t="str">
        <f>IFERROR(__xludf.DUMMYFUNCTION("""COMPUTED_VALUE"""),"California Golden Bears")</f>
        <v>California Golden Bears</v>
      </c>
      <c r="O66" s="105" t="str">
        <f>IFERROR(__xludf.DUMMYFUNCTION("""COMPUTED_VALUE"""),"ACC")</f>
        <v>ACC</v>
      </c>
      <c r="P66" s="106">
        <f>IFERROR(__xludf.DUMMYFUNCTION("if(F66="""","""",indeX(split(F66,""-""),1)-J66/100)"),5.595)</f>
        <v>5.595</v>
      </c>
      <c r="Q66" s="106"/>
    </row>
    <row r="67">
      <c r="B67" s="107" t="str">
        <f>IFERROR(__xludf.DUMMYFUNCTION("""COMPUTED_VALUE"""),"0-0")</f>
        <v>0-0</v>
      </c>
      <c r="C67" s="104">
        <f>IFERROR(__xludf.DUMMYFUNCTION("""COMPUTED_VALUE"""),0.6)</f>
        <v>0.6</v>
      </c>
      <c r="D67" s="104">
        <f>IFERROR(__xludf.DUMMYFUNCTION("""COMPUTED_VALUE"""),63.0)</f>
        <v>63</v>
      </c>
      <c r="E67" s="104" t="str">
        <f>IFERROR(__xludf.DUMMYFUNCTION("""COMPUTED_VALUE"""),"--")</f>
        <v>--</v>
      </c>
      <c r="F67" s="103" t="str">
        <f>IFERROR(__xludf.DUMMYFUNCTION("""COMPUTED_VALUE"""),"5.3-6.7")</f>
        <v>5.3-6.7</v>
      </c>
      <c r="G67" s="104">
        <f>IFERROR(__xludf.DUMMYFUNCTION("""COMPUTED_VALUE"""),0.0)</f>
        <v>0</v>
      </c>
      <c r="H67" s="104">
        <f>IFERROR(__xludf.DUMMYFUNCTION("""COMPUTED_VALUE"""),43.7)</f>
        <v>43.7</v>
      </c>
      <c r="I67" s="104">
        <f>IFERROR(__xludf.DUMMYFUNCTION("""COMPUTED_VALUE"""),0.0)</f>
        <v>0</v>
      </c>
      <c r="J67" s="104">
        <f>IFERROR(__xludf.DUMMYFUNCTION("""COMPUTED_VALUE"""),0.1)</f>
        <v>0.1</v>
      </c>
      <c r="K67" s="104">
        <f>IFERROR(__xludf.DUMMYFUNCTION("""COMPUTED_VALUE"""),0.8)</f>
        <v>0.8</v>
      </c>
      <c r="L67" s="104">
        <f>IFERROR(__xludf.DUMMYFUNCTION("""COMPUTED_VALUE"""),0.0)</f>
        <v>0</v>
      </c>
      <c r="M67" s="104">
        <f>IFERROR(__xludf.DUMMYFUNCTION("""COMPUTED_VALUE"""),0.0)</f>
        <v>0</v>
      </c>
      <c r="N67" s="103" t="str">
        <f>IFERROR(__xludf.DUMMYFUNCTION("""COMPUTED_VALUE"""),"Minnesota Golden Gophers")</f>
        <v>Minnesota Golden Gophers</v>
      </c>
      <c r="O67" s="105" t="str">
        <f>IFERROR(__xludf.DUMMYFUNCTION("""COMPUTED_VALUE"""),"Big Ten")</f>
        <v>Big Ten</v>
      </c>
      <c r="P67" s="106">
        <f>IFERROR(__xludf.DUMMYFUNCTION("if(F67="""","""",indeX(split(F67,""-""),1)-J67/100)"),5.2989999999999995)</f>
        <v>5.299</v>
      </c>
      <c r="Q67" s="106"/>
    </row>
    <row r="68">
      <c r="B68" s="107" t="str">
        <f>IFERROR(__xludf.DUMMYFUNCTION("""COMPUTED_VALUE"""),"0-0")</f>
        <v>0-0</v>
      </c>
      <c r="C68" s="104">
        <f>IFERROR(__xludf.DUMMYFUNCTION("""COMPUTED_VALUE"""),0.5)</f>
        <v>0.5</v>
      </c>
      <c r="D68" s="104">
        <f>IFERROR(__xludf.DUMMYFUNCTION("""COMPUTED_VALUE"""),64.0)</f>
        <v>64</v>
      </c>
      <c r="E68" s="104" t="str">
        <f>IFERROR(__xludf.DUMMYFUNCTION("""COMPUTED_VALUE"""),"--")</f>
        <v>--</v>
      </c>
      <c r="F68" s="103" t="str">
        <f>IFERROR(__xludf.DUMMYFUNCTION("""COMPUTED_VALUE"""),"5.1-6.9")</f>
        <v>5.1-6.9</v>
      </c>
      <c r="G68" s="104">
        <f>IFERROR(__xludf.DUMMYFUNCTION("""COMPUTED_VALUE"""),0.0)</f>
        <v>0</v>
      </c>
      <c r="H68" s="104">
        <f>IFERROR(__xludf.DUMMYFUNCTION("""COMPUTED_VALUE"""),41.6)</f>
        <v>41.6</v>
      </c>
      <c r="I68" s="104">
        <f>IFERROR(__xludf.DUMMYFUNCTION("""COMPUTED_VALUE"""),0.0)</f>
        <v>0</v>
      </c>
      <c r="J68" s="104">
        <f>IFERROR(__xludf.DUMMYFUNCTION("""COMPUTED_VALUE"""),0.1)</f>
        <v>0.1</v>
      </c>
      <c r="K68" s="104">
        <f>IFERROR(__xludf.DUMMYFUNCTION("""COMPUTED_VALUE"""),1.0)</f>
        <v>1</v>
      </c>
      <c r="L68" s="104">
        <f>IFERROR(__xludf.DUMMYFUNCTION("""COMPUTED_VALUE"""),0.0)</f>
        <v>0</v>
      </c>
      <c r="M68" s="104">
        <f>IFERROR(__xludf.DUMMYFUNCTION("""COMPUTED_VALUE"""),0.0)</f>
        <v>0</v>
      </c>
      <c r="N68" s="103" t="str">
        <f>IFERROR(__xludf.DUMMYFUNCTION("""COMPUTED_VALUE"""),"UCLA Bruins")</f>
        <v>UCLA Bruins</v>
      </c>
      <c r="O68" s="105" t="str">
        <f>IFERROR(__xludf.DUMMYFUNCTION("""COMPUTED_VALUE"""),"Big Ten")</f>
        <v>Big Ten</v>
      </c>
      <c r="P68" s="106">
        <f>IFERROR(__xludf.DUMMYFUNCTION("if(F68="""","""",indeX(split(F68,""-""),1)-J68/100)"),5.098999999999999)</f>
        <v>5.099</v>
      </c>
      <c r="Q68" s="106"/>
    </row>
    <row r="69">
      <c r="B69" s="107" t="str">
        <f>IFERROR(__xludf.DUMMYFUNCTION("""COMPUTED_VALUE"""),"0-0")</f>
        <v>0-0</v>
      </c>
      <c r="C69" s="104">
        <f>IFERROR(__xludf.DUMMYFUNCTION("""COMPUTED_VALUE"""),0.3)</f>
        <v>0.3</v>
      </c>
      <c r="D69" s="104">
        <f>IFERROR(__xludf.DUMMYFUNCTION("""COMPUTED_VALUE"""),65.0)</f>
        <v>65</v>
      </c>
      <c r="E69" s="103" t="str">
        <f>IFERROR(__xludf.DUMMYFUNCTION("""COMPUTED_VALUE"""),"--")</f>
        <v>--</v>
      </c>
      <c r="F69" s="103" t="str">
        <f>IFERROR(__xludf.DUMMYFUNCTION("""COMPUTED_VALUE"""),"4.6-7.4")</f>
        <v>4.6-7.4</v>
      </c>
      <c r="G69" s="104">
        <f>IFERROR(__xludf.DUMMYFUNCTION("""COMPUTED_VALUE"""),0.0)</f>
        <v>0</v>
      </c>
      <c r="H69" s="104">
        <f>IFERROR(__xludf.DUMMYFUNCTION("""COMPUTED_VALUE"""),32.7)</f>
        <v>32.7</v>
      </c>
      <c r="I69" s="104">
        <f>IFERROR(__xludf.DUMMYFUNCTION("""COMPUTED_VALUE"""),0.0)</f>
        <v>0</v>
      </c>
      <c r="J69" s="104">
        <f>IFERROR(__xludf.DUMMYFUNCTION("""COMPUTED_VALUE"""),0.1)</f>
        <v>0.1</v>
      </c>
      <c r="K69" s="104">
        <f>IFERROR(__xludf.DUMMYFUNCTION("""COMPUTED_VALUE"""),0.8)</f>
        <v>0.8</v>
      </c>
      <c r="L69" s="104">
        <f>IFERROR(__xludf.DUMMYFUNCTION("""COMPUTED_VALUE"""),0.0)</f>
        <v>0</v>
      </c>
      <c r="M69" s="104">
        <f>IFERROR(__xludf.DUMMYFUNCTION("""COMPUTED_VALUE"""),0.0)</f>
        <v>0</v>
      </c>
      <c r="N69" s="103" t="str">
        <f>IFERROR(__xludf.DUMMYFUNCTION("""COMPUTED_VALUE"""),"Michigan State Spartans")</f>
        <v>Michigan State Spartans</v>
      </c>
      <c r="O69" s="105" t="str">
        <f>IFERROR(__xludf.DUMMYFUNCTION("""COMPUTED_VALUE"""),"Big Ten")</f>
        <v>Big Ten</v>
      </c>
      <c r="P69" s="106">
        <f>IFERROR(__xludf.DUMMYFUNCTION("if(F69="""","""",indeX(split(F69,""-""),1)-J69/100)"),4.598999999999999)</f>
        <v>4.599</v>
      </c>
      <c r="Q69" s="106"/>
    </row>
    <row r="70">
      <c r="B70" s="107" t="str">
        <f>IFERROR(__xludf.DUMMYFUNCTION("""COMPUTED_VALUE"""),"0-0")</f>
        <v>0-0</v>
      </c>
      <c r="C70" s="104">
        <f>IFERROR(__xludf.DUMMYFUNCTION("""COMPUTED_VALUE"""),0.2)</f>
        <v>0.2</v>
      </c>
      <c r="D70" s="104">
        <f>IFERROR(__xludf.DUMMYFUNCTION("""COMPUTED_VALUE"""),66.0)</f>
        <v>66</v>
      </c>
      <c r="E70" s="104" t="str">
        <f>IFERROR(__xludf.DUMMYFUNCTION("""COMPUTED_VALUE"""),"--")</f>
        <v>--</v>
      </c>
      <c r="F70" s="103" t="str">
        <f>IFERROR(__xludf.DUMMYFUNCTION("""COMPUTED_VALUE"""),"5.4-6.6")</f>
        <v>5.4-6.6</v>
      </c>
      <c r="G70" s="104">
        <f>IFERROR(__xludf.DUMMYFUNCTION("""COMPUTED_VALUE"""),0.0)</f>
        <v>0</v>
      </c>
      <c r="H70" s="104">
        <f>IFERROR(__xludf.DUMMYFUNCTION("""COMPUTED_VALUE"""),46.5)</f>
        <v>46.5</v>
      </c>
      <c r="I70" s="104">
        <f>IFERROR(__xludf.DUMMYFUNCTION("""COMPUTED_VALUE"""),0.0)</f>
        <v>0</v>
      </c>
      <c r="J70" s="104">
        <f>IFERROR(__xludf.DUMMYFUNCTION("""COMPUTED_VALUE"""),0.7)</f>
        <v>0.7</v>
      </c>
      <c r="K70" s="104">
        <f>IFERROR(__xludf.DUMMYFUNCTION("""COMPUTED_VALUE"""),1.4)</f>
        <v>1.4</v>
      </c>
      <c r="L70" s="104">
        <f>IFERROR(__xludf.DUMMYFUNCTION("""COMPUTED_VALUE"""),0.0)</f>
        <v>0</v>
      </c>
      <c r="M70" s="104">
        <f>IFERROR(__xludf.DUMMYFUNCTION("""COMPUTED_VALUE"""),0.0)</f>
        <v>0</v>
      </c>
      <c r="N70" s="103" t="str">
        <f>IFERROR(__xludf.DUMMYFUNCTION("""COMPUTED_VALUE"""),"West Virginia Mountaineers")</f>
        <v>West Virginia Mountaineers</v>
      </c>
      <c r="O70" s="105" t="str">
        <f>IFERROR(__xludf.DUMMYFUNCTION("""COMPUTED_VALUE"""),"Big 12")</f>
        <v>Big 12</v>
      </c>
      <c r="P70" s="106">
        <f>IFERROR(__xludf.DUMMYFUNCTION("if(F70="""","""",indeX(split(F70,""-""),1)-J70/100)"),5.393000000000001)</f>
        <v>5.393</v>
      </c>
      <c r="Q70" s="106"/>
    </row>
    <row r="71">
      <c r="B71" s="107" t="str">
        <f>IFERROR(__xludf.DUMMYFUNCTION("""COMPUTED_VALUE"""),"0-0")</f>
        <v>0-0</v>
      </c>
      <c r="C71" s="104">
        <f>IFERROR(__xludf.DUMMYFUNCTION("""COMPUTED_VALUE"""),-0.2)</f>
        <v>-0.2</v>
      </c>
      <c r="D71" s="104">
        <f>IFERROR(__xludf.DUMMYFUNCTION("""COMPUTED_VALUE"""),67.0)</f>
        <v>67</v>
      </c>
      <c r="E71" s="104" t="str">
        <f>IFERROR(__xludf.DUMMYFUNCTION("""COMPUTED_VALUE"""),"--")</f>
        <v>--</v>
      </c>
      <c r="F71" s="103" t="str">
        <f>IFERROR(__xludf.DUMMYFUNCTION("""COMPUTED_VALUE"""),"5.1-6.9")</f>
        <v>5.1-6.9</v>
      </c>
      <c r="G71" s="104">
        <f>IFERROR(__xludf.DUMMYFUNCTION("""COMPUTED_VALUE"""),0.0)</f>
        <v>0</v>
      </c>
      <c r="H71" s="104">
        <f>IFERROR(__xludf.DUMMYFUNCTION("""COMPUTED_VALUE"""),40.6)</f>
        <v>40.6</v>
      </c>
      <c r="I71" s="104">
        <f>IFERROR(__xludf.DUMMYFUNCTION("""COMPUTED_VALUE"""),0.0)</f>
        <v>0</v>
      </c>
      <c r="J71" s="104">
        <f>IFERROR(__xludf.DUMMYFUNCTION("""COMPUTED_VALUE"""),0.1)</f>
        <v>0.1</v>
      </c>
      <c r="K71" s="104">
        <f>IFERROR(__xludf.DUMMYFUNCTION("""COMPUTED_VALUE"""),0.8)</f>
        <v>0.8</v>
      </c>
      <c r="L71" s="104">
        <f>IFERROR(__xludf.DUMMYFUNCTION("""COMPUTED_VALUE"""),0.0)</f>
        <v>0</v>
      </c>
      <c r="M71" s="104">
        <f>IFERROR(__xludf.DUMMYFUNCTION("""COMPUTED_VALUE"""),0.0)</f>
        <v>0</v>
      </c>
      <c r="N71" s="103" t="str">
        <f>IFERROR(__xludf.DUMMYFUNCTION("""COMPUTED_VALUE"""),"Rutgers Scarlet Knights")</f>
        <v>Rutgers Scarlet Knights</v>
      </c>
      <c r="O71" s="105" t="str">
        <f>IFERROR(__xludf.DUMMYFUNCTION("""COMPUTED_VALUE"""),"Big Ten")</f>
        <v>Big Ten</v>
      </c>
      <c r="P71" s="106">
        <f>IFERROR(__xludf.DUMMYFUNCTION("if(F71="""","""",indeX(split(F71,""-""),1)-J71/100)"),5.098999999999999)</f>
        <v>5.099</v>
      </c>
      <c r="Q71" s="106"/>
    </row>
    <row r="72">
      <c r="B72" s="107" t="str">
        <f>IFERROR(__xludf.DUMMYFUNCTION("""COMPUTED_VALUE"""),"0-0")</f>
        <v>0-0</v>
      </c>
      <c r="C72" s="104">
        <f>IFERROR(__xludf.DUMMYFUNCTION("""COMPUTED_VALUE"""),-0.6)</f>
        <v>-0.6</v>
      </c>
      <c r="D72" s="104">
        <f>IFERROR(__xludf.DUMMYFUNCTION("""COMPUTED_VALUE"""),68.0)</f>
        <v>68</v>
      </c>
      <c r="E72" s="104" t="str">
        <f>IFERROR(__xludf.DUMMYFUNCTION("""COMPUTED_VALUE"""),"--")</f>
        <v>--</v>
      </c>
      <c r="F72" s="103" t="str">
        <f>IFERROR(__xludf.DUMMYFUNCTION("""COMPUTED_VALUE"""),"8.0-4.3")</f>
        <v>8.0-4.3</v>
      </c>
      <c r="G72" s="104">
        <f>IFERROR(__xludf.DUMMYFUNCTION("""COMPUTED_VALUE"""),0.1)</f>
        <v>0.1</v>
      </c>
      <c r="H72" s="104">
        <f>IFERROR(__xludf.DUMMYFUNCTION("""COMPUTED_VALUE"""),88.2)</f>
        <v>88.2</v>
      </c>
      <c r="I72" s="104">
        <f>IFERROR(__xludf.DUMMYFUNCTION("""COMPUTED_VALUE"""),0.0)</f>
        <v>0</v>
      </c>
      <c r="J72" s="104">
        <f>IFERROR(__xludf.DUMMYFUNCTION("""COMPUTED_VALUE"""),15.9)</f>
        <v>15.9</v>
      </c>
      <c r="K72" s="104">
        <f>IFERROR(__xludf.DUMMYFUNCTION("""COMPUTED_VALUE"""),4.7)</f>
        <v>4.7</v>
      </c>
      <c r="L72" s="104">
        <f>IFERROR(__xludf.DUMMYFUNCTION("""COMPUTED_VALUE"""),0.0)</f>
        <v>0</v>
      </c>
      <c r="M72" s="104">
        <f>IFERROR(__xludf.DUMMYFUNCTION("""COMPUTED_VALUE"""),0.0)</f>
        <v>0</v>
      </c>
      <c r="N72" s="103" t="str">
        <f>IFERROR(__xludf.DUMMYFUNCTION("""COMPUTED_VALUE"""),"East Carolina Pirates")</f>
        <v>East Carolina Pirates</v>
      </c>
      <c r="O72" s="105" t="str">
        <f>IFERROR(__xludf.DUMMYFUNCTION("""COMPUTED_VALUE"""),"American")</f>
        <v>American</v>
      </c>
      <c r="P72" s="106">
        <f>IFERROR(__xludf.DUMMYFUNCTION("if(F72="""","""",indeX(split(F72,""-""),1)-J72/100)"),7.841)</f>
        <v>7.841</v>
      </c>
      <c r="Q72" s="106"/>
    </row>
    <row r="73">
      <c r="B73" s="107" t="str">
        <f>IFERROR(__xludf.DUMMYFUNCTION("""COMPUTED_VALUE"""),"0-0")</f>
        <v>0-0</v>
      </c>
      <c r="C73" s="104">
        <f>IFERROR(__xludf.DUMMYFUNCTION("""COMPUTED_VALUE"""),-0.7)</f>
        <v>-0.7</v>
      </c>
      <c r="D73" s="104">
        <f>IFERROR(__xludf.DUMMYFUNCTION("""COMPUTED_VALUE"""),69.0)</f>
        <v>69</v>
      </c>
      <c r="E73" s="104" t="str">
        <f>IFERROR(__xludf.DUMMYFUNCTION("""COMPUTED_VALUE"""),"--")</f>
        <v>--</v>
      </c>
      <c r="F73" s="103" t="str">
        <f>IFERROR(__xludf.DUMMYFUNCTION("""COMPUTED_VALUE"""),"7.9-4.4")</f>
        <v>7.9-4.4</v>
      </c>
      <c r="G73" s="104">
        <f>IFERROR(__xludf.DUMMYFUNCTION("""COMPUTED_VALUE"""),0.1)</f>
        <v>0.1</v>
      </c>
      <c r="H73" s="104">
        <f>IFERROR(__xludf.DUMMYFUNCTION("""COMPUTED_VALUE"""),86.1)</f>
        <v>86.1</v>
      </c>
      <c r="I73" s="104">
        <f>IFERROR(__xludf.DUMMYFUNCTION("""COMPUTED_VALUE"""),0.0)</f>
        <v>0</v>
      </c>
      <c r="J73" s="104">
        <f>IFERROR(__xludf.DUMMYFUNCTION("""COMPUTED_VALUE"""),18.9)</f>
        <v>18.9</v>
      </c>
      <c r="K73" s="104">
        <f>IFERROR(__xludf.DUMMYFUNCTION("""COMPUTED_VALUE"""),4.7)</f>
        <v>4.7</v>
      </c>
      <c r="L73" s="104">
        <f>IFERROR(__xludf.DUMMYFUNCTION("""COMPUTED_VALUE"""),0.0)</f>
        <v>0</v>
      </c>
      <c r="M73" s="104">
        <f>IFERROR(__xludf.DUMMYFUNCTION("""COMPUTED_VALUE"""),0.0)</f>
        <v>0</v>
      </c>
      <c r="N73" s="103" t="str">
        <f>IFERROR(__xludf.DUMMYFUNCTION("""COMPUTED_VALUE"""),"Navy Midshipmen")</f>
        <v>Navy Midshipmen</v>
      </c>
      <c r="O73" s="105" t="str">
        <f>IFERROR(__xludf.DUMMYFUNCTION("""COMPUTED_VALUE"""),"American")</f>
        <v>American</v>
      </c>
      <c r="P73" s="106">
        <f>IFERROR(__xludf.DUMMYFUNCTION("if(F73="""","""",indeX(split(F73,""-""),1)-J73/100)"),7.711)</f>
        <v>7.711</v>
      </c>
      <c r="Q73" s="106"/>
    </row>
    <row r="74">
      <c r="B74" s="107" t="str">
        <f>IFERROR(__xludf.DUMMYFUNCTION("""COMPUTED_VALUE"""),"0-0")</f>
        <v>0-0</v>
      </c>
      <c r="C74" s="104">
        <f>IFERROR(__xludf.DUMMYFUNCTION("""COMPUTED_VALUE"""),-0.8)</f>
        <v>-0.8</v>
      </c>
      <c r="D74" s="104">
        <f>IFERROR(__xludf.DUMMYFUNCTION("""COMPUTED_VALUE"""),70.0)</f>
        <v>70</v>
      </c>
      <c r="E74" s="104" t="str">
        <f>IFERROR(__xludf.DUMMYFUNCTION("""COMPUTED_VALUE"""),"--")</f>
        <v>--</v>
      </c>
      <c r="F74" s="103" t="str">
        <f>IFERROR(__xludf.DUMMYFUNCTION("""COMPUTED_VALUE"""),"4.8-7.2")</f>
        <v>4.8-7.2</v>
      </c>
      <c r="G74" s="104">
        <f>IFERROR(__xludf.DUMMYFUNCTION("""COMPUTED_VALUE"""),0.0)</f>
        <v>0</v>
      </c>
      <c r="H74" s="104">
        <f>IFERROR(__xludf.DUMMYFUNCTION("""COMPUTED_VALUE"""),35.0)</f>
        <v>35</v>
      </c>
      <c r="I74" s="104">
        <f>IFERROR(__xludf.DUMMYFUNCTION("""COMPUTED_VALUE"""),0.0)</f>
        <v>0</v>
      </c>
      <c r="J74" s="104">
        <f>IFERROR(__xludf.DUMMYFUNCTION("""COMPUTED_VALUE"""),0.4)</f>
        <v>0.4</v>
      </c>
      <c r="K74" s="104">
        <f>IFERROR(__xludf.DUMMYFUNCTION("""COMPUTED_VALUE"""),0.9)</f>
        <v>0.9</v>
      </c>
      <c r="L74" s="104">
        <f>IFERROR(__xludf.DUMMYFUNCTION("""COMPUTED_VALUE"""),0.0)</f>
        <v>0</v>
      </c>
      <c r="M74" s="104">
        <f>IFERROR(__xludf.DUMMYFUNCTION("""COMPUTED_VALUE"""),0.0)</f>
        <v>0</v>
      </c>
      <c r="N74" s="103" t="str">
        <f>IFERROR(__xludf.DUMMYFUNCTION("""COMPUTED_VALUE"""),"Syracuse Orange")</f>
        <v>Syracuse Orange</v>
      </c>
      <c r="O74" s="105" t="str">
        <f>IFERROR(__xludf.DUMMYFUNCTION("""COMPUTED_VALUE"""),"ACC")</f>
        <v>ACC</v>
      </c>
      <c r="P74" s="106">
        <f>IFERROR(__xludf.DUMMYFUNCTION("if(F74="""","""",indeX(split(F74,""-""),1)-J74/100)"),4.796)</f>
        <v>4.796</v>
      </c>
      <c r="Q74" s="106"/>
    </row>
    <row r="75">
      <c r="B75" s="107" t="str">
        <f>IFERROR(__xludf.DUMMYFUNCTION("""COMPUTED_VALUE"""),"0-0")</f>
        <v>0-0</v>
      </c>
      <c r="C75" s="104">
        <f>IFERROR(__xludf.DUMMYFUNCTION("""COMPUTED_VALUE"""),-0.9)</f>
        <v>-0.9</v>
      </c>
      <c r="D75" s="104">
        <f>IFERROR(__xludf.DUMMYFUNCTION("""COMPUTED_VALUE"""),71.0)</f>
        <v>71</v>
      </c>
      <c r="E75" s="104" t="str">
        <f>IFERROR(__xludf.DUMMYFUNCTION("""COMPUTED_VALUE"""),"--")</f>
        <v>--</v>
      </c>
      <c r="F75" s="103" t="str">
        <f>IFERROR(__xludf.DUMMYFUNCTION("""COMPUTED_VALUE"""),"4.3-7.7")</f>
        <v>4.3-7.7</v>
      </c>
      <c r="G75" s="104">
        <f>IFERROR(__xludf.DUMMYFUNCTION("""COMPUTED_VALUE"""),0.0)</f>
        <v>0</v>
      </c>
      <c r="H75" s="104">
        <f>IFERROR(__xludf.DUMMYFUNCTION("""COMPUTED_VALUE"""),25.1)</f>
        <v>25.1</v>
      </c>
      <c r="I75" s="104">
        <f>IFERROR(__xludf.DUMMYFUNCTION("""COMPUTED_VALUE"""),0.0)</f>
        <v>0</v>
      </c>
      <c r="J75" s="104">
        <f>IFERROR(__xludf.DUMMYFUNCTION("""COMPUTED_VALUE"""),0.1)</f>
        <v>0.1</v>
      </c>
      <c r="K75" s="104">
        <f>IFERROR(__xludf.DUMMYFUNCTION("""COMPUTED_VALUE"""),0.6)</f>
        <v>0.6</v>
      </c>
      <c r="L75" s="104">
        <f>IFERROR(__xludf.DUMMYFUNCTION("""COMPUTED_VALUE"""),0.0)</f>
        <v>0</v>
      </c>
      <c r="M75" s="104">
        <f>IFERROR(__xludf.DUMMYFUNCTION("""COMPUTED_VALUE"""),0.0)</f>
        <v>0</v>
      </c>
      <c r="N75" s="103" t="str">
        <f>IFERROR(__xludf.DUMMYFUNCTION("""COMPUTED_VALUE"""),"Purdue Boilermakers")</f>
        <v>Purdue Boilermakers</v>
      </c>
      <c r="O75" s="105" t="str">
        <f>IFERROR(__xludf.DUMMYFUNCTION("""COMPUTED_VALUE"""),"Big Ten")</f>
        <v>Big Ten</v>
      </c>
      <c r="P75" s="106">
        <f>IFERROR(__xludf.DUMMYFUNCTION("if(F75="""","""",indeX(split(F75,""-""),1)-J75/100)"),4.2989999999999995)</f>
        <v>4.299</v>
      </c>
      <c r="Q75" s="106"/>
    </row>
    <row r="76">
      <c r="B76" s="107" t="str">
        <f>IFERROR(__xludf.DUMMYFUNCTION("""COMPUTED_VALUE"""),"0-0")</f>
        <v>0-0</v>
      </c>
      <c r="C76" s="104">
        <f>IFERROR(__xludf.DUMMYFUNCTION("""COMPUTED_VALUE"""),-0.9)</f>
        <v>-0.9</v>
      </c>
      <c r="D76" s="104">
        <f>IFERROR(__xludf.DUMMYFUNCTION("""COMPUTED_VALUE"""),72.0)</f>
        <v>72</v>
      </c>
      <c r="E76" s="104" t="str">
        <f>IFERROR(__xludf.DUMMYFUNCTION("""COMPUTED_VALUE"""),"--")</f>
        <v>--</v>
      </c>
      <c r="F76" s="103" t="str">
        <f>IFERROR(__xludf.DUMMYFUNCTION("""COMPUTED_VALUE"""),"5.1-6.9")</f>
        <v>5.1-6.9</v>
      </c>
      <c r="G76" s="104">
        <f>IFERROR(__xludf.DUMMYFUNCTION("""COMPUTED_VALUE"""),0.0)</f>
        <v>0</v>
      </c>
      <c r="H76" s="104">
        <f>IFERROR(__xludf.DUMMYFUNCTION("""COMPUTED_VALUE"""),41.0)</f>
        <v>41</v>
      </c>
      <c r="I76" s="104">
        <f>IFERROR(__xludf.DUMMYFUNCTION("""COMPUTED_VALUE"""),0.0)</f>
        <v>0</v>
      </c>
      <c r="J76" s="104">
        <f>IFERROR(__xludf.DUMMYFUNCTION("""COMPUTED_VALUE"""),0.5)</f>
        <v>0.5</v>
      </c>
      <c r="K76" s="104">
        <f>IFERROR(__xludf.DUMMYFUNCTION("""COMPUTED_VALUE"""),0.9)</f>
        <v>0.9</v>
      </c>
      <c r="L76" s="104">
        <f>IFERROR(__xludf.DUMMYFUNCTION("""COMPUTED_VALUE"""),0.0)</f>
        <v>0</v>
      </c>
      <c r="M76" s="104">
        <f>IFERROR(__xludf.DUMMYFUNCTION("""COMPUTED_VALUE"""),0.0)</f>
        <v>0</v>
      </c>
      <c r="N76" s="103" t="str">
        <f>IFERROR(__xludf.DUMMYFUNCTION("""COMPUTED_VALUE"""),"Iowa State Cyclones")</f>
        <v>Iowa State Cyclones</v>
      </c>
      <c r="O76" s="105" t="str">
        <f>IFERROR(__xludf.DUMMYFUNCTION("""COMPUTED_VALUE"""),"Big 12")</f>
        <v>Big 12</v>
      </c>
      <c r="P76" s="106">
        <f>IFERROR(__xludf.DUMMYFUNCTION("if(F76="""","""",indeX(split(F76,""-""),1)-J76/100)"),5.095)</f>
        <v>5.095</v>
      </c>
      <c r="Q76" s="106"/>
    </row>
    <row r="77">
      <c r="B77" s="107" t="str">
        <f>IFERROR(__xludf.DUMMYFUNCTION("""COMPUTED_VALUE"""),"0-0")</f>
        <v>0-0</v>
      </c>
      <c r="C77" s="104">
        <f>IFERROR(__xludf.DUMMYFUNCTION("""COMPUTED_VALUE"""),-0.9)</f>
        <v>-0.9</v>
      </c>
      <c r="D77" s="104">
        <f>IFERROR(__xludf.DUMMYFUNCTION("""COMPUTED_VALUE"""),73.0)</f>
        <v>73</v>
      </c>
      <c r="E77" s="104" t="str">
        <f>IFERROR(__xludf.DUMMYFUNCTION("""COMPUTED_VALUE"""),"--")</f>
        <v>--</v>
      </c>
      <c r="F77" s="103" t="str">
        <f>IFERROR(__xludf.DUMMYFUNCTION("""COMPUTED_VALUE"""),"8.4-3.8")</f>
        <v>8.4-3.8</v>
      </c>
      <c r="G77" s="104">
        <f>IFERROR(__xludf.DUMMYFUNCTION("""COMPUTED_VALUE"""),1.0)</f>
        <v>1</v>
      </c>
      <c r="H77" s="104">
        <f>IFERROR(__xludf.DUMMYFUNCTION("""COMPUTED_VALUE"""),90.9)</f>
        <v>90.9</v>
      </c>
      <c r="I77" s="104">
        <f>IFERROR(__xludf.DUMMYFUNCTION("""COMPUTED_VALUE"""),0.0)</f>
        <v>0</v>
      </c>
      <c r="J77" s="104">
        <f>IFERROR(__xludf.DUMMYFUNCTION("""COMPUTED_VALUE"""),12.0)</f>
        <v>12</v>
      </c>
      <c r="K77" s="104">
        <f>IFERROR(__xludf.DUMMYFUNCTION("""COMPUTED_VALUE"""),5.1)</f>
        <v>5.1</v>
      </c>
      <c r="L77" s="104">
        <f>IFERROR(__xludf.DUMMYFUNCTION("""COMPUTED_VALUE"""),0.0)</f>
        <v>0</v>
      </c>
      <c r="M77" s="104">
        <f>IFERROR(__xludf.DUMMYFUNCTION("""COMPUTED_VALUE"""),0.0)</f>
        <v>0</v>
      </c>
      <c r="N77" s="103" t="str">
        <f>IFERROR(__xludf.DUMMYFUNCTION("""COMPUTED_VALUE"""),"South Florida Bulls")</f>
        <v>South Florida Bulls</v>
      </c>
      <c r="O77" s="105" t="str">
        <f>IFERROR(__xludf.DUMMYFUNCTION("""COMPUTED_VALUE"""),"American")</f>
        <v>American</v>
      </c>
      <c r="P77" s="106">
        <f>IFERROR(__xludf.DUMMYFUNCTION("if(F77="""","""",indeX(split(F77,""-""),1)-J77/100)"),8.280000000000001)</f>
        <v>8.28</v>
      </c>
      <c r="Q77" s="106"/>
    </row>
    <row r="78">
      <c r="B78" s="107" t="str">
        <f>IFERROR(__xludf.DUMMYFUNCTION("""COMPUTED_VALUE"""),"0-0")</f>
        <v>0-0</v>
      </c>
      <c r="C78" s="104">
        <f>IFERROR(__xludf.DUMMYFUNCTION("""COMPUTED_VALUE"""),-1.9)</f>
        <v>-1.9</v>
      </c>
      <c r="D78" s="104">
        <f>IFERROR(__xludf.DUMMYFUNCTION("""COMPUTED_VALUE"""),74.0)</f>
        <v>74</v>
      </c>
      <c r="E78" s="104" t="str">
        <f>IFERROR(__xludf.DUMMYFUNCTION("""COMPUTED_VALUE"""),"--")</f>
        <v>--</v>
      </c>
      <c r="F78" s="103" t="str">
        <f>IFERROR(__xludf.DUMMYFUNCTION("""COMPUTED_VALUE"""),"7.0-5.2")</f>
        <v>7.0-5.2</v>
      </c>
      <c r="G78" s="104">
        <f>IFERROR(__xludf.DUMMYFUNCTION("""COMPUTED_VALUE"""),0.1)</f>
        <v>0.1</v>
      </c>
      <c r="H78" s="104">
        <f>IFERROR(__xludf.DUMMYFUNCTION("""COMPUTED_VALUE"""),74.3)</f>
        <v>74.3</v>
      </c>
      <c r="I78" s="104">
        <f>IFERROR(__xludf.DUMMYFUNCTION("""COMPUTED_VALUE"""),0.0)</f>
        <v>0</v>
      </c>
      <c r="J78" s="104">
        <f>IFERROR(__xludf.DUMMYFUNCTION("""COMPUTED_VALUE"""),9.3)</f>
        <v>9.3</v>
      </c>
      <c r="K78" s="104">
        <f>IFERROR(__xludf.DUMMYFUNCTION("""COMPUTED_VALUE"""),3.1)</f>
        <v>3.1</v>
      </c>
      <c r="L78" s="104">
        <f>IFERROR(__xludf.DUMMYFUNCTION("""COMPUTED_VALUE"""),0.0)</f>
        <v>0</v>
      </c>
      <c r="M78" s="104">
        <f>IFERROR(__xludf.DUMMYFUNCTION("""COMPUTED_VALUE"""),0.0)</f>
        <v>0</v>
      </c>
      <c r="N78" s="103" t="str">
        <f>IFERROR(__xludf.DUMMYFUNCTION("""COMPUTED_VALUE"""),"Memphis Tigers")</f>
        <v>Memphis Tigers</v>
      </c>
      <c r="O78" s="105" t="str">
        <f>IFERROR(__xludf.DUMMYFUNCTION("""COMPUTED_VALUE"""),"American")</f>
        <v>American</v>
      </c>
      <c r="P78" s="106">
        <f>IFERROR(__xludf.DUMMYFUNCTION("if(F78="""","""",indeX(split(F78,""-""),1)-J78/100)"),6.907)</f>
        <v>6.907</v>
      </c>
      <c r="Q78" s="106"/>
    </row>
    <row r="79">
      <c r="B79" s="107" t="str">
        <f>IFERROR(__xludf.DUMMYFUNCTION("""COMPUTED_VALUE"""),"0-0")</f>
        <v>0-0</v>
      </c>
      <c r="C79" s="104">
        <f>IFERROR(__xludf.DUMMYFUNCTION("""COMPUTED_VALUE"""),-2.0)</f>
        <v>-2</v>
      </c>
      <c r="D79" s="104">
        <f>IFERROR(__xludf.DUMMYFUNCTION("""COMPUTED_VALUE"""),75.0)</f>
        <v>75</v>
      </c>
      <c r="E79" s="104" t="str">
        <f>IFERROR(__xludf.DUMMYFUNCTION("""COMPUTED_VALUE"""),"--")</f>
        <v>--</v>
      </c>
      <c r="F79" s="103" t="str">
        <f>IFERROR(__xludf.DUMMYFUNCTION("""COMPUTED_VALUE"""),"8.2-4.2")</f>
        <v>8.2-4.2</v>
      </c>
      <c r="G79" s="104">
        <f>IFERROR(__xludf.DUMMYFUNCTION("""COMPUTED_VALUE"""),0.6)</f>
        <v>0.6</v>
      </c>
      <c r="H79" s="104">
        <f>IFERROR(__xludf.DUMMYFUNCTION("""COMPUTED_VALUE"""),87.1)</f>
        <v>87.1</v>
      </c>
      <c r="I79" s="104">
        <f>IFERROR(__xludf.DUMMYFUNCTION("""COMPUTED_VALUE"""),31.9)</f>
        <v>31.9</v>
      </c>
      <c r="J79" s="104">
        <f>IFERROR(__xludf.DUMMYFUNCTION("""COMPUTED_VALUE"""),19.9)</f>
        <v>19.9</v>
      </c>
      <c r="K79" s="104">
        <f>IFERROR(__xludf.DUMMYFUNCTION("""COMPUTED_VALUE"""),4.3)</f>
        <v>4.3</v>
      </c>
      <c r="L79" s="104">
        <f>IFERROR(__xludf.DUMMYFUNCTION("""COMPUTED_VALUE"""),0.0)</f>
        <v>0</v>
      </c>
      <c r="M79" s="104">
        <f>IFERROR(__xludf.DUMMYFUNCTION("""COMPUTED_VALUE"""),0.0)</f>
        <v>0</v>
      </c>
      <c r="N79" s="103" t="str">
        <f>IFERROR(__xludf.DUMMYFUNCTION("""COMPUTED_VALUE"""),"James Madison Dukes")</f>
        <v>James Madison Dukes</v>
      </c>
      <c r="O79" s="105" t="str">
        <f>IFERROR(__xludf.DUMMYFUNCTION("""COMPUTED_VALUE"""),"Sun Belt")</f>
        <v>Sun Belt</v>
      </c>
      <c r="P79" s="106">
        <f>IFERROR(__xludf.DUMMYFUNCTION("if(F79="""","""",indeX(split(F79,""-""),1)-J79/100)"),8.001)</f>
        <v>8.001</v>
      </c>
      <c r="Q79" s="106"/>
    </row>
    <row r="80">
      <c r="B80" s="107" t="str">
        <f>IFERROR(__xludf.DUMMYFUNCTION("""COMPUTED_VALUE"""),"0-0")</f>
        <v>0-0</v>
      </c>
      <c r="C80" s="104">
        <f>IFERROR(__xludf.DUMMYFUNCTION("""COMPUTED_VALUE"""),-2.4)</f>
        <v>-2.4</v>
      </c>
      <c r="D80" s="104">
        <f>IFERROR(__xludf.DUMMYFUNCTION("""COMPUTED_VALUE"""),76.0)</f>
        <v>76</v>
      </c>
      <c r="E80" s="103" t="str">
        <f>IFERROR(__xludf.DUMMYFUNCTION("""COMPUTED_VALUE"""),"--")</f>
        <v>--</v>
      </c>
      <c r="F80" s="103" t="str">
        <f>IFERROR(__xludf.DUMMYFUNCTION("""COMPUTED_VALUE"""),"7.9-4.5")</f>
        <v>7.9-4.5</v>
      </c>
      <c r="G80" s="104">
        <f>IFERROR(__xludf.DUMMYFUNCTION("""COMPUTED_VALUE"""),0.3)</f>
        <v>0.3</v>
      </c>
      <c r="H80" s="104">
        <f>IFERROR(__xludf.DUMMYFUNCTION("""COMPUTED_VALUE"""),84.5)</f>
        <v>84.5</v>
      </c>
      <c r="I80" s="104">
        <f>IFERROR(__xludf.DUMMYFUNCTION("""COMPUTED_VALUE"""),0.0)</f>
        <v>0</v>
      </c>
      <c r="J80" s="104">
        <f>IFERROR(__xludf.DUMMYFUNCTION("""COMPUTED_VALUE"""),22.0)</f>
        <v>22</v>
      </c>
      <c r="K80" s="104">
        <f>IFERROR(__xludf.DUMMYFUNCTION("""COMPUTED_VALUE"""),3.5)</f>
        <v>3.5</v>
      </c>
      <c r="L80" s="104">
        <f>IFERROR(__xludf.DUMMYFUNCTION("""COMPUTED_VALUE"""),0.0)</f>
        <v>0</v>
      </c>
      <c r="M80" s="104">
        <f>IFERROR(__xludf.DUMMYFUNCTION("""COMPUTED_VALUE"""),0.0)</f>
        <v>0</v>
      </c>
      <c r="N80" s="103" t="str">
        <f>IFERROR(__xludf.DUMMYFUNCTION("""COMPUTED_VALUE"""),"Hawai'i Rainbow Warriors")</f>
        <v>Hawai'i Rainbow Warriors</v>
      </c>
      <c r="O80" s="105" t="str">
        <f>IFERROR(__xludf.DUMMYFUNCTION("""COMPUTED_VALUE"""),"Mountain West")</f>
        <v>Mountain West</v>
      </c>
      <c r="P80" s="106">
        <f>IFERROR(__xludf.DUMMYFUNCTION("if(F80="""","""",indeX(split(F80,""-""),1)-J80/100)"),7.680000000000001)</f>
        <v>7.68</v>
      </c>
      <c r="Q80" s="106"/>
    </row>
    <row r="81">
      <c r="B81" s="107" t="str">
        <f>IFERROR(__xludf.DUMMYFUNCTION("""COMPUTED_VALUE"""),"0-0")</f>
        <v>0-0</v>
      </c>
      <c r="C81" s="104">
        <f>IFERROR(__xludf.DUMMYFUNCTION("""COMPUTED_VALUE"""),-2.5)</f>
        <v>-2.5</v>
      </c>
      <c r="D81" s="104">
        <f>IFERROR(__xludf.DUMMYFUNCTION("""COMPUTED_VALUE"""),77.0)</f>
        <v>77</v>
      </c>
      <c r="E81" s="104" t="str">
        <f>IFERROR(__xludf.DUMMYFUNCTION("""COMPUTED_VALUE"""),"--")</f>
        <v>--</v>
      </c>
      <c r="F81" s="103" t="str">
        <f>IFERROR(__xludf.DUMMYFUNCTION("""COMPUTED_VALUE"""),"6.2-5.0")</f>
        <v>6.2-5.0</v>
      </c>
      <c r="G81" s="104">
        <f>IFERROR(__xludf.DUMMYFUNCTION("""COMPUTED_VALUE"""),0.0)</f>
        <v>0</v>
      </c>
      <c r="H81" s="104">
        <f>IFERROR(__xludf.DUMMYFUNCTION("""COMPUTED_VALUE"""),62.3)</f>
        <v>62.3</v>
      </c>
      <c r="I81" s="104">
        <f>IFERROR(__xludf.DUMMYFUNCTION("""COMPUTED_VALUE"""),0.0)</f>
        <v>0</v>
      </c>
      <c r="J81" s="104">
        <f>IFERROR(__xludf.DUMMYFUNCTION("""COMPUTED_VALUE"""),11.4)</f>
        <v>11.4</v>
      </c>
      <c r="K81" s="104">
        <f>IFERROR(__xludf.DUMMYFUNCTION("""COMPUTED_VALUE"""),2.9)</f>
        <v>2.9</v>
      </c>
      <c r="L81" s="104">
        <f>IFERROR(__xludf.DUMMYFUNCTION("""COMPUTED_VALUE"""),0.0)</f>
        <v>0</v>
      </c>
      <c r="M81" s="104">
        <f>IFERROR(__xludf.DUMMYFUNCTION("""COMPUTED_VALUE"""),0.0)</f>
        <v>0</v>
      </c>
      <c r="N81" s="103" t="str">
        <f>IFERROR(__xludf.DUMMYFUNCTION("""COMPUTED_VALUE"""),"Fresno State Bulldogs")</f>
        <v>Fresno State Bulldogs</v>
      </c>
      <c r="O81" s="105" t="str">
        <f>IFERROR(__xludf.DUMMYFUNCTION("""COMPUTED_VALUE"""),"Pac-12")</f>
        <v>Pac-12</v>
      </c>
      <c r="P81" s="106">
        <f>IFERROR(__xludf.DUMMYFUNCTION("if(F81="""","""",indeX(split(F81,""-""),1)-J81/100)"),6.086)</f>
        <v>6.086</v>
      </c>
      <c r="Q81" s="106"/>
    </row>
    <row r="82">
      <c r="B82" s="107" t="str">
        <f>IFERROR(__xludf.DUMMYFUNCTION("""COMPUTED_VALUE"""),"0-0")</f>
        <v>0-0</v>
      </c>
      <c r="C82" s="104">
        <f>IFERROR(__xludf.DUMMYFUNCTION("""COMPUTED_VALUE"""),-2.7)</f>
        <v>-2.7</v>
      </c>
      <c r="D82" s="104">
        <f>IFERROR(__xludf.DUMMYFUNCTION("""COMPUTED_VALUE"""),78.0)</f>
        <v>78</v>
      </c>
      <c r="E82" s="104" t="str">
        <f>IFERROR(__xludf.DUMMYFUNCTION("""COMPUTED_VALUE"""),"--")</f>
        <v>--</v>
      </c>
      <c r="F82" s="103" t="str">
        <f>IFERROR(__xludf.DUMMYFUNCTION("""COMPUTED_VALUE"""),"4.0-8.1")</f>
        <v>4.0-8.1</v>
      </c>
      <c r="G82" s="104">
        <f>IFERROR(__xludf.DUMMYFUNCTION("""COMPUTED_VALUE"""),0.0)</f>
        <v>0</v>
      </c>
      <c r="H82" s="104">
        <f>IFERROR(__xludf.DUMMYFUNCTION("""COMPUTED_VALUE"""),19.9)</f>
        <v>19.9</v>
      </c>
      <c r="I82" s="104">
        <f>IFERROR(__xludf.DUMMYFUNCTION("""COMPUTED_VALUE"""),0.0)</f>
        <v>0</v>
      </c>
      <c r="J82" s="104">
        <f>IFERROR(__xludf.DUMMYFUNCTION("""COMPUTED_VALUE"""),0.1)</f>
        <v>0.1</v>
      </c>
      <c r="K82" s="104">
        <f>IFERROR(__xludf.DUMMYFUNCTION("""COMPUTED_VALUE"""),0.4)</f>
        <v>0.4</v>
      </c>
      <c r="L82" s="104">
        <f>IFERROR(__xludf.DUMMYFUNCTION("""COMPUTED_VALUE"""),0.0)</f>
        <v>0</v>
      </c>
      <c r="M82" s="104">
        <f>IFERROR(__xludf.DUMMYFUNCTION("""COMPUTED_VALUE"""),0.0)</f>
        <v>0</v>
      </c>
      <c r="N82" s="103" t="str">
        <f>IFERROR(__xludf.DUMMYFUNCTION("""COMPUTED_VALUE"""),"Boston College Eagles")</f>
        <v>Boston College Eagles</v>
      </c>
      <c r="O82" s="105" t="str">
        <f>IFERROR(__xludf.DUMMYFUNCTION("""COMPUTED_VALUE"""),"ACC")</f>
        <v>ACC</v>
      </c>
      <c r="P82" s="106">
        <f>IFERROR(__xludf.DUMMYFUNCTION("if(F82="""","""",indeX(split(F82,""-""),1)-J82/100)"),3.999)</f>
        <v>3.999</v>
      </c>
      <c r="Q82" s="106"/>
    </row>
    <row r="83">
      <c r="B83" s="107" t="str">
        <f>IFERROR(__xludf.DUMMYFUNCTION("""COMPUTED_VALUE"""),"0-0")</f>
        <v>0-0</v>
      </c>
      <c r="C83" s="104">
        <f>IFERROR(__xludf.DUMMYFUNCTION("""COMPUTED_VALUE"""),-3.0)</f>
        <v>-3</v>
      </c>
      <c r="D83" s="104">
        <f>IFERROR(__xludf.DUMMYFUNCTION("""COMPUTED_VALUE"""),79.0)</f>
        <v>79</v>
      </c>
      <c r="E83" s="104" t="str">
        <f>IFERROR(__xludf.DUMMYFUNCTION("""COMPUTED_VALUE"""),"--")</f>
        <v>--</v>
      </c>
      <c r="F83" s="103" t="str">
        <f>IFERROR(__xludf.DUMMYFUNCTION("""COMPUTED_VALUE"""),"8.5-4.0")</f>
        <v>8.5-4.0</v>
      </c>
      <c r="G83" s="104">
        <f>IFERROR(__xludf.DUMMYFUNCTION("""COMPUTED_VALUE"""),1.0)</f>
        <v>1</v>
      </c>
      <c r="H83" s="104">
        <f>IFERROR(__xludf.DUMMYFUNCTION("""COMPUTED_VALUE"""),89.7)</f>
        <v>89.7</v>
      </c>
      <c r="I83" s="104">
        <f>IFERROR(__xludf.DUMMYFUNCTION("""COMPUTED_VALUE"""),0.0)</f>
        <v>0</v>
      </c>
      <c r="J83" s="104">
        <f>IFERROR(__xludf.DUMMYFUNCTION("""COMPUTED_VALUE"""),26.3)</f>
        <v>26.3</v>
      </c>
      <c r="K83" s="104">
        <f>IFERROR(__xludf.DUMMYFUNCTION("""COMPUTED_VALUE"""),4.0)</f>
        <v>4</v>
      </c>
      <c r="L83" s="104">
        <f>IFERROR(__xludf.DUMMYFUNCTION("""COMPUTED_VALUE"""),0.0)</f>
        <v>0</v>
      </c>
      <c r="M83" s="104">
        <f>IFERROR(__xludf.DUMMYFUNCTION("""COMPUTED_VALUE"""),0.0)</f>
        <v>0</v>
      </c>
      <c r="N83" s="103" t="str">
        <f>IFERROR(__xludf.DUMMYFUNCTION("""COMPUTED_VALUE"""),"Toledo Rockets")</f>
        <v>Toledo Rockets</v>
      </c>
      <c r="O83" s="105" t="str">
        <f>IFERROR(__xludf.DUMMYFUNCTION("""COMPUTED_VALUE"""),"MAC")</f>
        <v>MAC</v>
      </c>
      <c r="P83" s="106">
        <f>IFERROR(__xludf.DUMMYFUNCTION("if(F83="""","""",indeX(split(F83,""-""),1)-J83/100)"),8.237)</f>
        <v>8.237</v>
      </c>
      <c r="Q83" s="106"/>
    </row>
    <row r="84">
      <c r="B84" s="107" t="str">
        <f>IFERROR(__xludf.DUMMYFUNCTION("""COMPUTED_VALUE"""),"0-0")</f>
        <v>0-0</v>
      </c>
      <c r="C84" s="104">
        <f>IFERROR(__xludf.DUMMYFUNCTION("""COMPUTED_VALUE"""),-3.3)</f>
        <v>-3.3</v>
      </c>
      <c r="D84" s="104">
        <f>IFERROR(__xludf.DUMMYFUNCTION("""COMPUTED_VALUE"""),80.0)</f>
        <v>80</v>
      </c>
      <c r="E84" s="104" t="str">
        <f>IFERROR(__xludf.DUMMYFUNCTION("""COMPUTED_VALUE"""),"--")</f>
        <v>--</v>
      </c>
      <c r="F84" s="103" t="str">
        <f>IFERROR(__xludf.DUMMYFUNCTION("""COMPUTED_VALUE"""),"3.9-8.1")</f>
        <v>3.9-8.1</v>
      </c>
      <c r="G84" s="104">
        <f>IFERROR(__xludf.DUMMYFUNCTION("""COMPUTED_VALUE"""),0.0)</f>
        <v>0</v>
      </c>
      <c r="H84" s="104">
        <f>IFERROR(__xludf.DUMMYFUNCTION("""COMPUTED_VALUE"""),18.9)</f>
        <v>18.9</v>
      </c>
      <c r="I84" s="104">
        <f>IFERROR(__xludf.DUMMYFUNCTION("""COMPUTED_VALUE"""),0.0)</f>
        <v>0</v>
      </c>
      <c r="J84" s="104">
        <f>IFERROR(__xludf.DUMMYFUNCTION("""COMPUTED_VALUE"""),0.1)</f>
        <v>0.1</v>
      </c>
      <c r="K84" s="104">
        <f>IFERROR(__xludf.DUMMYFUNCTION("""COMPUTED_VALUE"""),0.2)</f>
        <v>0.2</v>
      </c>
      <c r="L84" s="104">
        <f>IFERROR(__xludf.DUMMYFUNCTION("""COMPUTED_VALUE"""),0.0)</f>
        <v>0</v>
      </c>
      <c r="M84" s="104">
        <f>IFERROR(__xludf.DUMMYFUNCTION("""COMPUTED_VALUE"""),0.0)</f>
        <v>0</v>
      </c>
      <c r="N84" s="103" t="str">
        <f>IFERROR(__xludf.DUMMYFUNCTION("""COMPUTED_VALUE"""),"Stanford Cardinal")</f>
        <v>Stanford Cardinal</v>
      </c>
      <c r="O84" s="105" t="str">
        <f>IFERROR(__xludf.DUMMYFUNCTION("""COMPUTED_VALUE"""),"ACC")</f>
        <v>ACC</v>
      </c>
      <c r="P84" s="106">
        <f>IFERROR(__xludf.DUMMYFUNCTION("if(F84="""","""",indeX(split(F84,""-""),1)-J84/100)"),3.899)</f>
        <v>3.899</v>
      </c>
      <c r="Q84" s="106"/>
    </row>
    <row r="85">
      <c r="B85" s="107" t="str">
        <f>IFERROR(__xludf.DUMMYFUNCTION("""COMPUTED_VALUE"""),"0-0")</f>
        <v>0-0</v>
      </c>
      <c r="C85" s="104">
        <f>IFERROR(__xludf.DUMMYFUNCTION("""COMPUTED_VALUE"""),-3.5)</f>
        <v>-3.5</v>
      </c>
      <c r="D85" s="104">
        <f>IFERROR(__xludf.DUMMYFUNCTION("""COMPUTED_VALUE"""),81.0)</f>
        <v>81</v>
      </c>
      <c r="E85" s="104" t="str">
        <f>IFERROR(__xludf.DUMMYFUNCTION("""COMPUTED_VALUE"""),"--")</f>
        <v>--</v>
      </c>
      <c r="F85" s="103" t="str">
        <f>IFERROR(__xludf.DUMMYFUNCTION("""COMPUTED_VALUE"""),"7.7-4.7")</f>
        <v>7.7-4.7</v>
      </c>
      <c r="G85" s="104">
        <f>IFERROR(__xludf.DUMMYFUNCTION("""COMPUTED_VALUE"""),0.1)</f>
        <v>0.1</v>
      </c>
      <c r="H85" s="104">
        <f>IFERROR(__xludf.DUMMYFUNCTION("""COMPUTED_VALUE"""),83.8)</f>
        <v>83.8</v>
      </c>
      <c r="I85" s="104">
        <f>IFERROR(__xludf.DUMMYFUNCTION("""COMPUTED_VALUE"""),0.0)</f>
        <v>0</v>
      </c>
      <c r="J85" s="104">
        <f>IFERROR(__xludf.DUMMYFUNCTION("""COMPUTED_VALUE"""),16.5)</f>
        <v>16.5</v>
      </c>
      <c r="K85" s="104">
        <f>IFERROR(__xludf.DUMMYFUNCTION("""COMPUTED_VALUE"""),2.9)</f>
        <v>2.9</v>
      </c>
      <c r="L85" s="104">
        <f>IFERROR(__xludf.DUMMYFUNCTION("""COMPUTED_VALUE"""),0.0)</f>
        <v>0</v>
      </c>
      <c r="M85" s="104">
        <f>IFERROR(__xludf.DUMMYFUNCTION("""COMPUTED_VALUE"""),0.0)</f>
        <v>0</v>
      </c>
      <c r="N85" s="103" t="str">
        <f>IFERROR(__xludf.DUMMYFUNCTION("""COMPUTED_VALUE"""),"New Mexico Lobos")</f>
        <v>New Mexico Lobos</v>
      </c>
      <c r="O85" s="105" t="str">
        <f>IFERROR(__xludf.DUMMYFUNCTION("""COMPUTED_VALUE"""),"Mountain West")</f>
        <v>Mountain West</v>
      </c>
      <c r="P85" s="106">
        <f>IFERROR(__xludf.DUMMYFUNCTION("if(F85="""","""",indeX(split(F85,""-""),1)-J85/100)"),7.535)</f>
        <v>7.535</v>
      </c>
      <c r="Q85" s="106"/>
    </row>
    <row r="86">
      <c r="B86" s="107" t="str">
        <f>IFERROR(__xludf.DUMMYFUNCTION("""COMPUTED_VALUE"""),"0-0")</f>
        <v>0-0</v>
      </c>
      <c r="C86" s="104">
        <f>IFERROR(__xludf.DUMMYFUNCTION("""COMPUTED_VALUE"""),-4.0)</f>
        <v>-4</v>
      </c>
      <c r="D86" s="104">
        <f>IFERROR(__xludf.DUMMYFUNCTION("""COMPUTED_VALUE"""),82.0)</f>
        <v>82</v>
      </c>
      <c r="E86" s="104" t="str">
        <f>IFERROR(__xludf.DUMMYFUNCTION("""COMPUTED_VALUE"""),"--")</f>
        <v>--</v>
      </c>
      <c r="F86" s="103" t="str">
        <f>IFERROR(__xludf.DUMMYFUNCTION("""COMPUTED_VALUE"""),"7.7-4.6")</f>
        <v>7.7-4.6</v>
      </c>
      <c r="G86" s="104">
        <f>IFERROR(__xludf.DUMMYFUNCTION("""COMPUTED_VALUE"""),0.1)</f>
        <v>0.1</v>
      </c>
      <c r="H86" s="104">
        <f>IFERROR(__xludf.DUMMYFUNCTION("""COMPUTED_VALUE"""),84.4)</f>
        <v>84.4</v>
      </c>
      <c r="I86" s="104">
        <f>IFERROR(__xludf.DUMMYFUNCTION("""COMPUTED_VALUE"""),0.0)</f>
        <v>0</v>
      </c>
      <c r="J86" s="104">
        <f>IFERROR(__xludf.DUMMYFUNCTION("""COMPUTED_VALUE"""),21.6)</f>
        <v>21.6</v>
      </c>
      <c r="K86" s="104">
        <f>IFERROR(__xludf.DUMMYFUNCTION("""COMPUTED_VALUE"""),2.6)</f>
        <v>2.6</v>
      </c>
      <c r="L86" s="104">
        <f>IFERROR(__xludf.DUMMYFUNCTION("""COMPUTED_VALUE"""),0.0)</f>
        <v>0</v>
      </c>
      <c r="M86" s="104">
        <f>IFERROR(__xludf.DUMMYFUNCTION("""COMPUTED_VALUE"""),0.0)</f>
        <v>0</v>
      </c>
      <c r="N86" s="103" t="str">
        <f>IFERROR(__xludf.DUMMYFUNCTION("""COMPUTED_VALUE"""),"Western Michigan Broncos")</f>
        <v>Western Michigan Broncos</v>
      </c>
      <c r="O86" s="105" t="str">
        <f>IFERROR(__xludf.DUMMYFUNCTION("""COMPUTED_VALUE"""),"MAC")</f>
        <v>MAC</v>
      </c>
      <c r="P86" s="106">
        <f>IFERROR(__xludf.DUMMYFUNCTION("if(F86="""","""",indeX(split(F86,""-""),1)-J86/100)"),7.484)</f>
        <v>7.484</v>
      </c>
      <c r="Q86" s="106"/>
    </row>
    <row r="87">
      <c r="B87" s="107" t="str">
        <f>IFERROR(__xludf.DUMMYFUNCTION("""COMPUTED_VALUE"""),"0-0")</f>
        <v>0-0</v>
      </c>
      <c r="C87" s="104">
        <f>IFERROR(__xludf.DUMMYFUNCTION("""COMPUTED_VALUE"""),-4.1)</f>
        <v>-4.1</v>
      </c>
      <c r="D87" s="104">
        <f>IFERROR(__xludf.DUMMYFUNCTION("""COMPUTED_VALUE"""),83.0)</f>
        <v>83</v>
      </c>
      <c r="E87" s="103" t="str">
        <f>IFERROR(__xludf.DUMMYFUNCTION("""COMPUTED_VALUE"""),"--")</f>
        <v>--</v>
      </c>
      <c r="F87" s="103" t="str">
        <f>IFERROR(__xludf.DUMMYFUNCTION("""COMPUTED_VALUE"""),"5.1-6.1")</f>
        <v>5.1-6.1</v>
      </c>
      <c r="G87" s="104">
        <f>IFERROR(__xludf.DUMMYFUNCTION("""COMPUTED_VALUE"""),0.0)</f>
        <v>0</v>
      </c>
      <c r="H87" s="104">
        <f>IFERROR(__xludf.DUMMYFUNCTION("""COMPUTED_VALUE"""),39.3)</f>
        <v>39.3</v>
      </c>
      <c r="I87" s="104">
        <f>IFERROR(__xludf.DUMMYFUNCTION("""COMPUTED_VALUE"""),0.0)</f>
        <v>0</v>
      </c>
      <c r="J87" s="104">
        <f>IFERROR(__xludf.DUMMYFUNCTION("""COMPUTED_VALUE"""),8.3)</f>
        <v>8.3</v>
      </c>
      <c r="K87" s="104">
        <f>IFERROR(__xludf.DUMMYFUNCTION("""COMPUTED_VALUE"""),1.4)</f>
        <v>1.4</v>
      </c>
      <c r="L87" s="104">
        <f>IFERROR(__xludf.DUMMYFUNCTION("""COMPUTED_VALUE"""),0.0)</f>
        <v>0</v>
      </c>
      <c r="M87" s="104">
        <f>IFERROR(__xludf.DUMMYFUNCTION("""COMPUTED_VALUE"""),0.0)</f>
        <v>0</v>
      </c>
      <c r="N87" s="103" t="str">
        <f>IFERROR(__xludf.DUMMYFUNCTION("""COMPUTED_VALUE"""),"Washington State Cougars")</f>
        <v>Washington State Cougars</v>
      </c>
      <c r="O87" s="105" t="str">
        <f>IFERROR(__xludf.DUMMYFUNCTION("""COMPUTED_VALUE"""),"Pac-12")</f>
        <v>Pac-12</v>
      </c>
      <c r="P87" s="106">
        <f>IFERROR(__xludf.DUMMYFUNCTION("if(F87="""","""",indeX(split(F87,""-""),1)-J87/100)"),5.0169999999999995)</f>
        <v>5.017</v>
      </c>
      <c r="Q87" s="106"/>
    </row>
    <row r="88">
      <c r="B88" s="107" t="str">
        <f>IFERROR(__xludf.DUMMYFUNCTION("""COMPUTED_VALUE"""),"0-0")</f>
        <v>0-0</v>
      </c>
      <c r="C88" s="104">
        <f>IFERROR(__xludf.DUMMYFUNCTION("""COMPUTED_VALUE"""),-4.3)</f>
        <v>-4.3</v>
      </c>
      <c r="D88" s="104">
        <f>IFERROR(__xludf.DUMMYFUNCTION("""COMPUTED_VALUE"""),84.0)</f>
        <v>84</v>
      </c>
      <c r="E88" s="104" t="str">
        <f>IFERROR(__xludf.DUMMYFUNCTION("""COMPUTED_VALUE"""),"--")</f>
        <v>--</v>
      </c>
      <c r="F88" s="103" t="str">
        <f>IFERROR(__xludf.DUMMYFUNCTION("""COMPUTED_VALUE"""),"5.6-5.6")</f>
        <v>5.6-5.6</v>
      </c>
      <c r="G88" s="104">
        <f>IFERROR(__xludf.DUMMYFUNCTION("""COMPUTED_VALUE"""),0.0)</f>
        <v>0</v>
      </c>
      <c r="H88" s="104">
        <f>IFERROR(__xludf.DUMMYFUNCTION("""COMPUTED_VALUE"""),52.2)</f>
        <v>52.2</v>
      </c>
      <c r="I88" s="104">
        <f>IFERROR(__xludf.DUMMYFUNCTION("""COMPUTED_VALUE"""),0.0)</f>
        <v>0</v>
      </c>
      <c r="J88" s="104">
        <f>IFERROR(__xludf.DUMMYFUNCTION("""COMPUTED_VALUE"""),8.6)</f>
        <v>8.6</v>
      </c>
      <c r="K88" s="104">
        <f>IFERROR(__xludf.DUMMYFUNCTION("""COMPUTED_VALUE"""),1.9)</f>
        <v>1.9</v>
      </c>
      <c r="L88" s="104">
        <f>IFERROR(__xludf.DUMMYFUNCTION("""COMPUTED_VALUE"""),0.0)</f>
        <v>0</v>
      </c>
      <c r="M88" s="104">
        <f>IFERROR(__xludf.DUMMYFUNCTION("""COMPUTED_VALUE"""),0.0)</f>
        <v>0</v>
      </c>
      <c r="N88" s="103" t="str">
        <f>IFERROR(__xludf.DUMMYFUNCTION("""COMPUTED_VALUE"""),"Texas State Bobcats")</f>
        <v>Texas State Bobcats</v>
      </c>
      <c r="O88" s="105" t="str">
        <f>IFERROR(__xludf.DUMMYFUNCTION("""COMPUTED_VALUE"""),"Pac-12")</f>
        <v>Pac-12</v>
      </c>
      <c r="P88" s="106">
        <f>IFERROR(__xludf.DUMMYFUNCTION("if(F88="""","""",indeX(split(F88,""-""),1)-J88/100)"),5.513999999999999)</f>
        <v>5.514</v>
      </c>
      <c r="Q88" s="106"/>
    </row>
    <row r="89">
      <c r="B89" s="107" t="str">
        <f>IFERROR(__xludf.DUMMYFUNCTION("""COMPUTED_VALUE"""),"0-0")</f>
        <v>0-0</v>
      </c>
      <c r="C89" s="104">
        <f>IFERROR(__xludf.DUMMYFUNCTION("""COMPUTED_VALUE"""),-4.4)</f>
        <v>-4.4</v>
      </c>
      <c r="D89" s="104">
        <f>IFERROR(__xludf.DUMMYFUNCTION("""COMPUTED_VALUE"""),85.0)</f>
        <v>85</v>
      </c>
      <c r="E89" s="104" t="str">
        <f>IFERROR(__xludf.DUMMYFUNCTION("""COMPUTED_VALUE"""),"--")</f>
        <v>--</v>
      </c>
      <c r="F89" s="103" t="str">
        <f>IFERROR(__xludf.DUMMYFUNCTION("""COMPUTED_VALUE"""),"7.3-5.0")</f>
        <v>7.3-5.0</v>
      </c>
      <c r="G89" s="104">
        <f>IFERROR(__xludf.DUMMYFUNCTION("""COMPUTED_VALUE"""),0.1)</f>
        <v>0.1</v>
      </c>
      <c r="H89" s="104">
        <f>IFERROR(__xludf.DUMMYFUNCTION("""COMPUTED_VALUE"""),76.7)</f>
        <v>76.7</v>
      </c>
      <c r="I89" s="104">
        <f>IFERROR(__xludf.DUMMYFUNCTION("""COMPUTED_VALUE"""),24.0)</f>
        <v>24</v>
      </c>
      <c r="J89" s="104">
        <f>IFERROR(__xludf.DUMMYFUNCTION("""COMPUTED_VALUE"""),14.0)</f>
        <v>14</v>
      </c>
      <c r="K89" s="104">
        <f>IFERROR(__xludf.DUMMYFUNCTION("""COMPUTED_VALUE"""),2.2)</f>
        <v>2.2</v>
      </c>
      <c r="L89" s="104">
        <f>IFERROR(__xludf.DUMMYFUNCTION("""COMPUTED_VALUE"""),0.0)</f>
        <v>0</v>
      </c>
      <c r="M89" s="104">
        <f>IFERROR(__xludf.DUMMYFUNCTION("""COMPUTED_VALUE"""),0.0)</f>
        <v>0</v>
      </c>
      <c r="N89" s="103" t="str">
        <f>IFERROR(__xludf.DUMMYFUNCTION("""COMPUTED_VALUE"""),"Old Dominion Monarchs")</f>
        <v>Old Dominion Monarchs</v>
      </c>
      <c r="O89" s="105" t="str">
        <f>IFERROR(__xludf.DUMMYFUNCTION("""COMPUTED_VALUE"""),"Sun Belt")</f>
        <v>Sun Belt</v>
      </c>
      <c r="P89" s="106">
        <f>IFERROR(__xludf.DUMMYFUNCTION("if(F89="""","""",indeX(split(F89,""-""),1)-J89/100)"),7.16)</f>
        <v>7.16</v>
      </c>
      <c r="Q89" s="106"/>
    </row>
    <row r="90">
      <c r="B90" s="107" t="str">
        <f>IFERROR(__xludf.DUMMYFUNCTION("""COMPUTED_VALUE"""),"0-0")</f>
        <v>0-0</v>
      </c>
      <c r="C90" s="104">
        <f>IFERROR(__xludf.DUMMYFUNCTION("""COMPUTED_VALUE"""),-4.9)</f>
        <v>-4.9</v>
      </c>
      <c r="D90" s="104">
        <f>IFERROR(__xludf.DUMMYFUNCTION("""COMPUTED_VALUE"""),86.0)</f>
        <v>86</v>
      </c>
      <c r="E90" s="104" t="str">
        <f>IFERROR(__xludf.DUMMYFUNCTION("""COMPUTED_VALUE"""),"--")</f>
        <v>--</v>
      </c>
      <c r="F90" s="103" t="str">
        <f>IFERROR(__xludf.DUMMYFUNCTION("""COMPUTED_VALUE"""),"7.1-5.3")</f>
        <v>7.1-5.3</v>
      </c>
      <c r="G90" s="104">
        <f>IFERROR(__xludf.DUMMYFUNCTION("""COMPUTED_VALUE"""),0.0)</f>
        <v>0</v>
      </c>
      <c r="H90" s="104">
        <f>IFERROR(__xludf.DUMMYFUNCTION("""COMPUTED_VALUE"""),77.1)</f>
        <v>77.1</v>
      </c>
      <c r="I90" s="104">
        <f>IFERROR(__xludf.DUMMYFUNCTION("""COMPUTED_VALUE"""),0.0)</f>
        <v>0</v>
      </c>
      <c r="J90" s="104">
        <f>IFERROR(__xludf.DUMMYFUNCTION("""COMPUTED_VALUE"""),24.8)</f>
        <v>24.8</v>
      </c>
      <c r="K90" s="104">
        <f>IFERROR(__xludf.DUMMYFUNCTION("""COMPUTED_VALUE"""),1.9)</f>
        <v>1.9</v>
      </c>
      <c r="L90" s="104">
        <f>IFERROR(__xludf.DUMMYFUNCTION("""COMPUTED_VALUE"""),0.0)</f>
        <v>0</v>
      </c>
      <c r="M90" s="104">
        <f>IFERROR(__xludf.DUMMYFUNCTION("""COMPUTED_VALUE"""),0.0)</f>
        <v>0</v>
      </c>
      <c r="N90" s="103" t="str">
        <f>IFERROR(__xludf.DUMMYFUNCTION("""COMPUTED_VALUE"""),"Western Kentucky Hilltoppers")</f>
        <v>Western Kentucky Hilltoppers</v>
      </c>
      <c r="O90" s="105" t="str">
        <f>IFERROR(__xludf.DUMMYFUNCTION("""COMPUTED_VALUE"""),"CUSA")</f>
        <v>CUSA</v>
      </c>
      <c r="P90" s="106">
        <f>IFERROR(__xludf.DUMMYFUNCTION("if(F90="""","""",indeX(split(F90,""-""),1)-J90/100)"),6.851999999999999)</f>
        <v>6.852</v>
      </c>
      <c r="Q90" s="106"/>
    </row>
    <row r="91">
      <c r="B91" s="107" t="str">
        <f>IFERROR(__xludf.DUMMYFUNCTION("""COMPUTED_VALUE"""),"0-0")</f>
        <v>0-0</v>
      </c>
      <c r="C91" s="104">
        <f>IFERROR(__xludf.DUMMYFUNCTION("""COMPUTED_VALUE"""),-5.1)</f>
        <v>-5.1</v>
      </c>
      <c r="D91" s="104">
        <f>IFERROR(__xludf.DUMMYFUNCTION("""COMPUTED_VALUE"""),87.0)</f>
        <v>87</v>
      </c>
      <c r="E91" s="104" t="str">
        <f>IFERROR(__xludf.DUMMYFUNCTION("""COMPUTED_VALUE"""),"--")</f>
        <v>--</v>
      </c>
      <c r="F91" s="103" t="str">
        <f>IFERROR(__xludf.DUMMYFUNCTION("""COMPUTED_VALUE"""),"6.9-5.3")</f>
        <v>6.9-5.3</v>
      </c>
      <c r="G91" s="104">
        <f>IFERROR(__xludf.DUMMYFUNCTION("""COMPUTED_VALUE"""),0.0)</f>
        <v>0</v>
      </c>
      <c r="H91" s="104">
        <f>IFERROR(__xludf.DUMMYFUNCTION("""COMPUTED_VALUE"""),73.5)</f>
        <v>73.5</v>
      </c>
      <c r="I91" s="104">
        <f>IFERROR(__xludf.DUMMYFUNCTION("""COMPUTED_VALUE"""),24.5)</f>
        <v>24.5</v>
      </c>
      <c r="J91" s="104">
        <f>IFERROR(__xludf.DUMMYFUNCTION("""COMPUTED_VALUE"""),12.6)</f>
        <v>12.6</v>
      </c>
      <c r="K91" s="104">
        <f>IFERROR(__xludf.DUMMYFUNCTION("""COMPUTED_VALUE"""),1.6)</f>
        <v>1.6</v>
      </c>
      <c r="L91" s="104">
        <f>IFERROR(__xludf.DUMMYFUNCTION("""COMPUTED_VALUE"""),0.0)</f>
        <v>0</v>
      </c>
      <c r="M91" s="104">
        <f>IFERROR(__xludf.DUMMYFUNCTION("""COMPUTED_VALUE"""),0.0)</f>
        <v>0</v>
      </c>
      <c r="N91" s="103" t="str">
        <f>IFERROR(__xludf.DUMMYFUNCTION("""COMPUTED_VALUE"""),"Southern Miss Golden Eagles")</f>
        <v>Southern Miss Golden Eagles</v>
      </c>
      <c r="O91" s="105" t="str">
        <f>IFERROR(__xludf.DUMMYFUNCTION("""COMPUTED_VALUE"""),"Sun Belt")</f>
        <v>Sun Belt</v>
      </c>
      <c r="P91" s="106">
        <f>IFERROR(__xludf.DUMMYFUNCTION("if(F91="""","""",indeX(split(F91,""-""),1)-J91/100)"),6.774)</f>
        <v>6.774</v>
      </c>
      <c r="Q91" s="106"/>
    </row>
    <row r="92">
      <c r="B92" s="107" t="str">
        <f>IFERROR(__xludf.DUMMYFUNCTION("""COMPUTED_VALUE"""),"0-0")</f>
        <v>0-0</v>
      </c>
      <c r="C92" s="104">
        <f>IFERROR(__xludf.DUMMYFUNCTION("""COMPUTED_VALUE"""),-5.3)</f>
        <v>-5.3</v>
      </c>
      <c r="D92" s="104">
        <f>IFERROR(__xludf.DUMMYFUNCTION("""COMPUTED_VALUE"""),88.0)</f>
        <v>88</v>
      </c>
      <c r="E92" s="104" t="str">
        <f>IFERROR(__xludf.DUMMYFUNCTION("""COMPUTED_VALUE"""),"--")</f>
        <v>--</v>
      </c>
      <c r="F92" s="103" t="str">
        <f>IFERROR(__xludf.DUMMYFUNCTION("""COMPUTED_VALUE"""),"6.4-5.7")</f>
        <v>6.4-5.7</v>
      </c>
      <c r="G92" s="104">
        <f>IFERROR(__xludf.DUMMYFUNCTION("""COMPUTED_VALUE"""),0.0)</f>
        <v>0</v>
      </c>
      <c r="H92" s="104">
        <f>IFERROR(__xludf.DUMMYFUNCTION("""COMPUTED_VALUE"""),66.5)</f>
        <v>66.5</v>
      </c>
      <c r="I92" s="104">
        <f>IFERROR(__xludf.DUMMYFUNCTION("""COMPUTED_VALUE"""),0.0)</f>
        <v>0</v>
      </c>
      <c r="J92" s="104">
        <f>IFERROR(__xludf.DUMMYFUNCTION("""COMPUTED_VALUE"""),5.9)</f>
        <v>5.9</v>
      </c>
      <c r="K92" s="104">
        <f>IFERROR(__xludf.DUMMYFUNCTION("""COMPUTED_VALUE"""),1.5)</f>
        <v>1.5</v>
      </c>
      <c r="L92" s="104">
        <f>IFERROR(__xludf.DUMMYFUNCTION("""COMPUTED_VALUE"""),0.0)</f>
        <v>0</v>
      </c>
      <c r="M92" s="104">
        <f>IFERROR(__xludf.DUMMYFUNCTION("""COMPUTED_VALUE"""),0.0)</f>
        <v>0</v>
      </c>
      <c r="N92" s="103" t="str">
        <f>IFERROR(__xludf.DUMMYFUNCTION("""COMPUTED_VALUE"""),"UTSA Roadrunners")</f>
        <v>UTSA Roadrunners</v>
      </c>
      <c r="O92" s="105" t="str">
        <f>IFERROR(__xludf.DUMMYFUNCTION("""COMPUTED_VALUE"""),"American")</f>
        <v>American</v>
      </c>
      <c r="P92" s="106">
        <f>IFERROR(__xludf.DUMMYFUNCTION("if(F92="""","""",indeX(split(F92,""-""),1)-J92/100)"),6.341)</f>
        <v>6.341</v>
      </c>
      <c r="Q92" s="106"/>
    </row>
    <row r="93">
      <c r="B93" s="107" t="str">
        <f>IFERROR(__xludf.DUMMYFUNCTION("""COMPUTED_VALUE"""),"0-0")</f>
        <v>0-0</v>
      </c>
      <c r="C93" s="104">
        <f>IFERROR(__xludf.DUMMYFUNCTION("""COMPUTED_VALUE"""),-5.6)</f>
        <v>-5.6</v>
      </c>
      <c r="D93" s="104">
        <f>IFERROR(__xludf.DUMMYFUNCTION("""COMPUTED_VALUE"""),89.0)</f>
        <v>89</v>
      </c>
      <c r="E93" s="104" t="str">
        <f>IFERROR(__xludf.DUMMYFUNCTION("""COMPUTED_VALUE"""),"--")</f>
        <v>--</v>
      </c>
      <c r="F93" s="103" t="str">
        <f>IFERROR(__xludf.DUMMYFUNCTION("""COMPUTED_VALUE"""),"6.4-5.7")</f>
        <v>6.4-5.7</v>
      </c>
      <c r="G93" s="104">
        <f>IFERROR(__xludf.DUMMYFUNCTION("""COMPUTED_VALUE"""),0.0)</f>
        <v>0</v>
      </c>
      <c r="H93" s="104">
        <f>IFERROR(__xludf.DUMMYFUNCTION("""COMPUTED_VALUE"""),64.3)</f>
        <v>64.3</v>
      </c>
      <c r="I93" s="104">
        <f>IFERROR(__xludf.DUMMYFUNCTION("""COMPUTED_VALUE"""),0.0)</f>
        <v>0</v>
      </c>
      <c r="J93" s="104">
        <f>IFERROR(__xludf.DUMMYFUNCTION("""COMPUTED_VALUE"""),5.0)</f>
        <v>5</v>
      </c>
      <c r="K93" s="104">
        <f>IFERROR(__xludf.DUMMYFUNCTION("""COMPUTED_VALUE"""),1.4)</f>
        <v>1.4</v>
      </c>
      <c r="L93" s="104">
        <f>IFERROR(__xludf.DUMMYFUNCTION("""COMPUTED_VALUE"""),0.0)</f>
        <v>0</v>
      </c>
      <c r="M93" s="104">
        <f>IFERROR(__xludf.DUMMYFUNCTION("""COMPUTED_VALUE"""),0.0)</f>
        <v>0</v>
      </c>
      <c r="N93" s="103" t="str">
        <f>IFERROR(__xludf.DUMMYFUNCTION("""COMPUTED_VALUE"""),"Army Black Knights")</f>
        <v>Army Black Knights</v>
      </c>
      <c r="O93" s="105" t="str">
        <f>IFERROR(__xludf.DUMMYFUNCTION("""COMPUTED_VALUE"""),"American")</f>
        <v>American</v>
      </c>
      <c r="P93" s="106">
        <f>IFERROR(__xludf.DUMMYFUNCTION("if(F93="""","""",indeX(split(F93,""-""),1)-J93/100)"),6.3500000000000005)</f>
        <v>6.35</v>
      </c>
      <c r="Q93" s="106"/>
    </row>
    <row r="94">
      <c r="B94" s="107" t="str">
        <f>IFERROR(__xludf.DUMMYFUNCTION("""COMPUTED_VALUE"""),"0-0")</f>
        <v>0-0</v>
      </c>
      <c r="C94" s="104">
        <f>IFERROR(__xludf.DUMMYFUNCTION("""COMPUTED_VALUE"""),-6.4)</f>
        <v>-6.4</v>
      </c>
      <c r="D94" s="104">
        <f>IFERROR(__xludf.DUMMYFUNCTION("""COMPUTED_VALUE"""),90.0)</f>
        <v>90</v>
      </c>
      <c r="E94" s="104" t="str">
        <f>IFERROR(__xludf.DUMMYFUNCTION("""COMPUTED_VALUE"""),"--")</f>
        <v>--</v>
      </c>
      <c r="F94" s="103" t="str">
        <f>IFERROR(__xludf.DUMMYFUNCTION("""COMPUTED_VALUE"""),"6.2-5.9")</f>
        <v>6.2-5.9</v>
      </c>
      <c r="G94" s="104">
        <f>IFERROR(__xludf.DUMMYFUNCTION("""COMPUTED_VALUE"""),0.0)</f>
        <v>0</v>
      </c>
      <c r="H94" s="104">
        <f>IFERROR(__xludf.DUMMYFUNCTION("""COMPUTED_VALUE"""),62.6)</f>
        <v>62.6</v>
      </c>
      <c r="I94" s="104">
        <f>IFERROR(__xludf.DUMMYFUNCTION("""COMPUTED_VALUE"""),0.0)</f>
        <v>0</v>
      </c>
      <c r="J94" s="104">
        <f>IFERROR(__xludf.DUMMYFUNCTION("""COMPUTED_VALUE"""),4.5)</f>
        <v>4.5</v>
      </c>
      <c r="K94" s="104">
        <f>IFERROR(__xludf.DUMMYFUNCTION("""COMPUTED_VALUE"""),1.0)</f>
        <v>1</v>
      </c>
      <c r="L94" s="104">
        <f>IFERROR(__xludf.DUMMYFUNCTION("""COMPUTED_VALUE"""),0.0)</f>
        <v>0</v>
      </c>
      <c r="M94" s="104">
        <f>IFERROR(__xludf.DUMMYFUNCTION("""COMPUTED_VALUE"""),0.0)</f>
        <v>0</v>
      </c>
      <c r="N94" s="103" t="str">
        <f>IFERROR(__xludf.DUMMYFUNCTION("""COMPUTED_VALUE"""),"North Texas Mean Green")</f>
        <v>North Texas Mean Green</v>
      </c>
      <c r="O94" s="105" t="str">
        <f>IFERROR(__xludf.DUMMYFUNCTION("""COMPUTED_VALUE"""),"American")</f>
        <v>American</v>
      </c>
      <c r="P94" s="106">
        <f>IFERROR(__xludf.DUMMYFUNCTION("if(F94="""","""",indeX(split(F94,""-""),1)-J94/100)"),6.155)</f>
        <v>6.155</v>
      </c>
      <c r="Q94" s="106"/>
    </row>
    <row r="95">
      <c r="B95" s="107" t="str">
        <f>IFERROR(__xludf.DUMMYFUNCTION("""COMPUTED_VALUE"""),"0-0")</f>
        <v>0-0</v>
      </c>
      <c r="C95" s="104">
        <f>IFERROR(__xludf.DUMMYFUNCTION("""COMPUTED_VALUE"""),-6.6)</f>
        <v>-6.6</v>
      </c>
      <c r="D95" s="104">
        <f>IFERROR(__xludf.DUMMYFUNCTION("""COMPUTED_VALUE"""),91.0)</f>
        <v>91</v>
      </c>
      <c r="E95" s="104" t="str">
        <f>IFERROR(__xludf.DUMMYFUNCTION("""COMPUTED_VALUE"""),"--")</f>
        <v>--</v>
      </c>
      <c r="F95" s="103" t="str">
        <f>IFERROR(__xludf.DUMMYFUNCTION("""COMPUTED_VALUE"""),"6.9-5.5")</f>
        <v>6.9-5.5</v>
      </c>
      <c r="G95" s="104">
        <f>IFERROR(__xludf.DUMMYFUNCTION("""COMPUTED_VALUE"""),0.0)</f>
        <v>0</v>
      </c>
      <c r="H95" s="104">
        <f>IFERROR(__xludf.DUMMYFUNCTION("""COMPUTED_VALUE"""),71.8)</f>
        <v>71.8</v>
      </c>
      <c r="I95" s="104">
        <f>IFERROR(__xludf.DUMMYFUNCTION("""COMPUTED_VALUE"""),0.0)</f>
        <v>0</v>
      </c>
      <c r="J95" s="104">
        <f>IFERROR(__xludf.DUMMYFUNCTION("""COMPUTED_VALUE"""),16.8)</f>
        <v>16.8</v>
      </c>
      <c r="K95" s="104">
        <f>IFERROR(__xludf.DUMMYFUNCTION("""COMPUTED_VALUE"""),1.3)</f>
        <v>1.3</v>
      </c>
      <c r="L95" s="104">
        <f>IFERROR(__xludf.DUMMYFUNCTION("""COMPUTED_VALUE"""),0.0)</f>
        <v>0</v>
      </c>
      <c r="M95" s="104">
        <f>IFERROR(__xludf.DUMMYFUNCTION("""COMPUTED_VALUE"""),0.0)</f>
        <v>0</v>
      </c>
      <c r="N95" s="103" t="str">
        <f>IFERROR(__xludf.DUMMYFUNCTION("""COMPUTED_VALUE"""),"Delaware Blue Hens")</f>
        <v>Delaware Blue Hens</v>
      </c>
      <c r="O95" s="105" t="str">
        <f>IFERROR(__xludf.DUMMYFUNCTION("""COMPUTED_VALUE"""),"CUSA")</f>
        <v>CUSA</v>
      </c>
      <c r="P95" s="106">
        <f>IFERROR(__xludf.DUMMYFUNCTION("if(F95="""","""",indeX(split(F95,""-""),1)-J95/100)"),6.732)</f>
        <v>6.732</v>
      </c>
      <c r="Q95" s="106"/>
    </row>
    <row r="96">
      <c r="B96" s="107" t="str">
        <f>IFERROR(__xludf.DUMMYFUNCTION("""COMPUTED_VALUE"""),"0-0")</f>
        <v>0-0</v>
      </c>
      <c r="C96" s="104">
        <f>IFERROR(__xludf.DUMMYFUNCTION("""COMPUTED_VALUE"""),-6.7)</f>
        <v>-6.7</v>
      </c>
      <c r="D96" s="104">
        <f>IFERROR(__xludf.DUMMYFUNCTION("""COMPUTED_VALUE"""),92.0)</f>
        <v>92</v>
      </c>
      <c r="E96" s="104" t="str">
        <f>IFERROR(__xludf.DUMMYFUNCTION("""COMPUTED_VALUE"""),"--")</f>
        <v>--</v>
      </c>
      <c r="F96" s="103" t="str">
        <f>IFERROR(__xludf.DUMMYFUNCTION("""COMPUTED_VALUE"""),"4.7-6.4")</f>
        <v>4.7-6.4</v>
      </c>
      <c r="G96" s="104">
        <f>IFERROR(__xludf.DUMMYFUNCTION("""COMPUTED_VALUE"""),0.0)</f>
        <v>0</v>
      </c>
      <c r="H96" s="104">
        <f>IFERROR(__xludf.DUMMYFUNCTION("""COMPUTED_VALUE"""),33.2)</f>
        <v>33.2</v>
      </c>
      <c r="I96" s="104">
        <f>IFERROR(__xludf.DUMMYFUNCTION("""COMPUTED_VALUE"""),0.0)</f>
        <v>0</v>
      </c>
      <c r="J96" s="104">
        <f>IFERROR(__xludf.DUMMYFUNCTION("""COMPUTED_VALUE"""),4.7)</f>
        <v>4.7</v>
      </c>
      <c r="K96" s="104">
        <f>IFERROR(__xludf.DUMMYFUNCTION("""COMPUTED_VALUE"""),0.7)</f>
        <v>0.7</v>
      </c>
      <c r="L96" s="104">
        <f>IFERROR(__xludf.DUMMYFUNCTION("""COMPUTED_VALUE"""),0.0)</f>
        <v>0</v>
      </c>
      <c r="M96" s="104">
        <f>IFERROR(__xludf.DUMMYFUNCTION("""COMPUTED_VALUE"""),0.0)</f>
        <v>0</v>
      </c>
      <c r="N96" s="103" t="str">
        <f>IFERROR(__xludf.DUMMYFUNCTION("""COMPUTED_VALUE"""),"Utah State Aggies")</f>
        <v>Utah State Aggies</v>
      </c>
      <c r="O96" s="105" t="str">
        <f>IFERROR(__xludf.DUMMYFUNCTION("""COMPUTED_VALUE"""),"Pac-12")</f>
        <v>Pac-12</v>
      </c>
      <c r="P96" s="106">
        <f>IFERROR(__xludf.DUMMYFUNCTION("if(F96="""","""",indeX(split(F96,""-""),1)-J96/100)"),4.6530000000000005)</f>
        <v>4.653</v>
      </c>
      <c r="Q96" s="106"/>
    </row>
    <row r="97">
      <c r="B97" s="107" t="str">
        <f>IFERROR(__xludf.DUMMYFUNCTION("""COMPUTED_VALUE"""),"0-0")</f>
        <v>0-0</v>
      </c>
      <c r="C97" s="104">
        <f>IFERROR(__xludf.DUMMYFUNCTION("""COMPUTED_VALUE"""),-6.8)</f>
        <v>-6.8</v>
      </c>
      <c r="D97" s="104">
        <f>IFERROR(__xludf.DUMMYFUNCTION("""COMPUTED_VALUE"""),93.0)</f>
        <v>93</v>
      </c>
      <c r="E97" s="104" t="str">
        <f>IFERROR(__xludf.DUMMYFUNCTION("""COMPUTED_VALUE"""),"--")</f>
        <v>--</v>
      </c>
      <c r="F97" s="103" t="str">
        <f>IFERROR(__xludf.DUMMYFUNCTION("""COMPUTED_VALUE"""),"7.2-5.1")</f>
        <v>7.2-5.1</v>
      </c>
      <c r="G97" s="104">
        <f>IFERROR(__xludf.DUMMYFUNCTION("""COMPUTED_VALUE"""),0.1)</f>
        <v>0.1</v>
      </c>
      <c r="H97" s="104">
        <f>IFERROR(__xludf.DUMMYFUNCTION("""COMPUTED_VALUE"""),75.7)</f>
        <v>75.7</v>
      </c>
      <c r="I97" s="104">
        <f>IFERROR(__xludf.DUMMYFUNCTION("""COMPUTED_VALUE"""),0.0)</f>
        <v>0</v>
      </c>
      <c r="J97" s="104">
        <f>IFERROR(__xludf.DUMMYFUNCTION("""COMPUTED_VALUE"""),10.0)</f>
        <v>10</v>
      </c>
      <c r="K97" s="104">
        <f>IFERROR(__xludf.DUMMYFUNCTION("""COMPUTED_VALUE"""),1.5)</f>
        <v>1.5</v>
      </c>
      <c r="L97" s="104">
        <f>IFERROR(__xludf.DUMMYFUNCTION("""COMPUTED_VALUE"""),0.0)</f>
        <v>0</v>
      </c>
      <c r="M97" s="104">
        <f>IFERROR(__xludf.DUMMYFUNCTION("""COMPUTED_VALUE"""),0.0)</f>
        <v>0</v>
      </c>
      <c r="N97" s="103" t="str">
        <f>IFERROR(__xludf.DUMMYFUNCTION("""COMPUTED_VALUE"""),"Air Force Falcons")</f>
        <v>Air Force Falcons</v>
      </c>
      <c r="O97" s="105" t="str">
        <f>IFERROR(__xludf.DUMMYFUNCTION("""COMPUTED_VALUE"""),"Mountain West")</f>
        <v>Mountain West</v>
      </c>
      <c r="P97" s="106">
        <f>IFERROR(__xludf.DUMMYFUNCTION("if(F97="""","""",indeX(split(F97,""-""),1)-J97/100)"),7.1000000000000005)</f>
        <v>7.1</v>
      </c>
      <c r="Q97" s="106"/>
    </row>
    <row r="98">
      <c r="B98" s="107" t="str">
        <f>IFERROR(__xludf.DUMMYFUNCTION("""COMPUTED_VALUE"""),"0-0")</f>
        <v>0-0</v>
      </c>
      <c r="C98" s="104">
        <f>IFERROR(__xludf.DUMMYFUNCTION("""COMPUTED_VALUE"""),-7.0)</f>
        <v>-7</v>
      </c>
      <c r="D98" s="104">
        <f>IFERROR(__xludf.DUMMYFUNCTION("""COMPUTED_VALUE"""),94.0)</f>
        <v>94</v>
      </c>
      <c r="E98" s="104" t="str">
        <f>IFERROR(__xludf.DUMMYFUNCTION("""COMPUTED_VALUE"""),"--")</f>
        <v>--</v>
      </c>
      <c r="F98" s="103" t="str">
        <f>IFERROR(__xludf.DUMMYFUNCTION("""COMPUTED_VALUE"""),"7.2-5.1")</f>
        <v>7.2-5.1</v>
      </c>
      <c r="G98" s="104">
        <f>IFERROR(__xludf.DUMMYFUNCTION("""COMPUTED_VALUE"""),0.0)</f>
        <v>0</v>
      </c>
      <c r="H98" s="104">
        <f>IFERROR(__xludf.DUMMYFUNCTION("""COMPUTED_VALUE"""),77.0)</f>
        <v>77</v>
      </c>
      <c r="I98" s="104">
        <f>IFERROR(__xludf.DUMMYFUNCTION("""COMPUTED_VALUE"""),0.0)</f>
        <v>0</v>
      </c>
      <c r="J98" s="104">
        <f>IFERROR(__xludf.DUMMYFUNCTION("""COMPUTED_VALUE"""),13.8)</f>
        <v>13.8</v>
      </c>
      <c r="K98" s="104">
        <f>IFERROR(__xludf.DUMMYFUNCTION("""COMPUTED_VALUE"""),1.1)</f>
        <v>1.1</v>
      </c>
      <c r="L98" s="104">
        <f>IFERROR(__xludf.DUMMYFUNCTION("""COMPUTED_VALUE"""),0.0)</f>
        <v>0</v>
      </c>
      <c r="M98" s="104">
        <f>IFERROR(__xludf.DUMMYFUNCTION("""COMPUTED_VALUE"""),0.0)</f>
        <v>0</v>
      </c>
      <c r="N98" s="103" t="str">
        <f>IFERROR(__xludf.DUMMYFUNCTION("""COMPUTED_VALUE"""),"Miami (OH) RedHawks")</f>
        <v>Miami (OH) RedHawks</v>
      </c>
      <c r="O98" s="105" t="str">
        <f>IFERROR(__xludf.DUMMYFUNCTION("""COMPUTED_VALUE"""),"MAC")</f>
        <v>MAC</v>
      </c>
      <c r="P98" s="106">
        <f>IFERROR(__xludf.DUMMYFUNCTION("if(F98="""","""",indeX(split(F98,""-""),1)-J98/100)"),7.062)</f>
        <v>7.062</v>
      </c>
      <c r="Q98" s="106"/>
    </row>
    <row r="99">
      <c r="B99" s="107" t="str">
        <f>IFERROR(__xludf.DUMMYFUNCTION("""COMPUTED_VALUE"""),"0-0")</f>
        <v>0-0</v>
      </c>
      <c r="C99" s="104">
        <f>IFERROR(__xludf.DUMMYFUNCTION("""COMPUTED_VALUE"""),-7.4)</f>
        <v>-7.4</v>
      </c>
      <c r="D99" s="104">
        <f>IFERROR(__xludf.DUMMYFUNCTION("""COMPUTED_VALUE"""),95.0)</f>
        <v>95</v>
      </c>
      <c r="E99" s="104" t="str">
        <f>IFERROR(__xludf.DUMMYFUNCTION("""COMPUTED_VALUE"""),"--")</f>
        <v>--</v>
      </c>
      <c r="F99" s="103" t="str">
        <f>IFERROR(__xludf.DUMMYFUNCTION("""COMPUTED_VALUE"""),"6.6-5.6")</f>
        <v>6.6-5.6</v>
      </c>
      <c r="G99" s="104">
        <f>IFERROR(__xludf.DUMMYFUNCTION("""COMPUTED_VALUE"""),0.0)</f>
        <v>0</v>
      </c>
      <c r="H99" s="104">
        <f>IFERROR(__xludf.DUMMYFUNCTION("""COMPUTED_VALUE"""),68.2)</f>
        <v>68.2</v>
      </c>
      <c r="I99" s="104">
        <f>IFERROR(__xludf.DUMMYFUNCTION("""COMPUTED_VALUE"""),17.1)</f>
        <v>17.1</v>
      </c>
      <c r="J99" s="104">
        <f>IFERROR(__xludf.DUMMYFUNCTION("""COMPUTED_VALUE"""),8.2)</f>
        <v>8.2</v>
      </c>
      <c r="K99" s="104">
        <f>IFERROR(__xludf.DUMMYFUNCTION("""COMPUTED_VALUE"""),1.0)</f>
        <v>1</v>
      </c>
      <c r="L99" s="104">
        <f>IFERROR(__xludf.DUMMYFUNCTION("""COMPUTED_VALUE"""),0.0)</f>
        <v>0</v>
      </c>
      <c r="M99" s="104">
        <f>IFERROR(__xludf.DUMMYFUNCTION("""COMPUTED_VALUE"""),0.0)</f>
        <v>0</v>
      </c>
      <c r="N99" s="103" t="str">
        <f>IFERROR(__xludf.DUMMYFUNCTION("""COMPUTED_VALUE"""),"Troy Trojans")</f>
        <v>Troy Trojans</v>
      </c>
      <c r="O99" s="105" t="str">
        <f>IFERROR(__xludf.DUMMYFUNCTION("""COMPUTED_VALUE"""),"Sun Belt")</f>
        <v>Sun Belt</v>
      </c>
      <c r="P99" s="106">
        <f>IFERROR(__xludf.DUMMYFUNCTION("if(F99="""","""",indeX(split(F99,""-""),1)-J99/100)"),6.518)</f>
        <v>6.518</v>
      </c>
      <c r="Q99" s="106"/>
    </row>
    <row r="100">
      <c r="B100" s="107" t="str">
        <f>IFERROR(__xludf.DUMMYFUNCTION("""COMPUTED_VALUE"""),"0-0")</f>
        <v>0-0</v>
      </c>
      <c r="C100" s="104">
        <f>IFERROR(__xludf.DUMMYFUNCTION("""COMPUTED_VALUE"""),-7.7)</f>
        <v>-7.7</v>
      </c>
      <c r="D100" s="104">
        <f>IFERROR(__xludf.DUMMYFUNCTION("""COMPUTED_VALUE"""),96.0)</f>
        <v>96</v>
      </c>
      <c r="E100" s="104" t="str">
        <f>IFERROR(__xludf.DUMMYFUNCTION("""COMPUTED_VALUE"""),"--")</f>
        <v>--</v>
      </c>
      <c r="F100" s="103" t="str">
        <f>IFERROR(__xludf.DUMMYFUNCTION("""COMPUTED_VALUE"""),"7.4-4.9")</f>
        <v>7.4-4.9</v>
      </c>
      <c r="G100" s="104">
        <f>IFERROR(__xludf.DUMMYFUNCTION("""COMPUTED_VALUE"""),0.2)</f>
        <v>0.2</v>
      </c>
      <c r="H100" s="104">
        <f>IFERROR(__xludf.DUMMYFUNCTION("""COMPUTED_VALUE"""),77.9)</f>
        <v>77.9</v>
      </c>
      <c r="I100" s="104">
        <f>IFERROR(__xludf.DUMMYFUNCTION("""COMPUTED_VALUE"""),0.0)</f>
        <v>0</v>
      </c>
      <c r="J100" s="104">
        <f>IFERROR(__xludf.DUMMYFUNCTION("""COMPUTED_VALUE"""),14.8)</f>
        <v>14.8</v>
      </c>
      <c r="K100" s="104">
        <f>IFERROR(__xludf.DUMMYFUNCTION("""COMPUTED_VALUE"""),1.3)</f>
        <v>1.3</v>
      </c>
      <c r="L100" s="104">
        <f>IFERROR(__xludf.DUMMYFUNCTION("""COMPUTED_VALUE"""),0.0)</f>
        <v>0</v>
      </c>
      <c r="M100" s="104">
        <f>IFERROR(__xludf.DUMMYFUNCTION("""COMPUTED_VALUE"""),0.0)</f>
        <v>0</v>
      </c>
      <c r="N100" s="103" t="str">
        <f>IFERROR(__xludf.DUMMYFUNCTION("""COMPUTED_VALUE"""),"Liberty Flames")</f>
        <v>Liberty Flames</v>
      </c>
      <c r="O100" s="105" t="str">
        <f>IFERROR(__xludf.DUMMYFUNCTION("""COMPUTED_VALUE"""),"CUSA")</f>
        <v>CUSA</v>
      </c>
      <c r="P100" s="106">
        <f>IFERROR(__xludf.DUMMYFUNCTION("if(F100="""","""",indeX(split(F100,""-""),1)-J100/100)"),7.252000000000001)</f>
        <v>7.252</v>
      </c>
      <c r="Q100" s="106"/>
    </row>
    <row r="101">
      <c r="B101" s="107" t="str">
        <f>IFERROR(__xludf.DUMMYFUNCTION("""COMPUTED_VALUE"""),"0-0")</f>
        <v>0-0</v>
      </c>
      <c r="C101" s="104">
        <f>IFERROR(__xludf.DUMMYFUNCTION("""COMPUTED_VALUE"""),-8.0)</f>
        <v>-8</v>
      </c>
      <c r="D101" s="104">
        <f>IFERROR(__xludf.DUMMYFUNCTION("""COMPUTED_VALUE"""),97.0)</f>
        <v>97</v>
      </c>
      <c r="E101" s="104" t="str">
        <f>IFERROR(__xludf.DUMMYFUNCTION("""COMPUTED_VALUE"""),"--")</f>
        <v>--</v>
      </c>
      <c r="F101" s="103" t="str">
        <f>IFERROR(__xludf.DUMMYFUNCTION("""COMPUTED_VALUE"""),"7.1-5.1")</f>
        <v>7.1-5.1</v>
      </c>
      <c r="G101" s="104">
        <f>IFERROR(__xludf.DUMMYFUNCTION("""COMPUTED_VALUE"""),0.0)</f>
        <v>0</v>
      </c>
      <c r="H101" s="104">
        <f>IFERROR(__xludf.DUMMYFUNCTION("""COMPUTED_VALUE"""),76.0)</f>
        <v>76</v>
      </c>
      <c r="I101" s="104">
        <f>IFERROR(__xludf.DUMMYFUNCTION("""COMPUTED_VALUE"""),0.0)</f>
        <v>0</v>
      </c>
      <c r="J101" s="104">
        <f>IFERROR(__xludf.DUMMYFUNCTION("""COMPUTED_VALUE"""),11.4)</f>
        <v>11.4</v>
      </c>
      <c r="K101" s="104">
        <f>IFERROR(__xludf.DUMMYFUNCTION("""COMPUTED_VALUE"""),1.2)</f>
        <v>1.2</v>
      </c>
      <c r="L101" s="104">
        <f>IFERROR(__xludf.DUMMYFUNCTION("""COMPUTED_VALUE"""),0.0)</f>
        <v>0</v>
      </c>
      <c r="M101" s="104">
        <f>IFERROR(__xludf.DUMMYFUNCTION("""COMPUTED_VALUE"""),0.0)</f>
        <v>0</v>
      </c>
      <c r="N101" s="103" t="str">
        <f>IFERROR(__xludf.DUMMYFUNCTION("""COMPUTED_VALUE"""),"Ohio Bobcats")</f>
        <v>Ohio Bobcats</v>
      </c>
      <c r="O101" s="105" t="str">
        <f>IFERROR(__xludf.DUMMYFUNCTION("""COMPUTED_VALUE"""),"MAC")</f>
        <v>MAC</v>
      </c>
      <c r="P101" s="106">
        <f>IFERROR(__xludf.DUMMYFUNCTION("if(F101="""","""",indeX(split(F101,""-""),1)-J101/100)"),6.986)</f>
        <v>6.986</v>
      </c>
      <c r="Q101" s="106"/>
    </row>
    <row r="102">
      <c r="B102" s="107" t="str">
        <f>IFERROR(__xludf.DUMMYFUNCTION("""COMPUTED_VALUE"""),"0-0")</f>
        <v>0-0</v>
      </c>
      <c r="C102" s="104">
        <f>IFERROR(__xludf.DUMMYFUNCTION("""COMPUTED_VALUE"""),-8.1)</f>
        <v>-8.1</v>
      </c>
      <c r="D102" s="104">
        <f>IFERROR(__xludf.DUMMYFUNCTION("""COMPUTED_VALUE"""),98.0)</f>
        <v>98</v>
      </c>
      <c r="E102" s="104" t="str">
        <f>IFERROR(__xludf.DUMMYFUNCTION("""COMPUTED_VALUE"""),"--")</f>
        <v>--</v>
      </c>
      <c r="F102" s="103" t="str">
        <f>IFERROR(__xludf.DUMMYFUNCTION("""COMPUTED_VALUE"""),"4.4-6.7")</f>
        <v>4.4-6.7</v>
      </c>
      <c r="G102" s="104">
        <f>IFERROR(__xludf.DUMMYFUNCTION("""COMPUTED_VALUE"""),0.0)</f>
        <v>0</v>
      </c>
      <c r="H102" s="104">
        <f>IFERROR(__xludf.DUMMYFUNCTION("""COMPUTED_VALUE"""),27.6)</f>
        <v>27.6</v>
      </c>
      <c r="I102" s="104">
        <f>IFERROR(__xludf.DUMMYFUNCTION("""COMPUTED_VALUE"""),0.0)</f>
        <v>0</v>
      </c>
      <c r="J102" s="104">
        <f>IFERROR(__xludf.DUMMYFUNCTION("""COMPUTED_VALUE"""),4.2)</f>
        <v>4.2</v>
      </c>
      <c r="K102" s="104">
        <f>IFERROR(__xludf.DUMMYFUNCTION("""COMPUTED_VALUE"""),0.5)</f>
        <v>0.5</v>
      </c>
      <c r="L102" s="104">
        <f>IFERROR(__xludf.DUMMYFUNCTION("""COMPUTED_VALUE"""),0.0)</f>
        <v>0</v>
      </c>
      <c r="M102" s="104">
        <f>IFERROR(__xludf.DUMMYFUNCTION("""COMPUTED_VALUE"""),0.0)</f>
        <v>0</v>
      </c>
      <c r="N102" s="103" t="str">
        <f>IFERROR(__xludf.DUMMYFUNCTION("""COMPUTED_VALUE"""),"Oregon State Beavers")</f>
        <v>Oregon State Beavers</v>
      </c>
      <c r="O102" s="105" t="str">
        <f>IFERROR(__xludf.DUMMYFUNCTION("""COMPUTED_VALUE"""),"Pac-12")</f>
        <v>Pac-12</v>
      </c>
      <c r="P102" s="106">
        <f>IFERROR(__xludf.DUMMYFUNCTION("if(F102="""","""",indeX(split(F102,""-""),1)-J102/100)"),4.3580000000000005)</f>
        <v>4.358</v>
      </c>
      <c r="Q102" s="106"/>
    </row>
    <row r="103">
      <c r="B103" s="107" t="str">
        <f>IFERROR(__xludf.DUMMYFUNCTION("""COMPUTED_VALUE"""),"0-0")</f>
        <v>0-0</v>
      </c>
      <c r="C103" s="104">
        <f>IFERROR(__xludf.DUMMYFUNCTION("""COMPUTED_VALUE"""),-8.3)</f>
        <v>-8.3</v>
      </c>
      <c r="D103" s="104">
        <f>IFERROR(__xludf.DUMMYFUNCTION("""COMPUTED_VALUE"""),99.0)</f>
        <v>99</v>
      </c>
      <c r="E103" s="104" t="str">
        <f>IFERROR(__xludf.DUMMYFUNCTION("""COMPUTED_VALUE"""),"--")</f>
        <v>--</v>
      </c>
      <c r="F103" s="103" t="str">
        <f>IFERROR(__xludf.DUMMYFUNCTION("""COMPUTED_VALUE"""),"6.9-5.3")</f>
        <v>6.9-5.3</v>
      </c>
      <c r="G103" s="104">
        <f>IFERROR(__xludf.DUMMYFUNCTION("""COMPUTED_VALUE"""),0.0)</f>
        <v>0</v>
      </c>
      <c r="H103" s="104">
        <f>IFERROR(__xludf.DUMMYFUNCTION("""COMPUTED_VALUE"""),72.7)</f>
        <v>72.7</v>
      </c>
      <c r="I103" s="104">
        <f>IFERROR(__xludf.DUMMYFUNCTION("""COMPUTED_VALUE"""),19.2)</f>
        <v>19.2</v>
      </c>
      <c r="J103" s="104">
        <f>IFERROR(__xludf.DUMMYFUNCTION("""COMPUTED_VALUE"""),8.3)</f>
        <v>8.3</v>
      </c>
      <c r="K103" s="104">
        <f>IFERROR(__xludf.DUMMYFUNCTION("""COMPUTED_VALUE"""),1.0)</f>
        <v>1</v>
      </c>
      <c r="L103" s="104">
        <f>IFERROR(__xludf.DUMMYFUNCTION("""COMPUTED_VALUE"""),0.0)</f>
        <v>0</v>
      </c>
      <c r="M103" s="104">
        <f>IFERROR(__xludf.DUMMYFUNCTION("""COMPUTED_VALUE"""),0.0)</f>
        <v>0</v>
      </c>
      <c r="N103" s="103" t="str">
        <f>IFERROR(__xludf.DUMMYFUNCTION("""COMPUTED_VALUE"""),"Louisiana Ragin' Cajuns")</f>
        <v>Louisiana Ragin' Cajuns</v>
      </c>
      <c r="O103" s="105" t="str">
        <f>IFERROR(__xludf.DUMMYFUNCTION("""COMPUTED_VALUE"""),"Sun Belt")</f>
        <v>Sun Belt</v>
      </c>
      <c r="P103" s="106">
        <f>IFERROR(__xludf.DUMMYFUNCTION("if(F103="""","""",indeX(split(F103,""-""),1)-J103/100)"),6.817)</f>
        <v>6.817</v>
      </c>
      <c r="Q103" s="106"/>
    </row>
    <row r="104">
      <c r="B104" s="107" t="str">
        <f>IFERROR(__xludf.DUMMYFUNCTION("""COMPUTED_VALUE"""),"0-0")</f>
        <v>0-0</v>
      </c>
      <c r="C104" s="104">
        <f>IFERROR(__xludf.DUMMYFUNCTION("""COMPUTED_VALUE"""),-8.3)</f>
        <v>-8.3</v>
      </c>
      <c r="D104" s="104">
        <f>IFERROR(__xludf.DUMMYFUNCTION("""COMPUTED_VALUE"""),100.0)</f>
        <v>100</v>
      </c>
      <c r="E104" s="104" t="str">
        <f>IFERROR(__xludf.DUMMYFUNCTION("""COMPUTED_VALUE"""),"--")</f>
        <v>--</v>
      </c>
      <c r="F104" s="103" t="str">
        <f>IFERROR(__xludf.DUMMYFUNCTION("""COMPUTED_VALUE"""),"6.6-5.6")</f>
        <v>6.6-5.6</v>
      </c>
      <c r="G104" s="104">
        <f>IFERROR(__xludf.DUMMYFUNCTION("""COMPUTED_VALUE"""),0.0)</f>
        <v>0</v>
      </c>
      <c r="H104" s="104">
        <f>IFERROR(__xludf.DUMMYFUNCTION("""COMPUTED_VALUE"""),68.3)</f>
        <v>68.3</v>
      </c>
      <c r="I104" s="104">
        <f>IFERROR(__xludf.DUMMYFUNCTION("""COMPUTED_VALUE"""),0.0)</f>
        <v>0</v>
      </c>
      <c r="J104" s="104">
        <f>IFERROR(__xludf.DUMMYFUNCTION("""COMPUTED_VALUE"""),6.4)</f>
        <v>6.4</v>
      </c>
      <c r="K104" s="104">
        <f>IFERROR(__xludf.DUMMYFUNCTION("""COMPUTED_VALUE"""),0.8)</f>
        <v>0.8</v>
      </c>
      <c r="L104" s="104">
        <f>IFERROR(__xludf.DUMMYFUNCTION("""COMPUTED_VALUE"""),0.0)</f>
        <v>0</v>
      </c>
      <c r="M104" s="104">
        <f>IFERROR(__xludf.DUMMYFUNCTION("""COMPUTED_VALUE"""),0.0)</f>
        <v>0</v>
      </c>
      <c r="N104" s="103" t="str">
        <f>IFERROR(__xludf.DUMMYFUNCTION("""COMPUTED_VALUE"""),"North Dakota State Bison")</f>
        <v>North Dakota State Bison</v>
      </c>
      <c r="O104" s="105" t="str">
        <f>IFERROR(__xludf.DUMMYFUNCTION("""COMPUTED_VALUE"""),"Mountain West")</f>
        <v>Mountain West</v>
      </c>
      <c r="P104" s="106">
        <f>IFERROR(__xludf.DUMMYFUNCTION("if(F104="""","""",indeX(split(F104,""-""),1)-J104/100)"),6.536)</f>
        <v>6.536</v>
      </c>
      <c r="Q104" s="106"/>
    </row>
    <row r="105">
      <c r="B105" s="107" t="str">
        <f>IFERROR(__xludf.DUMMYFUNCTION("""COMPUTED_VALUE"""),"0-0")</f>
        <v>0-0</v>
      </c>
      <c r="C105" s="104">
        <f>IFERROR(__xludf.DUMMYFUNCTION("""COMPUTED_VALUE"""),-8.5)</f>
        <v>-8.5</v>
      </c>
      <c r="D105" s="104">
        <f>IFERROR(__xludf.DUMMYFUNCTION("""COMPUTED_VALUE"""),101.0)</f>
        <v>101</v>
      </c>
      <c r="E105" s="104" t="str">
        <f>IFERROR(__xludf.DUMMYFUNCTION("""COMPUTED_VALUE"""),"--")</f>
        <v>--</v>
      </c>
      <c r="F105" s="103" t="str">
        <f>IFERROR(__xludf.DUMMYFUNCTION("""COMPUTED_VALUE"""),"7.0-5.3")</f>
        <v>7.0-5.3</v>
      </c>
      <c r="G105" s="104">
        <f>IFERROR(__xludf.DUMMYFUNCTION("""COMPUTED_VALUE"""),0.1)</f>
        <v>0.1</v>
      </c>
      <c r="H105" s="104">
        <f>IFERROR(__xludf.DUMMYFUNCTION("""COMPUTED_VALUE"""),72.5)</f>
        <v>72.5</v>
      </c>
      <c r="I105" s="104">
        <f>IFERROR(__xludf.DUMMYFUNCTION("""COMPUTED_VALUE"""),0.0)</f>
        <v>0</v>
      </c>
      <c r="J105" s="104">
        <f>IFERROR(__xludf.DUMMYFUNCTION("""COMPUTED_VALUE"""),12.5)</f>
        <v>12.5</v>
      </c>
      <c r="K105" s="104">
        <f>IFERROR(__xludf.DUMMYFUNCTION("""COMPUTED_VALUE"""),1.0)</f>
        <v>1</v>
      </c>
      <c r="L105" s="104">
        <f>IFERROR(__xludf.DUMMYFUNCTION("""COMPUTED_VALUE"""),0.0)</f>
        <v>0</v>
      </c>
      <c r="M105" s="104">
        <f>IFERROR(__xludf.DUMMYFUNCTION("""COMPUTED_VALUE"""),0.0)</f>
        <v>0</v>
      </c>
      <c r="N105" s="103" t="str">
        <f>IFERROR(__xludf.DUMMYFUNCTION("""COMPUTED_VALUE"""),"Jacksonville State Gamecocks")</f>
        <v>Jacksonville State Gamecocks</v>
      </c>
      <c r="O105" s="105" t="str">
        <f>IFERROR(__xludf.DUMMYFUNCTION("""COMPUTED_VALUE"""),"CUSA")</f>
        <v>CUSA</v>
      </c>
      <c r="P105" s="106">
        <f>IFERROR(__xludf.DUMMYFUNCTION("if(F105="""","""",indeX(split(F105,""-""),1)-J105/100)"),6.875)</f>
        <v>6.875</v>
      </c>
      <c r="Q105" s="106"/>
    </row>
    <row r="106">
      <c r="B106" s="107" t="str">
        <f>IFERROR(__xludf.DUMMYFUNCTION("""COMPUTED_VALUE"""),"0-0")</f>
        <v>0-0</v>
      </c>
      <c r="C106" s="104">
        <f>IFERROR(__xludf.DUMMYFUNCTION("""COMPUTED_VALUE"""),-8.6)</f>
        <v>-8.6</v>
      </c>
      <c r="D106" s="104">
        <f>IFERROR(__xludf.DUMMYFUNCTION("""COMPUTED_VALUE"""),102.0)</f>
        <v>102</v>
      </c>
      <c r="E106" s="104" t="str">
        <f>IFERROR(__xludf.DUMMYFUNCTION("""COMPUTED_VALUE"""),"--")</f>
        <v>--</v>
      </c>
      <c r="F106" s="103" t="str">
        <f>IFERROR(__xludf.DUMMYFUNCTION("""COMPUTED_VALUE"""),"5.5-6.5")</f>
        <v>5.5-6.5</v>
      </c>
      <c r="G106" s="104">
        <f>IFERROR(__xludf.DUMMYFUNCTION("""COMPUTED_VALUE"""),0.0)</f>
        <v>0</v>
      </c>
      <c r="H106" s="104">
        <f>IFERROR(__xludf.DUMMYFUNCTION("""COMPUTED_VALUE"""),49.2)</f>
        <v>49.2</v>
      </c>
      <c r="I106" s="104">
        <f>IFERROR(__xludf.DUMMYFUNCTION("""COMPUTED_VALUE"""),0.0)</f>
        <v>0</v>
      </c>
      <c r="J106" s="104">
        <f>IFERROR(__xludf.DUMMYFUNCTION("""COMPUTED_VALUE"""),2.1)</f>
        <v>2.1</v>
      </c>
      <c r="K106" s="104">
        <f>IFERROR(__xludf.DUMMYFUNCTION("""COMPUTED_VALUE"""),0.4)</f>
        <v>0.4</v>
      </c>
      <c r="L106" s="104">
        <f>IFERROR(__xludf.DUMMYFUNCTION("""COMPUTED_VALUE"""),0.0)</f>
        <v>0</v>
      </c>
      <c r="M106" s="104">
        <f>IFERROR(__xludf.DUMMYFUNCTION("""COMPUTED_VALUE"""),0.0)</f>
        <v>0</v>
      </c>
      <c r="N106" s="103" t="str">
        <f>IFERROR(__xludf.DUMMYFUNCTION("""COMPUTED_VALUE"""),"Temple Owls")</f>
        <v>Temple Owls</v>
      </c>
      <c r="O106" s="105" t="str">
        <f>IFERROR(__xludf.DUMMYFUNCTION("""COMPUTED_VALUE"""),"American")</f>
        <v>American</v>
      </c>
      <c r="P106" s="106">
        <f>IFERROR(__xludf.DUMMYFUNCTION("if(F106="""","""",indeX(split(F106,""-""),1)-J106/100)"),5.479)</f>
        <v>5.479</v>
      </c>
      <c r="Q106" s="106"/>
    </row>
    <row r="107">
      <c r="B107" s="107" t="str">
        <f>IFERROR(__xludf.DUMMYFUNCTION("""COMPUTED_VALUE"""),"0-0")</f>
        <v>0-0</v>
      </c>
      <c r="C107" s="104">
        <f>IFERROR(__xludf.DUMMYFUNCTION("""COMPUTED_VALUE"""),-8.7)</f>
        <v>-8.7</v>
      </c>
      <c r="D107" s="104">
        <f>IFERROR(__xludf.DUMMYFUNCTION("""COMPUTED_VALUE"""),103.0)</f>
        <v>103</v>
      </c>
      <c r="E107" s="104" t="str">
        <f>IFERROR(__xludf.DUMMYFUNCTION("""COMPUTED_VALUE"""),"--")</f>
        <v>--</v>
      </c>
      <c r="F107" s="103" t="str">
        <f>IFERROR(__xludf.DUMMYFUNCTION("""COMPUTED_VALUE"""),"5.7-6.4")</f>
        <v>5.7-6.4</v>
      </c>
      <c r="G107" s="104">
        <f>IFERROR(__xludf.DUMMYFUNCTION("""COMPUTED_VALUE"""),0.0)</f>
        <v>0</v>
      </c>
      <c r="H107" s="104">
        <f>IFERROR(__xludf.DUMMYFUNCTION("""COMPUTED_VALUE"""),52.8)</f>
        <v>52.8</v>
      </c>
      <c r="I107" s="104">
        <f>IFERROR(__xludf.DUMMYFUNCTION("""COMPUTED_VALUE"""),12.1)</f>
        <v>12.1</v>
      </c>
      <c r="J107" s="104">
        <f>IFERROR(__xludf.DUMMYFUNCTION("""COMPUTED_VALUE"""),6.0)</f>
        <v>6</v>
      </c>
      <c r="K107" s="104">
        <f>IFERROR(__xludf.DUMMYFUNCTION("""COMPUTED_VALUE"""),0.5)</f>
        <v>0.5</v>
      </c>
      <c r="L107" s="104">
        <f>IFERROR(__xludf.DUMMYFUNCTION("""COMPUTED_VALUE"""),0.0)</f>
        <v>0</v>
      </c>
      <c r="M107" s="104">
        <f>IFERROR(__xludf.DUMMYFUNCTION("""COMPUTED_VALUE"""),0.0)</f>
        <v>0</v>
      </c>
      <c r="N107" s="103" t="str">
        <f>IFERROR(__xludf.DUMMYFUNCTION("""COMPUTED_VALUE"""),"Georgia Southern Eagles")</f>
        <v>Georgia Southern Eagles</v>
      </c>
      <c r="O107" s="105" t="str">
        <f>IFERROR(__xludf.DUMMYFUNCTION("""COMPUTED_VALUE"""),"Sun Belt")</f>
        <v>Sun Belt</v>
      </c>
      <c r="P107" s="106">
        <f>IFERROR(__xludf.DUMMYFUNCTION("if(F107="""","""",indeX(split(F107,""-""),1)-J107/100)"),5.640000000000001)</f>
        <v>5.64</v>
      </c>
      <c r="Q107" s="106"/>
    </row>
    <row r="108">
      <c r="B108" s="107" t="str">
        <f>IFERROR(__xludf.DUMMYFUNCTION("""COMPUTED_VALUE"""),"0-0")</f>
        <v>0-0</v>
      </c>
      <c r="C108" s="104">
        <f>IFERROR(__xludf.DUMMYFUNCTION("""COMPUTED_VALUE"""),-8.8)</f>
        <v>-8.8</v>
      </c>
      <c r="D108" s="104">
        <f>IFERROR(__xludf.DUMMYFUNCTION("""COMPUTED_VALUE"""),104.0)</f>
        <v>104</v>
      </c>
      <c r="E108" s="104" t="str">
        <f>IFERROR(__xludf.DUMMYFUNCTION("""COMPUTED_VALUE"""),"--")</f>
        <v>--</v>
      </c>
      <c r="F108" s="103" t="str">
        <f>IFERROR(__xludf.DUMMYFUNCTION("""COMPUTED_VALUE"""),"6.5-5.6")</f>
        <v>6.5-5.6</v>
      </c>
      <c r="G108" s="104">
        <f>IFERROR(__xludf.DUMMYFUNCTION("""COMPUTED_VALUE"""),0.0)</f>
        <v>0</v>
      </c>
      <c r="H108" s="104">
        <f>IFERROR(__xludf.DUMMYFUNCTION("""COMPUTED_VALUE"""),67.4)</f>
        <v>67.4</v>
      </c>
      <c r="I108" s="104">
        <f>IFERROR(__xludf.DUMMYFUNCTION("""COMPUTED_VALUE"""),12.4)</f>
        <v>12.4</v>
      </c>
      <c r="J108" s="104">
        <f>IFERROR(__xludf.DUMMYFUNCTION("""COMPUTED_VALUE"""),6.1)</f>
        <v>6.1</v>
      </c>
      <c r="K108" s="104">
        <f>IFERROR(__xludf.DUMMYFUNCTION("""COMPUTED_VALUE"""),0.7)</f>
        <v>0.7</v>
      </c>
      <c r="L108" s="104">
        <f>IFERROR(__xludf.DUMMYFUNCTION("""COMPUTED_VALUE"""),0.0)</f>
        <v>0</v>
      </c>
      <c r="M108" s="104">
        <f>IFERROR(__xludf.DUMMYFUNCTION("""COMPUTED_VALUE"""),0.0)</f>
        <v>0</v>
      </c>
      <c r="N108" s="103" t="str">
        <f>IFERROR(__xludf.DUMMYFUNCTION("""COMPUTED_VALUE"""),"Marshall Thundering Herd")</f>
        <v>Marshall Thundering Herd</v>
      </c>
      <c r="O108" s="105" t="str">
        <f>IFERROR(__xludf.DUMMYFUNCTION("""COMPUTED_VALUE"""),"Sun Belt")</f>
        <v>Sun Belt</v>
      </c>
      <c r="P108" s="106">
        <f>IFERROR(__xludf.DUMMYFUNCTION("if(F108="""","""",indeX(split(F108,""-""),1)-J108/100)"),6.439)</f>
        <v>6.439</v>
      </c>
      <c r="Q108" s="106"/>
    </row>
    <row r="109">
      <c r="B109" s="107" t="str">
        <f>IFERROR(__xludf.DUMMYFUNCTION("""COMPUTED_VALUE"""),"0-0")</f>
        <v>0-0</v>
      </c>
      <c r="C109" s="104">
        <f>IFERROR(__xludf.DUMMYFUNCTION("""COMPUTED_VALUE"""),-9.0)</f>
        <v>-9</v>
      </c>
      <c r="D109" s="104">
        <f>IFERROR(__xludf.DUMMYFUNCTION("""COMPUTED_VALUE"""),105.0)</f>
        <v>105</v>
      </c>
      <c r="E109" s="104" t="str">
        <f>IFERROR(__xludf.DUMMYFUNCTION("""COMPUTED_VALUE"""),"--")</f>
        <v>--</v>
      </c>
      <c r="F109" s="103" t="str">
        <f>IFERROR(__xludf.DUMMYFUNCTION("""COMPUTED_VALUE"""),"5.7-6.3")</f>
        <v>5.7-6.3</v>
      </c>
      <c r="G109" s="104">
        <f>IFERROR(__xludf.DUMMYFUNCTION("""COMPUTED_VALUE"""),0.0)</f>
        <v>0</v>
      </c>
      <c r="H109" s="104">
        <f>IFERROR(__xludf.DUMMYFUNCTION("""COMPUTED_VALUE"""),53.0)</f>
        <v>53</v>
      </c>
      <c r="I109" s="104">
        <f>IFERROR(__xludf.DUMMYFUNCTION("""COMPUTED_VALUE"""),0.0)</f>
        <v>0</v>
      </c>
      <c r="J109" s="104">
        <f>IFERROR(__xludf.DUMMYFUNCTION("""COMPUTED_VALUE"""),2.2)</f>
        <v>2.2</v>
      </c>
      <c r="K109" s="104">
        <f>IFERROR(__xludf.DUMMYFUNCTION("""COMPUTED_VALUE"""),0.4)</f>
        <v>0.4</v>
      </c>
      <c r="L109" s="104">
        <f>IFERROR(__xludf.DUMMYFUNCTION("""COMPUTED_VALUE"""),0.0)</f>
        <v>0</v>
      </c>
      <c r="M109" s="104">
        <f>IFERROR(__xludf.DUMMYFUNCTION("""COMPUTED_VALUE"""),0.0)</f>
        <v>0</v>
      </c>
      <c r="N109" s="103" t="str">
        <f>IFERROR(__xludf.DUMMYFUNCTION("""COMPUTED_VALUE"""),"Tulsa Golden Hurricane")</f>
        <v>Tulsa Golden Hurricane</v>
      </c>
      <c r="O109" s="105" t="str">
        <f>IFERROR(__xludf.DUMMYFUNCTION("""COMPUTED_VALUE"""),"American")</f>
        <v>American</v>
      </c>
      <c r="P109" s="106">
        <f>IFERROR(__xludf.DUMMYFUNCTION("if(F109="""","""",indeX(split(F109,""-""),1)-J109/100)"),5.678)</f>
        <v>5.678</v>
      </c>
      <c r="Q109" s="106"/>
    </row>
    <row r="110">
      <c r="B110" s="107" t="str">
        <f>IFERROR(__xludf.DUMMYFUNCTION("""COMPUTED_VALUE"""),"0-0")</f>
        <v>0-0</v>
      </c>
      <c r="C110" s="104">
        <f>IFERROR(__xludf.DUMMYFUNCTION("""COMPUTED_VALUE"""),-9.0)</f>
        <v>-9</v>
      </c>
      <c r="D110" s="104">
        <f>IFERROR(__xludf.DUMMYFUNCTION("""COMPUTED_VALUE"""),106.0)</f>
        <v>106</v>
      </c>
      <c r="E110" s="104" t="str">
        <f>IFERROR(__xludf.DUMMYFUNCTION("""COMPUTED_VALUE"""),"--")</f>
        <v>--</v>
      </c>
      <c r="F110" s="103" t="str">
        <f>IFERROR(__xludf.DUMMYFUNCTION("""COMPUTED_VALUE"""),"6.5-5.8")</f>
        <v>6.5-5.8</v>
      </c>
      <c r="G110" s="104">
        <f>IFERROR(__xludf.DUMMYFUNCTION("""COMPUTED_VALUE"""),0.0)</f>
        <v>0</v>
      </c>
      <c r="H110" s="104">
        <f>IFERROR(__xludf.DUMMYFUNCTION("""COMPUTED_VALUE"""),65.4)</f>
        <v>65.4</v>
      </c>
      <c r="I110" s="104">
        <f>IFERROR(__xludf.DUMMYFUNCTION("""COMPUTED_VALUE"""),0.0)</f>
        <v>0</v>
      </c>
      <c r="J110" s="104">
        <f>IFERROR(__xludf.DUMMYFUNCTION("""COMPUTED_VALUE"""),11.3)</f>
        <v>11.3</v>
      </c>
      <c r="K110" s="104">
        <f>IFERROR(__xludf.DUMMYFUNCTION("""COMPUTED_VALUE"""),0.7)</f>
        <v>0.7</v>
      </c>
      <c r="L110" s="104">
        <f>IFERROR(__xludf.DUMMYFUNCTION("""COMPUTED_VALUE"""),0.0)</f>
        <v>0</v>
      </c>
      <c r="M110" s="104">
        <f>IFERROR(__xludf.DUMMYFUNCTION("""COMPUTED_VALUE"""),0.0)</f>
        <v>0</v>
      </c>
      <c r="N110" s="103" t="str">
        <f>IFERROR(__xludf.DUMMYFUNCTION("""COMPUTED_VALUE"""),"Kennesaw State Owls")</f>
        <v>Kennesaw State Owls</v>
      </c>
      <c r="O110" s="105" t="str">
        <f>IFERROR(__xludf.DUMMYFUNCTION("""COMPUTED_VALUE"""),"CUSA")</f>
        <v>CUSA</v>
      </c>
      <c r="P110" s="106">
        <f>IFERROR(__xludf.DUMMYFUNCTION("if(F110="""","""",indeX(split(F110,""-""),1)-J110/100)"),6.387)</f>
        <v>6.387</v>
      </c>
      <c r="Q110" s="106"/>
    </row>
    <row r="111">
      <c r="B111" s="107" t="str">
        <f>IFERROR(__xludf.DUMMYFUNCTION("""COMPUTED_VALUE"""),"0-0")</f>
        <v>0-0</v>
      </c>
      <c r="C111" s="104">
        <f>IFERROR(__xludf.DUMMYFUNCTION("""COMPUTED_VALUE"""),-9.2)</f>
        <v>-9.2</v>
      </c>
      <c r="D111" s="104">
        <f>IFERROR(__xludf.DUMMYFUNCTION("""COMPUTED_VALUE"""),107.0)</f>
        <v>107</v>
      </c>
      <c r="E111" s="103" t="str">
        <f>IFERROR(__xludf.DUMMYFUNCTION("""COMPUTED_VALUE"""),"--")</f>
        <v>--</v>
      </c>
      <c r="F111" s="103" t="str">
        <f>IFERROR(__xludf.DUMMYFUNCTION("""COMPUTED_VALUE"""),"6.2-5.9")</f>
        <v>6.2-5.9</v>
      </c>
      <c r="G111" s="104">
        <f>IFERROR(__xludf.DUMMYFUNCTION("""COMPUTED_VALUE"""),0.0)</f>
        <v>0</v>
      </c>
      <c r="H111" s="104">
        <f>IFERROR(__xludf.DUMMYFUNCTION("""COMPUTED_VALUE"""),61.8)</f>
        <v>61.8</v>
      </c>
      <c r="I111" s="104">
        <f>IFERROR(__xludf.DUMMYFUNCTION("""COMPUTED_VALUE"""),15.3)</f>
        <v>15.3</v>
      </c>
      <c r="J111" s="104">
        <f>IFERROR(__xludf.DUMMYFUNCTION("""COMPUTED_VALUE"""),6.1)</f>
        <v>6.1</v>
      </c>
      <c r="K111" s="104">
        <f>IFERROR(__xludf.DUMMYFUNCTION("""COMPUTED_VALUE"""),0.6)</f>
        <v>0.6</v>
      </c>
      <c r="L111" s="104">
        <f>IFERROR(__xludf.DUMMYFUNCTION("""COMPUTED_VALUE"""),0.0)</f>
        <v>0</v>
      </c>
      <c r="M111" s="104">
        <f>IFERROR(__xludf.DUMMYFUNCTION("""COMPUTED_VALUE"""),0.0)</f>
        <v>0</v>
      </c>
      <c r="N111" s="103" t="str">
        <f>IFERROR(__xludf.DUMMYFUNCTION("""COMPUTED_VALUE"""),"Arkansas State Red Wolves")</f>
        <v>Arkansas State Red Wolves</v>
      </c>
      <c r="O111" s="105" t="str">
        <f>IFERROR(__xludf.DUMMYFUNCTION("""COMPUTED_VALUE"""),"Sun Belt")</f>
        <v>Sun Belt</v>
      </c>
      <c r="P111" s="106">
        <f>IFERROR(__xludf.DUMMYFUNCTION("if(F111="""","""",indeX(split(F111,""-""),1)-J111/100)"),6.139)</f>
        <v>6.139</v>
      </c>
      <c r="Q111" s="106"/>
    </row>
    <row r="112">
      <c r="B112" s="107" t="str">
        <f>IFERROR(__xludf.DUMMYFUNCTION("""COMPUTED_VALUE"""),"0-0")</f>
        <v>0-0</v>
      </c>
      <c r="C112" s="104">
        <f>IFERROR(__xludf.DUMMYFUNCTION("""COMPUTED_VALUE"""),-9.6)</f>
        <v>-9.6</v>
      </c>
      <c r="D112" s="104">
        <f>IFERROR(__xludf.DUMMYFUNCTION("""COMPUTED_VALUE"""),108.0)</f>
        <v>108</v>
      </c>
      <c r="E112" s="104" t="str">
        <f>IFERROR(__xludf.DUMMYFUNCTION("""COMPUTED_VALUE"""),"--")</f>
        <v>--</v>
      </c>
      <c r="F112" s="103" t="str">
        <f>IFERROR(__xludf.DUMMYFUNCTION("""COMPUTED_VALUE"""),"5.6-6.6")</f>
        <v>5.6-6.6</v>
      </c>
      <c r="G112" s="104">
        <f>IFERROR(__xludf.DUMMYFUNCTION("""COMPUTED_VALUE"""),0.0)</f>
        <v>0</v>
      </c>
      <c r="H112" s="104">
        <f>IFERROR(__xludf.DUMMYFUNCTION("""COMPUTED_VALUE"""),49.5)</f>
        <v>49.5</v>
      </c>
      <c r="I112" s="104">
        <f>IFERROR(__xludf.DUMMYFUNCTION("""COMPUTED_VALUE"""),12.1)</f>
        <v>12.1</v>
      </c>
      <c r="J112" s="104">
        <f>IFERROR(__xludf.DUMMYFUNCTION("""COMPUTED_VALUE"""),5.3)</f>
        <v>5.3</v>
      </c>
      <c r="K112" s="104">
        <f>IFERROR(__xludf.DUMMYFUNCTION("""COMPUTED_VALUE"""),0.4)</f>
        <v>0.4</v>
      </c>
      <c r="L112" s="104">
        <f>IFERROR(__xludf.DUMMYFUNCTION("""COMPUTED_VALUE"""),0.0)</f>
        <v>0</v>
      </c>
      <c r="M112" s="104">
        <f>IFERROR(__xludf.DUMMYFUNCTION("""COMPUTED_VALUE"""),0.0)</f>
        <v>0</v>
      </c>
      <c r="N112" s="103" t="str">
        <f>IFERROR(__xludf.DUMMYFUNCTION("""COMPUTED_VALUE"""),"Louisiana Tech Bulldogs")</f>
        <v>Louisiana Tech Bulldogs</v>
      </c>
      <c r="O112" s="105" t="str">
        <f>IFERROR(__xludf.DUMMYFUNCTION("""COMPUTED_VALUE"""),"Sun Belt")</f>
        <v>Sun Belt</v>
      </c>
      <c r="P112" s="106">
        <f>IFERROR(__xludf.DUMMYFUNCTION("if(F112="""","""",indeX(split(F112,""-""),1)-J112/100)"),5.547)</f>
        <v>5.547</v>
      </c>
      <c r="Q112" s="106"/>
    </row>
    <row r="113">
      <c r="B113" s="107" t="str">
        <f>IFERROR(__xludf.DUMMYFUNCTION("""COMPUTED_VALUE"""),"0-0")</f>
        <v>0-0</v>
      </c>
      <c r="C113" s="104">
        <f>IFERROR(__xludf.DUMMYFUNCTION("""COMPUTED_VALUE"""),-9.8)</f>
        <v>-9.8</v>
      </c>
      <c r="D113" s="104">
        <f>IFERROR(__xludf.DUMMYFUNCTION("""COMPUTED_VALUE"""),109.0)</f>
        <v>109</v>
      </c>
      <c r="E113" s="104" t="str">
        <f>IFERROR(__xludf.DUMMYFUNCTION("""COMPUTED_VALUE"""),"--")</f>
        <v>--</v>
      </c>
      <c r="F113" s="103" t="str">
        <f>IFERROR(__xludf.DUMMYFUNCTION("""COMPUTED_VALUE"""),"6.1-6.0")</f>
        <v>6.1-6.0</v>
      </c>
      <c r="G113" s="104">
        <f>IFERROR(__xludf.DUMMYFUNCTION("""COMPUTED_VALUE"""),0.0)</f>
        <v>0</v>
      </c>
      <c r="H113" s="104">
        <f>IFERROR(__xludf.DUMMYFUNCTION("""COMPUTED_VALUE"""),59.0)</f>
        <v>59</v>
      </c>
      <c r="I113" s="104">
        <f>IFERROR(__xludf.DUMMYFUNCTION("""COMPUTED_VALUE"""),11.1)</f>
        <v>11.1</v>
      </c>
      <c r="J113" s="104">
        <f>IFERROR(__xludf.DUMMYFUNCTION("""COMPUTED_VALUE"""),5.1)</f>
        <v>5.1</v>
      </c>
      <c r="K113" s="104">
        <f>IFERROR(__xludf.DUMMYFUNCTION("""COMPUTED_VALUE"""),0.4)</f>
        <v>0.4</v>
      </c>
      <c r="L113" s="104">
        <f>IFERROR(__xludf.DUMMYFUNCTION("""COMPUTED_VALUE"""),0.0)</f>
        <v>0</v>
      </c>
      <c r="M113" s="104">
        <f>IFERROR(__xludf.DUMMYFUNCTION("""COMPUTED_VALUE"""),0.0)</f>
        <v>0</v>
      </c>
      <c r="N113" s="103" t="str">
        <f>IFERROR(__xludf.DUMMYFUNCTION("""COMPUTED_VALUE"""),"App State Mountaineers")</f>
        <v>App State Mountaineers</v>
      </c>
      <c r="O113" s="105" t="str">
        <f>IFERROR(__xludf.DUMMYFUNCTION("""COMPUTED_VALUE"""),"Sun Belt")</f>
        <v>Sun Belt</v>
      </c>
      <c r="P113" s="106">
        <f>IFERROR(__xludf.DUMMYFUNCTION("if(F113="""","""",indeX(split(F113,""-""),1)-J113/100)"),6.0489999999999995)</f>
        <v>6.049</v>
      </c>
      <c r="Q113" s="106"/>
    </row>
    <row r="114">
      <c r="B114" s="107" t="str">
        <f>IFERROR(__xludf.DUMMYFUNCTION("""COMPUTED_VALUE"""),"0-0")</f>
        <v>0-0</v>
      </c>
      <c r="C114" s="104">
        <f>IFERROR(__xludf.DUMMYFUNCTION("""COMPUTED_VALUE"""),-10.3)</f>
        <v>-10.3</v>
      </c>
      <c r="D114" s="104">
        <f>IFERROR(__xludf.DUMMYFUNCTION("""COMPUTED_VALUE"""),110.0)</f>
        <v>110</v>
      </c>
      <c r="E114" s="104" t="str">
        <f>IFERROR(__xludf.DUMMYFUNCTION("""COMPUTED_VALUE"""),"--")</f>
        <v>--</v>
      </c>
      <c r="F114" s="103" t="str">
        <f>IFERROR(__xludf.DUMMYFUNCTION("""COMPUTED_VALUE"""),"5.7-6.5")</f>
        <v>5.7-6.5</v>
      </c>
      <c r="G114" s="104">
        <f>IFERROR(__xludf.DUMMYFUNCTION("""COMPUTED_VALUE"""),0.0)</f>
        <v>0</v>
      </c>
      <c r="H114" s="104">
        <f>IFERROR(__xludf.DUMMYFUNCTION("""COMPUTED_VALUE"""),51.0)</f>
        <v>51</v>
      </c>
      <c r="I114" s="104">
        <f>IFERROR(__xludf.DUMMYFUNCTION("""COMPUTED_VALUE"""),0.0)</f>
        <v>0</v>
      </c>
      <c r="J114" s="104">
        <f>IFERROR(__xludf.DUMMYFUNCTION("""COMPUTED_VALUE"""),8.3)</f>
        <v>8.3</v>
      </c>
      <c r="K114" s="104">
        <f>IFERROR(__xludf.DUMMYFUNCTION("""COMPUTED_VALUE"""),0.4)</f>
        <v>0.4</v>
      </c>
      <c r="L114" s="104">
        <f>IFERROR(__xludf.DUMMYFUNCTION("""COMPUTED_VALUE"""),0.0)</f>
        <v>0</v>
      </c>
      <c r="M114" s="104">
        <f>IFERROR(__xludf.DUMMYFUNCTION("""COMPUTED_VALUE"""),0.0)</f>
        <v>0</v>
      </c>
      <c r="N114" s="103" t="str">
        <f>IFERROR(__xludf.DUMMYFUNCTION("""COMPUTED_VALUE"""),"Missouri State Bears")</f>
        <v>Missouri State Bears</v>
      </c>
      <c r="O114" s="105" t="str">
        <f>IFERROR(__xludf.DUMMYFUNCTION("""COMPUTED_VALUE"""),"CUSA")</f>
        <v>CUSA</v>
      </c>
      <c r="P114" s="106">
        <f>IFERROR(__xludf.DUMMYFUNCTION("if(F114="""","""",indeX(split(F114,""-""),1)-J114/100)"),5.617)</f>
        <v>5.617</v>
      </c>
      <c r="Q114" s="106"/>
    </row>
    <row r="115">
      <c r="B115" s="107" t="str">
        <f>IFERROR(__xludf.DUMMYFUNCTION("""COMPUTED_VALUE"""),"0-0")</f>
        <v>0-0</v>
      </c>
      <c r="C115" s="104">
        <f>IFERROR(__xludf.DUMMYFUNCTION("""COMPUTED_VALUE"""),-10.4)</f>
        <v>-10.4</v>
      </c>
      <c r="D115" s="104">
        <f>IFERROR(__xludf.DUMMYFUNCTION("""COMPUTED_VALUE"""),111.0)</f>
        <v>111</v>
      </c>
      <c r="E115" s="104" t="str">
        <f>IFERROR(__xludf.DUMMYFUNCTION("""COMPUTED_VALUE"""),"--")</f>
        <v>--</v>
      </c>
      <c r="F115" s="103" t="str">
        <f>IFERROR(__xludf.DUMMYFUNCTION("""COMPUTED_VALUE"""),"6.7-5.5")</f>
        <v>6.7-5.5</v>
      </c>
      <c r="G115" s="104">
        <f>IFERROR(__xludf.DUMMYFUNCTION("""COMPUTED_VALUE"""),0.0)</f>
        <v>0</v>
      </c>
      <c r="H115" s="104">
        <f>IFERROR(__xludf.DUMMYFUNCTION("""COMPUTED_VALUE"""),69.2)</f>
        <v>69.2</v>
      </c>
      <c r="I115" s="104">
        <f>IFERROR(__xludf.DUMMYFUNCTION("""COMPUTED_VALUE"""),0.0)</f>
        <v>0</v>
      </c>
      <c r="J115" s="104">
        <f>IFERROR(__xludf.DUMMYFUNCTION("""COMPUTED_VALUE"""),7.5)</f>
        <v>7.5</v>
      </c>
      <c r="K115" s="104">
        <f>IFERROR(__xludf.DUMMYFUNCTION("""COMPUTED_VALUE"""),0.6)</f>
        <v>0.6</v>
      </c>
      <c r="L115" s="104">
        <f>IFERROR(__xludf.DUMMYFUNCTION("""COMPUTED_VALUE"""),0.0)</f>
        <v>0</v>
      </c>
      <c r="M115" s="104">
        <f>IFERROR(__xludf.DUMMYFUNCTION("""COMPUTED_VALUE"""),0.0)</f>
        <v>0</v>
      </c>
      <c r="N115" s="103" t="str">
        <f>IFERROR(__xludf.DUMMYFUNCTION("""COMPUTED_VALUE"""),"Sacramento State Hornets")</f>
        <v>Sacramento State Hornets</v>
      </c>
      <c r="O115" s="105" t="str">
        <f>IFERROR(__xludf.DUMMYFUNCTION("""COMPUTED_VALUE"""),"MAC")</f>
        <v>MAC</v>
      </c>
      <c r="P115" s="106">
        <f>IFERROR(__xludf.DUMMYFUNCTION("if(F115="""","""",indeX(split(F115,""-""),1)-J115/100)"),6.625)</f>
        <v>6.625</v>
      </c>
      <c r="Q115" s="106"/>
    </row>
    <row r="116">
      <c r="B116" s="147" t="str">
        <f>IFERROR(__xludf.DUMMYFUNCTION("""COMPUTED_VALUE"""),"0-0")</f>
        <v>0-0</v>
      </c>
      <c r="C116" s="104">
        <f>IFERROR(__xludf.DUMMYFUNCTION("""COMPUTED_VALUE"""),-10.5)</f>
        <v>-10.5</v>
      </c>
      <c r="D116" s="104">
        <f>IFERROR(__xludf.DUMMYFUNCTION("""COMPUTED_VALUE"""),112.0)</f>
        <v>112</v>
      </c>
      <c r="E116" s="104" t="str">
        <f>IFERROR(__xludf.DUMMYFUNCTION("""COMPUTED_VALUE"""),"--")</f>
        <v>--</v>
      </c>
      <c r="F116" s="103" t="str">
        <f>IFERROR(__xludf.DUMMYFUNCTION("""COMPUTED_VALUE"""),"5.4-6.7")</f>
        <v>5.4-6.7</v>
      </c>
      <c r="G116" s="104">
        <f>IFERROR(__xludf.DUMMYFUNCTION("""COMPUTED_VALUE"""),0.0)</f>
        <v>0</v>
      </c>
      <c r="H116" s="104">
        <f>IFERROR(__xludf.DUMMYFUNCTION("""COMPUTED_VALUE"""),47.3)</f>
        <v>47.3</v>
      </c>
      <c r="I116" s="104">
        <f>IFERROR(__xludf.DUMMYFUNCTION("""COMPUTED_VALUE"""),10.3)</f>
        <v>10.3</v>
      </c>
      <c r="J116" s="104">
        <f>IFERROR(__xludf.DUMMYFUNCTION("""COMPUTED_VALUE"""),4.5)</f>
        <v>4.5</v>
      </c>
      <c r="K116" s="104">
        <f>IFERROR(__xludf.DUMMYFUNCTION("""COMPUTED_VALUE"""),0.3)</f>
        <v>0.3</v>
      </c>
      <c r="L116" s="104">
        <f>IFERROR(__xludf.DUMMYFUNCTION("""COMPUTED_VALUE"""),0.0)</f>
        <v>0</v>
      </c>
      <c r="M116" s="104">
        <f>IFERROR(__xludf.DUMMYFUNCTION("""COMPUTED_VALUE"""),0.0)</f>
        <v>0</v>
      </c>
      <c r="N116" s="103" t="str">
        <f>IFERROR(__xludf.DUMMYFUNCTION("""COMPUTED_VALUE"""),"South Alabama Jaguars")</f>
        <v>South Alabama Jaguars</v>
      </c>
      <c r="O116" s="105" t="str">
        <f>IFERROR(__xludf.DUMMYFUNCTION("""COMPUTED_VALUE"""),"Sun Belt")</f>
        <v>Sun Belt</v>
      </c>
      <c r="P116" s="106">
        <f>IFERROR(__xludf.DUMMYFUNCTION("if(F116="""","""",indeX(split(F116,""-""),1)-J116/100)"),5.355)</f>
        <v>5.355</v>
      </c>
      <c r="Q116" s="106"/>
    </row>
    <row r="117">
      <c r="B117" s="107" t="str">
        <f>IFERROR(__xludf.DUMMYFUNCTION("""COMPUTED_VALUE"""),"0-0")</f>
        <v>0-0</v>
      </c>
      <c r="C117" s="104">
        <f>IFERROR(__xludf.DUMMYFUNCTION("""COMPUTED_VALUE"""),-10.8)</f>
        <v>-10.8</v>
      </c>
      <c r="D117" s="104">
        <f>IFERROR(__xludf.DUMMYFUNCTION("""COMPUTED_VALUE"""),113.0)</f>
        <v>113</v>
      </c>
      <c r="E117" s="104" t="str">
        <f>IFERROR(__xludf.DUMMYFUNCTION("""COMPUTED_VALUE"""),"--")</f>
        <v>--</v>
      </c>
      <c r="F117" s="103" t="str">
        <f>IFERROR(__xludf.DUMMYFUNCTION("""COMPUTED_VALUE"""),"6.6-5.5")</f>
        <v>6.6-5.5</v>
      </c>
      <c r="G117" s="104">
        <f>IFERROR(__xludf.DUMMYFUNCTION("""COMPUTED_VALUE"""),0.0)</f>
        <v>0</v>
      </c>
      <c r="H117" s="104">
        <f>IFERROR(__xludf.DUMMYFUNCTION("""COMPUTED_VALUE"""),70.4)</f>
        <v>70.4</v>
      </c>
      <c r="I117" s="104">
        <f>IFERROR(__xludf.DUMMYFUNCTION("""COMPUTED_VALUE"""),0.0)</f>
        <v>0</v>
      </c>
      <c r="J117" s="104">
        <f>IFERROR(__xludf.DUMMYFUNCTION("""COMPUTED_VALUE"""),5.9)</f>
        <v>5.9</v>
      </c>
      <c r="K117" s="104">
        <f>IFERROR(__xludf.DUMMYFUNCTION("""COMPUTED_VALUE"""),0.6)</f>
        <v>0.6</v>
      </c>
      <c r="L117" s="104">
        <f>IFERROR(__xludf.DUMMYFUNCTION("""COMPUTED_VALUE"""),0.0)</f>
        <v>0</v>
      </c>
      <c r="M117" s="104">
        <f>IFERROR(__xludf.DUMMYFUNCTION("""COMPUTED_VALUE"""),0.0)</f>
        <v>0</v>
      </c>
      <c r="N117" s="103" t="str">
        <f>IFERROR(__xludf.DUMMYFUNCTION("""COMPUTED_VALUE"""),"Buffalo Bulls")</f>
        <v>Buffalo Bulls</v>
      </c>
      <c r="O117" s="105" t="str">
        <f>IFERROR(__xludf.DUMMYFUNCTION("""COMPUTED_VALUE"""),"MAC")</f>
        <v>MAC</v>
      </c>
      <c r="P117" s="106">
        <f>IFERROR(__xludf.DUMMYFUNCTION("if(F117="""","""",indeX(split(F117,""-""),1)-J117/100)"),6.5409999999999995)</f>
        <v>6.541</v>
      </c>
      <c r="Q117" s="106"/>
    </row>
    <row r="118">
      <c r="B118" s="107" t="str">
        <f>IFERROR(__xludf.DUMMYFUNCTION("""COMPUTED_VALUE"""),"0-0")</f>
        <v>0-0</v>
      </c>
      <c r="C118" s="104">
        <f>IFERROR(__xludf.DUMMYFUNCTION("""COMPUTED_VALUE"""),-11.2)</f>
        <v>-11.2</v>
      </c>
      <c r="D118" s="104">
        <f>IFERROR(__xludf.DUMMYFUNCTION("""COMPUTED_VALUE"""),114.0)</f>
        <v>114</v>
      </c>
      <c r="E118" s="104" t="str">
        <f>IFERROR(__xludf.DUMMYFUNCTION("""COMPUTED_VALUE"""),"--")</f>
        <v>--</v>
      </c>
      <c r="F118" s="103" t="str">
        <f>IFERROR(__xludf.DUMMYFUNCTION("""COMPUTED_VALUE"""),"4.8-7.2")</f>
        <v>4.8-7.2</v>
      </c>
      <c r="G118" s="104">
        <f>IFERROR(__xludf.DUMMYFUNCTION("""COMPUTED_VALUE"""),0.0)</f>
        <v>0</v>
      </c>
      <c r="H118" s="104">
        <f>IFERROR(__xludf.DUMMYFUNCTION("""COMPUTED_VALUE"""),35.1)</f>
        <v>35.1</v>
      </c>
      <c r="I118" s="104">
        <f>IFERROR(__xludf.DUMMYFUNCTION("""COMPUTED_VALUE"""),0.0)</f>
        <v>0</v>
      </c>
      <c r="J118" s="104">
        <f>IFERROR(__xludf.DUMMYFUNCTION("""COMPUTED_VALUE"""),0.0)</f>
        <v>0</v>
      </c>
      <c r="K118" s="104">
        <f>IFERROR(__xludf.DUMMYFUNCTION("""COMPUTED_VALUE"""),0.1)</f>
        <v>0.1</v>
      </c>
      <c r="L118" s="104">
        <f>IFERROR(__xludf.DUMMYFUNCTION("""COMPUTED_VALUE"""),0.0)</f>
        <v>0</v>
      </c>
      <c r="M118" s="104">
        <f>IFERROR(__xludf.DUMMYFUNCTION("""COMPUTED_VALUE"""),0.0)</f>
        <v>0</v>
      </c>
      <c r="N118" s="103" t="str">
        <f>IFERROR(__xludf.DUMMYFUNCTION("""COMPUTED_VALUE"""),"UConn Huskies")</f>
        <v>UConn Huskies</v>
      </c>
      <c r="O118" s="105" t="str">
        <f>IFERROR(__xludf.DUMMYFUNCTION("""COMPUTED_VALUE"""),"FBS Indep.")</f>
        <v>FBS Indep.</v>
      </c>
      <c r="P118" s="106">
        <f>IFERROR(__xludf.DUMMYFUNCTION("if(F118="""","""",indeX(split(F118,""-""),1)-J118/100)"),4.8)</f>
        <v>4.8</v>
      </c>
      <c r="Q118" s="106"/>
    </row>
    <row r="119">
      <c r="B119" s="107" t="str">
        <f>IFERROR(__xludf.DUMMYFUNCTION("""COMPUTED_VALUE"""),"0-0")</f>
        <v>0-0</v>
      </c>
      <c r="C119" s="104">
        <f>IFERROR(__xludf.DUMMYFUNCTION("""COMPUTED_VALUE"""),-11.3)</f>
        <v>-11.3</v>
      </c>
      <c r="D119" s="104">
        <f>IFERROR(__xludf.DUMMYFUNCTION("""COMPUTED_VALUE"""),115.0)</f>
        <v>115</v>
      </c>
      <c r="E119" s="104" t="str">
        <f>IFERROR(__xludf.DUMMYFUNCTION("""COMPUTED_VALUE"""),"--")</f>
        <v>--</v>
      </c>
      <c r="F119" s="103" t="str">
        <f>IFERROR(__xludf.DUMMYFUNCTION("""COMPUTED_VALUE"""),"5.1-6.9")</f>
        <v>5.1-6.9</v>
      </c>
      <c r="G119" s="104">
        <f>IFERROR(__xludf.DUMMYFUNCTION("""COMPUTED_VALUE"""),0.0)</f>
        <v>0</v>
      </c>
      <c r="H119" s="104">
        <f>IFERROR(__xludf.DUMMYFUNCTION("""COMPUTED_VALUE"""),41.2)</f>
        <v>41.2</v>
      </c>
      <c r="I119" s="104">
        <f>IFERROR(__xludf.DUMMYFUNCTION("""COMPUTED_VALUE"""),0.0)</f>
        <v>0</v>
      </c>
      <c r="J119" s="104">
        <f>IFERROR(__xludf.DUMMYFUNCTION("""COMPUTED_VALUE"""),1.1)</f>
        <v>1.1</v>
      </c>
      <c r="K119" s="104">
        <f>IFERROR(__xludf.DUMMYFUNCTION("""COMPUTED_VALUE"""),0.2)</f>
        <v>0.2</v>
      </c>
      <c r="L119" s="104">
        <f>IFERROR(__xludf.DUMMYFUNCTION("""COMPUTED_VALUE"""),0.0)</f>
        <v>0</v>
      </c>
      <c r="M119" s="104">
        <f>IFERROR(__xludf.DUMMYFUNCTION("""COMPUTED_VALUE"""),0.0)</f>
        <v>0</v>
      </c>
      <c r="N119" s="103" t="str">
        <f>IFERROR(__xludf.DUMMYFUNCTION("""COMPUTED_VALUE"""),"Florida Atlantic Owls")</f>
        <v>Florida Atlantic Owls</v>
      </c>
      <c r="O119" s="105" t="str">
        <f>IFERROR(__xludf.DUMMYFUNCTION("""COMPUTED_VALUE"""),"American")</f>
        <v>American</v>
      </c>
      <c r="P119" s="106">
        <f>IFERROR(__xludf.DUMMYFUNCTION("if(F119="""","""",indeX(split(F119,""-""),1)-J119/100)"),5.0889999999999995)</f>
        <v>5.089</v>
      </c>
      <c r="Q119" s="106"/>
    </row>
    <row r="120">
      <c r="B120" s="107" t="str">
        <f>IFERROR(__xludf.DUMMYFUNCTION("""COMPUTED_VALUE"""),"0-0")</f>
        <v>0-0</v>
      </c>
      <c r="C120" s="104">
        <f>IFERROR(__xludf.DUMMYFUNCTION("""COMPUTED_VALUE"""),-11.9)</f>
        <v>-11.9</v>
      </c>
      <c r="D120" s="104">
        <f>IFERROR(__xludf.DUMMYFUNCTION("""COMPUTED_VALUE"""),116.0)</f>
        <v>116</v>
      </c>
      <c r="E120" s="104" t="str">
        <f>IFERROR(__xludf.DUMMYFUNCTION("""COMPUTED_VALUE"""),"--")</f>
        <v>--</v>
      </c>
      <c r="F120" s="103" t="str">
        <f>IFERROR(__xludf.DUMMYFUNCTION("""COMPUTED_VALUE"""),"4.8-7.2")</f>
        <v>4.8-7.2</v>
      </c>
      <c r="G120" s="104">
        <f>IFERROR(__xludf.DUMMYFUNCTION("""COMPUTED_VALUE"""),0.0)</f>
        <v>0</v>
      </c>
      <c r="H120" s="104">
        <f>IFERROR(__xludf.DUMMYFUNCTION("""COMPUTED_VALUE"""),37.0)</f>
        <v>37</v>
      </c>
      <c r="I120" s="104">
        <f>IFERROR(__xludf.DUMMYFUNCTION("""COMPUTED_VALUE"""),0.0)</f>
        <v>0</v>
      </c>
      <c r="J120" s="104">
        <f>IFERROR(__xludf.DUMMYFUNCTION("""COMPUTED_VALUE"""),2.8)</f>
        <v>2.8</v>
      </c>
      <c r="K120" s="104">
        <f>IFERROR(__xludf.DUMMYFUNCTION("""COMPUTED_VALUE"""),0.2)</f>
        <v>0.2</v>
      </c>
      <c r="L120" s="104">
        <f>IFERROR(__xludf.DUMMYFUNCTION("""COMPUTED_VALUE"""),0.0)</f>
        <v>0</v>
      </c>
      <c r="M120" s="104">
        <f>IFERROR(__xludf.DUMMYFUNCTION("""COMPUTED_VALUE"""),0.0)</f>
        <v>0</v>
      </c>
      <c r="N120" s="103" t="str">
        <f>IFERROR(__xludf.DUMMYFUNCTION("""COMPUTED_VALUE"""),"Nevada Wolf Pack")</f>
        <v>Nevada Wolf Pack</v>
      </c>
      <c r="O120" s="105" t="str">
        <f>IFERROR(__xludf.DUMMYFUNCTION("""COMPUTED_VALUE"""),"Mountain West")</f>
        <v>Mountain West</v>
      </c>
      <c r="P120" s="106">
        <f>IFERROR(__xludf.DUMMYFUNCTION("if(F120="""","""",indeX(split(F120,""-""),1)-J120/100)"),4.772)</f>
        <v>4.772</v>
      </c>
      <c r="Q120" s="106"/>
    </row>
    <row r="121">
      <c r="B121" s="147" t="str">
        <f>IFERROR(__xludf.DUMMYFUNCTION("""COMPUTED_VALUE"""),"0-0")</f>
        <v>0-0</v>
      </c>
      <c r="C121" s="104">
        <f>IFERROR(__xludf.DUMMYFUNCTION("""COMPUTED_VALUE"""),-12.1)</f>
        <v>-12.1</v>
      </c>
      <c r="D121" s="104">
        <f>IFERROR(__xludf.DUMMYFUNCTION("""COMPUTED_VALUE"""),117.0)</f>
        <v>117</v>
      </c>
      <c r="E121" s="104" t="str">
        <f>IFERROR(__xludf.DUMMYFUNCTION("""COMPUTED_VALUE"""),"--")</f>
        <v>--</v>
      </c>
      <c r="F121" s="103" t="str">
        <f>IFERROR(__xludf.DUMMYFUNCTION("""COMPUTED_VALUE"""),"5.2-6.9")</f>
        <v>5.2-6.9</v>
      </c>
      <c r="G121" s="104">
        <f>IFERROR(__xludf.DUMMYFUNCTION("""COMPUTED_VALUE"""),0.0)</f>
        <v>0</v>
      </c>
      <c r="H121" s="104">
        <f>IFERROR(__xludf.DUMMYFUNCTION("""COMPUTED_VALUE"""),41.8)</f>
        <v>41.8</v>
      </c>
      <c r="I121" s="104">
        <f>IFERROR(__xludf.DUMMYFUNCTION("""COMPUTED_VALUE"""),5.8)</f>
        <v>5.8</v>
      </c>
      <c r="J121" s="104">
        <f>IFERROR(__xludf.DUMMYFUNCTION("""COMPUTED_VALUE"""),2.4)</f>
        <v>2.4</v>
      </c>
      <c r="K121" s="104">
        <f>IFERROR(__xludf.DUMMYFUNCTION("""COMPUTED_VALUE"""),0.2)</f>
        <v>0.2</v>
      </c>
      <c r="L121" s="104">
        <f>IFERROR(__xludf.DUMMYFUNCTION("""COMPUTED_VALUE"""),0.0)</f>
        <v>0</v>
      </c>
      <c r="M121" s="104">
        <f>IFERROR(__xludf.DUMMYFUNCTION("""COMPUTED_VALUE"""),0.0)</f>
        <v>0</v>
      </c>
      <c r="N121" s="103" t="str">
        <f>IFERROR(__xludf.DUMMYFUNCTION("""COMPUTED_VALUE"""),"Coastal Carolina Chanticleers")</f>
        <v>Coastal Carolina Chanticleers</v>
      </c>
      <c r="O121" s="105" t="str">
        <f>IFERROR(__xludf.DUMMYFUNCTION("""COMPUTED_VALUE"""),"Sun Belt")</f>
        <v>Sun Belt</v>
      </c>
      <c r="P121" s="106">
        <f>IFERROR(__xludf.DUMMYFUNCTION("if(F121="""","""",indeX(split(F121,""-""),1)-J121/100)"),5.176)</f>
        <v>5.176</v>
      </c>
      <c r="Q121" s="106"/>
    </row>
    <row r="122">
      <c r="B122" s="107" t="str">
        <f>IFERROR(__xludf.DUMMYFUNCTION("""COMPUTED_VALUE"""),"0-0")</f>
        <v>0-0</v>
      </c>
      <c r="C122" s="104">
        <f>IFERROR(__xludf.DUMMYFUNCTION("""COMPUTED_VALUE"""),-12.4)</f>
        <v>-12.4</v>
      </c>
      <c r="D122" s="104">
        <f>IFERROR(__xludf.DUMMYFUNCTION("""COMPUTED_VALUE"""),118.0)</f>
        <v>118</v>
      </c>
      <c r="E122" s="104" t="str">
        <f>IFERROR(__xludf.DUMMYFUNCTION("""COMPUTED_VALUE"""),"--")</f>
        <v>--</v>
      </c>
      <c r="F122" s="103" t="str">
        <f>IFERROR(__xludf.DUMMYFUNCTION("""COMPUTED_VALUE"""),"3.6-7.5")</f>
        <v>3.6-7.5</v>
      </c>
      <c r="G122" s="104">
        <f>IFERROR(__xludf.DUMMYFUNCTION("""COMPUTED_VALUE"""),0.0)</f>
        <v>0</v>
      </c>
      <c r="H122" s="104">
        <f>IFERROR(__xludf.DUMMYFUNCTION("""COMPUTED_VALUE"""),15.7)</f>
        <v>15.7</v>
      </c>
      <c r="I122" s="104">
        <f>IFERROR(__xludf.DUMMYFUNCTION("""COMPUTED_VALUE"""),0.0)</f>
        <v>0</v>
      </c>
      <c r="J122" s="104">
        <f>IFERROR(__xludf.DUMMYFUNCTION("""COMPUTED_VALUE"""),1.3)</f>
        <v>1.3</v>
      </c>
      <c r="K122" s="104">
        <f>IFERROR(__xludf.DUMMYFUNCTION("""COMPUTED_VALUE"""),0.1)</f>
        <v>0.1</v>
      </c>
      <c r="L122" s="104">
        <f>IFERROR(__xludf.DUMMYFUNCTION("""COMPUTED_VALUE"""),0.0)</f>
        <v>0</v>
      </c>
      <c r="M122" s="104">
        <f>IFERROR(__xludf.DUMMYFUNCTION("""COMPUTED_VALUE"""),0.0)</f>
        <v>0</v>
      </c>
      <c r="N122" s="103" t="str">
        <f>IFERROR(__xludf.DUMMYFUNCTION("""COMPUTED_VALUE"""),"Colorado State Rams")</f>
        <v>Colorado State Rams</v>
      </c>
      <c r="O122" s="105" t="str">
        <f>IFERROR(__xludf.DUMMYFUNCTION("""COMPUTED_VALUE"""),"Pac-12")</f>
        <v>Pac-12</v>
      </c>
      <c r="P122" s="106">
        <f>IFERROR(__xludf.DUMMYFUNCTION("if(F122="""","""",indeX(split(F122,""-""),1)-J122/100)"),3.587)</f>
        <v>3.587</v>
      </c>
      <c r="Q122" s="106"/>
    </row>
    <row r="123">
      <c r="B123" s="147" t="str">
        <f>IFERROR(__xludf.DUMMYFUNCTION("""COMPUTED_VALUE"""),"0-0")</f>
        <v>0-0</v>
      </c>
      <c r="C123" s="104">
        <f>IFERROR(__xludf.DUMMYFUNCTION("""COMPUTED_VALUE"""),-12.6)</f>
        <v>-12.6</v>
      </c>
      <c r="D123" s="104">
        <f>IFERROR(__xludf.DUMMYFUNCTION("""COMPUTED_VALUE"""),119.0)</f>
        <v>119</v>
      </c>
      <c r="E123" s="104" t="str">
        <f>IFERROR(__xludf.DUMMYFUNCTION("""COMPUTED_VALUE"""),"--")</f>
        <v>--</v>
      </c>
      <c r="F123" s="103" t="str">
        <f>IFERROR(__xludf.DUMMYFUNCTION("""COMPUTED_VALUE"""),"6.0-6.2")</f>
        <v>6.0-6.2</v>
      </c>
      <c r="G123" s="104">
        <f>IFERROR(__xludf.DUMMYFUNCTION("""COMPUTED_VALUE"""),0.0)</f>
        <v>0</v>
      </c>
      <c r="H123" s="104">
        <f>IFERROR(__xludf.DUMMYFUNCTION("""COMPUTED_VALUE"""),56.7)</f>
        <v>56.7</v>
      </c>
      <c r="I123" s="104">
        <f>IFERROR(__xludf.DUMMYFUNCTION("""COMPUTED_VALUE"""),0.0)</f>
        <v>0</v>
      </c>
      <c r="J123" s="104">
        <f>IFERROR(__xludf.DUMMYFUNCTION("""COMPUTED_VALUE"""),5.2)</f>
        <v>5.2</v>
      </c>
      <c r="K123" s="104">
        <f>IFERROR(__xludf.DUMMYFUNCTION("""COMPUTED_VALUE"""),0.3)</f>
        <v>0.3</v>
      </c>
      <c r="L123" s="104">
        <f>IFERROR(__xludf.DUMMYFUNCTION("""COMPUTED_VALUE"""),0.0)</f>
        <v>0</v>
      </c>
      <c r="M123" s="104">
        <f>IFERROR(__xludf.DUMMYFUNCTION("""COMPUTED_VALUE"""),0.0)</f>
        <v>0</v>
      </c>
      <c r="N123" s="103" t="str">
        <f>IFERROR(__xludf.DUMMYFUNCTION("""COMPUTED_VALUE"""),"Florida International Panthers")</f>
        <v>Florida International Panthers</v>
      </c>
      <c r="O123" s="105" t="str">
        <f>IFERROR(__xludf.DUMMYFUNCTION("""COMPUTED_VALUE"""),"CUSA")</f>
        <v>CUSA</v>
      </c>
      <c r="P123" s="106">
        <f>IFERROR(__xludf.DUMMYFUNCTION("if(F123="""","""",indeX(split(F123,""-""),1)-J123/100)"),5.948)</f>
        <v>5.948</v>
      </c>
      <c r="Q123" s="106"/>
    </row>
    <row r="124">
      <c r="B124" s="147" t="str">
        <f>IFERROR(__xludf.DUMMYFUNCTION("""COMPUTED_VALUE"""),"0-0")</f>
        <v>0-0</v>
      </c>
      <c r="C124" s="104">
        <f>IFERROR(__xludf.DUMMYFUNCTION("""COMPUTED_VALUE"""),-12.8)</f>
        <v>-12.8</v>
      </c>
      <c r="D124" s="104">
        <f>IFERROR(__xludf.DUMMYFUNCTION("""COMPUTED_VALUE"""),120.0)</f>
        <v>120</v>
      </c>
      <c r="E124" s="104" t="str">
        <f>IFERROR(__xludf.DUMMYFUNCTION("""COMPUTED_VALUE"""),"--")</f>
        <v>--</v>
      </c>
      <c r="F124" s="103" t="str">
        <f>IFERROR(__xludf.DUMMYFUNCTION("""COMPUTED_VALUE"""),"5.6-6.6")</f>
        <v>5.6-6.6</v>
      </c>
      <c r="G124" s="104">
        <f>IFERROR(__xludf.DUMMYFUNCTION("""COMPUTED_VALUE"""),0.0)</f>
        <v>0</v>
      </c>
      <c r="H124" s="104">
        <f>IFERROR(__xludf.DUMMYFUNCTION("""COMPUTED_VALUE"""),50.0)</f>
        <v>50</v>
      </c>
      <c r="I124" s="104">
        <f>IFERROR(__xludf.DUMMYFUNCTION("""COMPUTED_VALUE"""),0.0)</f>
        <v>0</v>
      </c>
      <c r="J124" s="104">
        <f>IFERROR(__xludf.DUMMYFUNCTION("""COMPUTED_VALUE"""),4.5)</f>
        <v>4.5</v>
      </c>
      <c r="K124" s="104">
        <f>IFERROR(__xludf.DUMMYFUNCTION("""COMPUTED_VALUE"""),0.3)</f>
        <v>0.3</v>
      </c>
      <c r="L124" s="104">
        <f>IFERROR(__xludf.DUMMYFUNCTION("""COMPUTED_VALUE"""),0.0)</f>
        <v>0</v>
      </c>
      <c r="M124" s="104">
        <f>IFERROR(__xludf.DUMMYFUNCTION("""COMPUTED_VALUE"""),0.0)</f>
        <v>0</v>
      </c>
      <c r="N124" s="103" t="str">
        <f>IFERROR(__xludf.DUMMYFUNCTION("""COMPUTED_VALUE"""),"Central Michigan Chippewas")</f>
        <v>Central Michigan Chippewas</v>
      </c>
      <c r="O124" s="105" t="str">
        <f>IFERROR(__xludf.DUMMYFUNCTION("""COMPUTED_VALUE"""),"MAC")</f>
        <v>MAC</v>
      </c>
      <c r="P124" s="106">
        <f>IFERROR(__xludf.DUMMYFUNCTION("if(F124="""","""",indeX(split(F124,""-""),1)-J124/100)"),5.555)</f>
        <v>5.555</v>
      </c>
      <c r="Q124" s="106"/>
    </row>
    <row r="125">
      <c r="B125" s="107" t="str">
        <f>IFERROR(__xludf.DUMMYFUNCTION("""COMPUTED_VALUE"""),"0-0")</f>
        <v>0-0</v>
      </c>
      <c r="C125" s="104">
        <f>IFERROR(__xludf.DUMMYFUNCTION("""COMPUTED_VALUE"""),-13.1)</f>
        <v>-13.1</v>
      </c>
      <c r="D125" s="104">
        <f>IFERROR(__xludf.DUMMYFUNCTION("""COMPUTED_VALUE"""),121.0)</f>
        <v>121</v>
      </c>
      <c r="E125" s="104" t="str">
        <f>IFERROR(__xludf.DUMMYFUNCTION("""COMPUTED_VALUE"""),"--")</f>
        <v>--</v>
      </c>
      <c r="F125" s="103" t="str">
        <f>IFERROR(__xludf.DUMMYFUNCTION("""COMPUTED_VALUE"""),"5.4-6.6")</f>
        <v>5.4-6.6</v>
      </c>
      <c r="G125" s="104">
        <f>IFERROR(__xludf.DUMMYFUNCTION("""COMPUTED_VALUE"""),0.0)</f>
        <v>0</v>
      </c>
      <c r="H125" s="104">
        <f>IFERROR(__xludf.DUMMYFUNCTION("""COMPUTED_VALUE"""),46.8)</f>
        <v>46.8</v>
      </c>
      <c r="I125" s="104">
        <f>IFERROR(__xludf.DUMMYFUNCTION("""COMPUTED_VALUE"""),0.0)</f>
        <v>0</v>
      </c>
      <c r="J125" s="104">
        <f>IFERROR(__xludf.DUMMYFUNCTION("""COMPUTED_VALUE"""),2.3)</f>
        <v>2.3</v>
      </c>
      <c r="K125" s="104">
        <f>IFERROR(__xludf.DUMMYFUNCTION("""COMPUTED_VALUE"""),0.2)</f>
        <v>0.2</v>
      </c>
      <c r="L125" s="104">
        <f>IFERROR(__xludf.DUMMYFUNCTION("""COMPUTED_VALUE"""),0.0)</f>
        <v>0</v>
      </c>
      <c r="M125" s="104">
        <f>IFERROR(__xludf.DUMMYFUNCTION("""COMPUTED_VALUE"""),0.0)</f>
        <v>0</v>
      </c>
      <c r="N125" s="103" t="str">
        <f>IFERROR(__xludf.DUMMYFUNCTION("""COMPUTED_VALUE"""),"Wyoming Cowboys")</f>
        <v>Wyoming Cowboys</v>
      </c>
      <c r="O125" s="105" t="str">
        <f>IFERROR(__xludf.DUMMYFUNCTION("""COMPUTED_VALUE"""),"Mountain West")</f>
        <v>Mountain West</v>
      </c>
      <c r="P125" s="106">
        <f>IFERROR(__xludf.DUMMYFUNCTION("if(F125="""","""",indeX(split(F125,""-""),1)-J125/100)"),5.377000000000001)</f>
        <v>5.377</v>
      </c>
      <c r="Q125" s="106"/>
    </row>
    <row r="126">
      <c r="B126" s="107" t="str">
        <f>IFERROR(__xludf.DUMMYFUNCTION("""COMPUTED_VALUE"""),"0-0")</f>
        <v>0-0</v>
      </c>
      <c r="C126" s="104">
        <f>IFERROR(__xludf.DUMMYFUNCTION("""COMPUTED_VALUE"""),-13.4)</f>
        <v>-13.4</v>
      </c>
      <c r="D126" s="104">
        <f>IFERROR(__xludf.DUMMYFUNCTION("""COMPUTED_VALUE"""),122.0)</f>
        <v>122</v>
      </c>
      <c r="E126" s="104" t="str">
        <f>IFERROR(__xludf.DUMMYFUNCTION("""COMPUTED_VALUE"""),"--")</f>
        <v>--</v>
      </c>
      <c r="F126" s="103" t="str">
        <f>IFERROR(__xludf.DUMMYFUNCTION("""COMPUTED_VALUE"""),"4.0-8.0")</f>
        <v>4.0-8.0</v>
      </c>
      <c r="G126" s="104">
        <f>IFERROR(__xludf.DUMMYFUNCTION("""COMPUTED_VALUE"""),0.0)</f>
        <v>0</v>
      </c>
      <c r="H126" s="104">
        <f>IFERROR(__xludf.DUMMYFUNCTION("""COMPUTED_VALUE"""),21.4)</f>
        <v>21.4</v>
      </c>
      <c r="I126" s="104">
        <f>IFERROR(__xludf.DUMMYFUNCTION("""COMPUTED_VALUE"""),0.0)</f>
        <v>0</v>
      </c>
      <c r="J126" s="104">
        <f>IFERROR(__xludf.DUMMYFUNCTION("""COMPUTED_VALUE"""),0.5)</f>
        <v>0.5</v>
      </c>
      <c r="K126" s="104">
        <f>IFERROR(__xludf.DUMMYFUNCTION("""COMPUTED_VALUE"""),0.1)</f>
        <v>0.1</v>
      </c>
      <c r="L126" s="104">
        <f>IFERROR(__xludf.DUMMYFUNCTION("""COMPUTED_VALUE"""),0.0)</f>
        <v>0</v>
      </c>
      <c r="M126" s="104">
        <f>IFERROR(__xludf.DUMMYFUNCTION("""COMPUTED_VALUE"""),0.0)</f>
        <v>0</v>
      </c>
      <c r="N126" s="103" t="str">
        <f>IFERROR(__xludf.DUMMYFUNCTION("""COMPUTED_VALUE"""),"Rice Owls")</f>
        <v>Rice Owls</v>
      </c>
      <c r="O126" s="105" t="str">
        <f>IFERROR(__xludf.DUMMYFUNCTION("""COMPUTED_VALUE"""),"American")</f>
        <v>American</v>
      </c>
      <c r="P126" s="106">
        <f>IFERROR(__xludf.DUMMYFUNCTION("if(F126="""","""",indeX(split(F126,""-""),1)-J126/100)"),3.995)</f>
        <v>3.995</v>
      </c>
      <c r="Q126" s="106"/>
    </row>
    <row r="127">
      <c r="B127" s="107" t="str">
        <f>IFERROR(__xludf.DUMMYFUNCTION("""COMPUTED_VALUE"""),"0-0")</f>
        <v>0-0</v>
      </c>
      <c r="C127" s="104">
        <f>IFERROR(__xludf.DUMMYFUNCTION("""COMPUTED_VALUE"""),-13.7)</f>
        <v>-13.7</v>
      </c>
      <c r="D127" s="104">
        <f>IFERROR(__xludf.DUMMYFUNCTION("""COMPUTED_VALUE"""),123.0)</f>
        <v>123</v>
      </c>
      <c r="E127" s="104" t="str">
        <f>IFERROR(__xludf.DUMMYFUNCTION("""COMPUTED_VALUE"""),"--")</f>
        <v>--</v>
      </c>
      <c r="F127" s="103" t="str">
        <f>IFERROR(__xludf.DUMMYFUNCTION("""COMPUTED_VALUE"""),"4.7-7.4")</f>
        <v>4.7-7.4</v>
      </c>
      <c r="G127" s="104">
        <f>IFERROR(__xludf.DUMMYFUNCTION("""COMPUTED_VALUE"""),0.0)</f>
        <v>0</v>
      </c>
      <c r="H127" s="104">
        <f>IFERROR(__xludf.DUMMYFUNCTION("""COMPUTED_VALUE"""),33.2)</f>
        <v>33.2</v>
      </c>
      <c r="I127" s="104">
        <f>IFERROR(__xludf.DUMMYFUNCTION("""COMPUTED_VALUE"""),0.0)</f>
        <v>0</v>
      </c>
      <c r="J127" s="104">
        <f>IFERROR(__xludf.DUMMYFUNCTION("""COMPUTED_VALUE"""),3.0)</f>
        <v>3</v>
      </c>
      <c r="K127" s="104">
        <f>IFERROR(__xludf.DUMMYFUNCTION("""COMPUTED_VALUE"""),0.1)</f>
        <v>0.1</v>
      </c>
      <c r="L127" s="104">
        <f>IFERROR(__xludf.DUMMYFUNCTION("""COMPUTED_VALUE"""),0.0)</f>
        <v>0</v>
      </c>
      <c r="M127" s="104">
        <f>IFERROR(__xludf.DUMMYFUNCTION("""COMPUTED_VALUE"""),0.0)</f>
        <v>0</v>
      </c>
      <c r="N127" s="103" t="str">
        <f>IFERROR(__xludf.DUMMYFUNCTION("""COMPUTED_VALUE"""),"Bowling Green Falcons")</f>
        <v>Bowling Green Falcons</v>
      </c>
      <c r="O127" s="105" t="str">
        <f>IFERROR(__xludf.DUMMYFUNCTION("""COMPUTED_VALUE"""),"MAC")</f>
        <v>MAC</v>
      </c>
      <c r="P127" s="106">
        <f>IFERROR(__xludf.DUMMYFUNCTION("if(F127="""","""",indeX(split(F127,""-""),1)-J127/100)"),4.67)</f>
        <v>4.67</v>
      </c>
      <c r="Q127" s="106"/>
    </row>
    <row r="128">
      <c r="B128" s="107" t="str">
        <f>IFERROR(__xludf.DUMMYFUNCTION("""COMPUTED_VALUE"""),"0-0")</f>
        <v>0-0</v>
      </c>
      <c r="C128" s="104">
        <f>IFERROR(__xludf.DUMMYFUNCTION("""COMPUTED_VALUE"""),-14.3)</f>
        <v>-14.3</v>
      </c>
      <c r="D128" s="104">
        <f>IFERROR(__xludf.DUMMYFUNCTION("""COMPUTED_VALUE"""),124.0)</f>
        <v>124</v>
      </c>
      <c r="E128" s="104" t="str">
        <f>IFERROR(__xludf.DUMMYFUNCTION("""COMPUTED_VALUE"""),"--")</f>
        <v>--</v>
      </c>
      <c r="F128" s="103" t="str">
        <f>IFERROR(__xludf.DUMMYFUNCTION("""COMPUTED_VALUE"""),"5.0-8.0")</f>
        <v>5.0-8.0</v>
      </c>
      <c r="G128" s="104">
        <f>IFERROR(__xludf.DUMMYFUNCTION("""COMPUTED_VALUE"""),0.0)</f>
        <v>0</v>
      </c>
      <c r="H128" s="104">
        <f>IFERROR(__xludf.DUMMYFUNCTION("""COMPUTED_VALUE"""),39.8)</f>
        <v>39.8</v>
      </c>
      <c r="I128" s="104">
        <f>IFERROR(__xludf.DUMMYFUNCTION("""COMPUTED_VALUE"""),0.0)</f>
        <v>0</v>
      </c>
      <c r="J128" s="104">
        <f>IFERROR(__xludf.DUMMYFUNCTION("""COMPUTED_VALUE"""),2.1)</f>
        <v>2.1</v>
      </c>
      <c r="K128" s="104">
        <f>IFERROR(__xludf.DUMMYFUNCTION("""COMPUTED_VALUE"""),0.1)</f>
        <v>0.1</v>
      </c>
      <c r="L128" s="104">
        <f>IFERROR(__xludf.DUMMYFUNCTION("""COMPUTED_VALUE"""),0.0)</f>
        <v>0</v>
      </c>
      <c r="M128" s="104">
        <f>IFERROR(__xludf.DUMMYFUNCTION("""COMPUTED_VALUE"""),0.0)</f>
        <v>0</v>
      </c>
      <c r="N128" s="103" t="str">
        <f>IFERROR(__xludf.DUMMYFUNCTION("""COMPUTED_VALUE"""),"San José State Spartans")</f>
        <v>San José State Spartans</v>
      </c>
      <c r="O128" s="105" t="str">
        <f>IFERROR(__xludf.DUMMYFUNCTION("""COMPUTED_VALUE"""),"Mountain West")</f>
        <v>Mountain West</v>
      </c>
      <c r="P128" s="106">
        <f>IFERROR(__xludf.DUMMYFUNCTION("if(F128="""","""",indeX(split(F128,""-""),1)-J128/100)"),4.979)</f>
        <v>4.979</v>
      </c>
      <c r="Q128" s="106"/>
    </row>
    <row r="129">
      <c r="B129" s="103" t="str">
        <f>IFERROR(__xludf.DUMMYFUNCTION("""COMPUTED_VALUE"""),"0-0")</f>
        <v>0-0</v>
      </c>
      <c r="C129" s="104">
        <f>IFERROR(__xludf.DUMMYFUNCTION("""COMPUTED_VALUE"""),-14.5)</f>
        <v>-14.5</v>
      </c>
      <c r="D129" s="104">
        <f>IFERROR(__xludf.DUMMYFUNCTION("""COMPUTED_VALUE"""),125.0)</f>
        <v>125</v>
      </c>
      <c r="E129" s="104" t="str">
        <f>IFERROR(__xludf.DUMMYFUNCTION("""COMPUTED_VALUE"""),"--")</f>
        <v>--</v>
      </c>
      <c r="F129" s="103" t="str">
        <f>IFERROR(__xludf.DUMMYFUNCTION("""COMPUTED_VALUE"""),"4.3-7.8")</f>
        <v>4.3-7.8</v>
      </c>
      <c r="G129" s="104">
        <f>IFERROR(__xludf.DUMMYFUNCTION("""COMPUTED_VALUE"""),0.0)</f>
        <v>0</v>
      </c>
      <c r="H129" s="104">
        <f>IFERROR(__xludf.DUMMYFUNCTION("""COMPUTED_VALUE"""),26.8)</f>
        <v>26.8</v>
      </c>
      <c r="I129" s="104">
        <f>IFERROR(__xludf.DUMMYFUNCTION("""COMPUTED_VALUE"""),0.0)</f>
        <v>0</v>
      </c>
      <c r="J129" s="104">
        <f>IFERROR(__xludf.DUMMYFUNCTION("""COMPUTED_VALUE"""),1.6)</f>
        <v>1.6</v>
      </c>
      <c r="K129" s="104">
        <f>IFERROR(__xludf.DUMMYFUNCTION("""COMPUTED_VALUE"""),0.1)</f>
        <v>0.1</v>
      </c>
      <c r="L129" s="104">
        <f>IFERROR(__xludf.DUMMYFUNCTION("""COMPUTED_VALUE"""),0.0)</f>
        <v>0</v>
      </c>
      <c r="M129" s="104">
        <f>IFERROR(__xludf.DUMMYFUNCTION("""COMPUTED_VALUE"""),0.0)</f>
        <v>0</v>
      </c>
      <c r="N129" s="103" t="str">
        <f>IFERROR(__xludf.DUMMYFUNCTION("""COMPUTED_VALUE"""),"Northern Illinois Huskies")</f>
        <v>Northern Illinois Huskies</v>
      </c>
      <c r="O129" s="105" t="str">
        <f>IFERROR(__xludf.DUMMYFUNCTION("""COMPUTED_VALUE"""),"Mountain West")</f>
        <v>Mountain West</v>
      </c>
      <c r="P129" s="106">
        <f>IFERROR(__xludf.DUMMYFUNCTION("if(F129="""","""",indeX(split(F129,""-""),1)-J129/100)"),4.284)</f>
        <v>4.284</v>
      </c>
      <c r="Q129" s="106"/>
    </row>
    <row r="130">
      <c r="B130" s="107" t="str">
        <f>IFERROR(__xludf.DUMMYFUNCTION("""COMPUTED_VALUE"""),"0-0")</f>
        <v>0-0</v>
      </c>
      <c r="C130" s="104">
        <f>IFERROR(__xludf.DUMMYFUNCTION("""COMPUTED_VALUE"""),-14.6)</f>
        <v>-14.6</v>
      </c>
      <c r="D130" s="104">
        <f>IFERROR(__xludf.DUMMYFUNCTION("""COMPUTED_VALUE"""),126.0)</f>
        <v>126</v>
      </c>
      <c r="E130" s="104" t="str">
        <f>IFERROR(__xludf.DUMMYFUNCTION("""COMPUTED_VALUE"""),"--")</f>
        <v>--</v>
      </c>
      <c r="F130" s="103" t="str">
        <f>IFERROR(__xludf.DUMMYFUNCTION("""COMPUTED_VALUE"""),"3.9-8.1")</f>
        <v>3.9-8.1</v>
      </c>
      <c r="G130" s="104">
        <f>IFERROR(__xludf.DUMMYFUNCTION("""COMPUTED_VALUE"""),0.0)</f>
        <v>0</v>
      </c>
      <c r="H130" s="104">
        <f>IFERROR(__xludf.DUMMYFUNCTION("""COMPUTED_VALUE"""),20.1)</f>
        <v>20.1</v>
      </c>
      <c r="I130" s="104">
        <f>IFERROR(__xludf.DUMMYFUNCTION("""COMPUTED_VALUE"""),0.0)</f>
        <v>0</v>
      </c>
      <c r="J130" s="104">
        <f>IFERROR(__xludf.DUMMYFUNCTION("""COMPUTED_VALUE"""),0.4)</f>
        <v>0.4</v>
      </c>
      <c r="K130" s="104">
        <f>IFERROR(__xludf.DUMMYFUNCTION("""COMPUTED_VALUE"""),0.1)</f>
        <v>0.1</v>
      </c>
      <c r="L130" s="104">
        <f>IFERROR(__xludf.DUMMYFUNCTION("""COMPUTED_VALUE"""),0.0)</f>
        <v>0</v>
      </c>
      <c r="M130" s="104">
        <f>IFERROR(__xludf.DUMMYFUNCTION("""COMPUTED_VALUE"""),0.0)</f>
        <v>0</v>
      </c>
      <c r="N130" s="103" t="str">
        <f>IFERROR(__xludf.DUMMYFUNCTION("""COMPUTED_VALUE"""),"Charlotte 49ers")</f>
        <v>Charlotte 49ers</v>
      </c>
      <c r="O130" s="105" t="str">
        <f>IFERROR(__xludf.DUMMYFUNCTION("""COMPUTED_VALUE"""),"American")</f>
        <v>American</v>
      </c>
      <c r="P130" s="106">
        <f>IFERROR(__xludf.DUMMYFUNCTION("if(F130="""","""",indeX(split(F130,""-""),1)-J130/100)"),3.896)</f>
        <v>3.896</v>
      </c>
      <c r="Q130" s="106"/>
    </row>
    <row r="131">
      <c r="B131" s="147" t="str">
        <f>IFERROR(__xludf.DUMMYFUNCTION("""COMPUTED_VALUE"""),"0-0")</f>
        <v>0-0</v>
      </c>
      <c r="C131" s="104">
        <f>IFERROR(__xludf.DUMMYFUNCTION("""COMPUTED_VALUE"""),-15.2)</f>
        <v>-15.2</v>
      </c>
      <c r="D131" s="104">
        <f>IFERROR(__xludf.DUMMYFUNCTION("""COMPUTED_VALUE"""),127.0)</f>
        <v>127</v>
      </c>
      <c r="E131" s="104" t="str">
        <f>IFERROR(__xludf.DUMMYFUNCTION("""COMPUTED_VALUE"""),"--")</f>
        <v>--</v>
      </c>
      <c r="F131" s="103" t="str">
        <f>IFERROR(__xludf.DUMMYFUNCTION("""COMPUTED_VALUE"""),"4.6-7.5")</f>
        <v>4.6-7.5</v>
      </c>
      <c r="G131" s="104">
        <f>IFERROR(__xludf.DUMMYFUNCTION("""COMPUTED_VALUE"""),0.0)</f>
        <v>0</v>
      </c>
      <c r="H131" s="104">
        <f>IFERROR(__xludf.DUMMYFUNCTION("""COMPUTED_VALUE"""),30.6)</f>
        <v>30.6</v>
      </c>
      <c r="I131" s="104">
        <f>IFERROR(__xludf.DUMMYFUNCTION("""COMPUTED_VALUE"""),2.8)</f>
        <v>2.8</v>
      </c>
      <c r="J131" s="104">
        <f>IFERROR(__xludf.DUMMYFUNCTION("""COMPUTED_VALUE"""),1.1)</f>
        <v>1.1</v>
      </c>
      <c r="K131" s="104">
        <f>IFERROR(__xludf.DUMMYFUNCTION("""COMPUTED_VALUE"""),0.1)</f>
        <v>0.1</v>
      </c>
      <c r="L131" s="104">
        <f>IFERROR(__xludf.DUMMYFUNCTION("""COMPUTED_VALUE"""),0.0)</f>
        <v>0</v>
      </c>
      <c r="M131" s="104">
        <f>IFERROR(__xludf.DUMMYFUNCTION("""COMPUTED_VALUE"""),0.0)</f>
        <v>0</v>
      </c>
      <c r="N131" s="103" t="str">
        <f>IFERROR(__xludf.DUMMYFUNCTION("""COMPUTED_VALUE"""),"Georgia State Panthers")</f>
        <v>Georgia State Panthers</v>
      </c>
      <c r="O131" s="105" t="str">
        <f>IFERROR(__xludf.DUMMYFUNCTION("""COMPUTED_VALUE"""),"Sun Belt")</f>
        <v>Sun Belt</v>
      </c>
      <c r="P131" s="106">
        <f>IFERROR(__xludf.DUMMYFUNCTION("if(F131="""","""",indeX(split(F131,""-""),1)-J131/100)"),4.5889999999999995)</f>
        <v>4.589</v>
      </c>
      <c r="Q131" s="106"/>
    </row>
    <row r="132">
      <c r="B132" s="107" t="str">
        <f>IFERROR(__xludf.DUMMYFUNCTION("""COMPUTED_VALUE"""),"0-0")</f>
        <v>0-0</v>
      </c>
      <c r="C132" s="104">
        <f>IFERROR(__xludf.DUMMYFUNCTION("""COMPUTED_VALUE"""),-15.5)</f>
        <v>-15.5</v>
      </c>
      <c r="D132" s="104">
        <f>IFERROR(__xludf.DUMMYFUNCTION("""COMPUTED_VALUE"""),128.0)</f>
        <v>128</v>
      </c>
      <c r="E132" s="104" t="str">
        <f>IFERROR(__xludf.DUMMYFUNCTION("""COMPUTED_VALUE"""),"--")</f>
        <v>--</v>
      </c>
      <c r="F132" s="103" t="str">
        <f>IFERROR(__xludf.DUMMYFUNCTION("""COMPUTED_VALUE"""),"4.0-8.0")</f>
        <v>4.0-8.0</v>
      </c>
      <c r="G132" s="104">
        <f>IFERROR(__xludf.DUMMYFUNCTION("""COMPUTED_VALUE"""),0.0)</f>
        <v>0</v>
      </c>
      <c r="H132" s="104">
        <f>IFERROR(__xludf.DUMMYFUNCTION("""COMPUTED_VALUE"""),20.5)</f>
        <v>20.5</v>
      </c>
      <c r="I132" s="104">
        <f>IFERROR(__xludf.DUMMYFUNCTION("""COMPUTED_VALUE"""),0.0)</f>
        <v>0</v>
      </c>
      <c r="J132" s="104">
        <f>IFERROR(__xludf.DUMMYFUNCTION("""COMPUTED_VALUE"""),0.3)</f>
        <v>0.3</v>
      </c>
      <c r="K132" s="104">
        <f>IFERROR(__xludf.DUMMYFUNCTION("""COMPUTED_VALUE"""),0.0)</f>
        <v>0</v>
      </c>
      <c r="L132" s="104">
        <f>IFERROR(__xludf.DUMMYFUNCTION("""COMPUTED_VALUE"""),0.0)</f>
        <v>0</v>
      </c>
      <c r="M132" s="104">
        <f>IFERROR(__xludf.DUMMYFUNCTION("""COMPUTED_VALUE"""),0.0)</f>
        <v>0</v>
      </c>
      <c r="N132" s="103" t="str">
        <f>IFERROR(__xludf.DUMMYFUNCTION("""COMPUTED_VALUE"""),"UAB Blazers")</f>
        <v>UAB Blazers</v>
      </c>
      <c r="O132" s="105" t="str">
        <f>IFERROR(__xludf.DUMMYFUNCTION("""COMPUTED_VALUE"""),"American")</f>
        <v>American</v>
      </c>
      <c r="P132" s="106">
        <f>IFERROR(__xludf.DUMMYFUNCTION("if(F132="""","""",indeX(split(F132,""-""),1)-J132/100)"),3.997)</f>
        <v>3.997</v>
      </c>
      <c r="Q132" s="106"/>
    </row>
    <row r="133">
      <c r="B133" s="107" t="str">
        <f>IFERROR(__xludf.DUMMYFUNCTION("""COMPUTED_VALUE"""),"0-0")</f>
        <v>0-0</v>
      </c>
      <c r="C133" s="104">
        <f>IFERROR(__xludf.DUMMYFUNCTION("""COMPUTED_VALUE"""),-15.7)</f>
        <v>-15.7</v>
      </c>
      <c r="D133" s="104">
        <f>IFERROR(__xludf.DUMMYFUNCTION("""COMPUTED_VALUE"""),129.0)</f>
        <v>129</v>
      </c>
      <c r="E133" s="104" t="str">
        <f>IFERROR(__xludf.DUMMYFUNCTION("""COMPUTED_VALUE"""),"--")</f>
        <v>--</v>
      </c>
      <c r="F133" s="103" t="str">
        <f>IFERROR(__xludf.DUMMYFUNCTION("""COMPUTED_VALUE"""),"4.4-7.6")</f>
        <v>4.4-7.6</v>
      </c>
      <c r="G133" s="104">
        <f>IFERROR(__xludf.DUMMYFUNCTION("""COMPUTED_VALUE"""),0.0)</f>
        <v>0</v>
      </c>
      <c r="H133" s="104">
        <f>IFERROR(__xludf.DUMMYFUNCTION("""COMPUTED_VALUE"""),28.6)</f>
        <v>28.6</v>
      </c>
      <c r="I133" s="104">
        <f>IFERROR(__xludf.DUMMYFUNCTION("""COMPUTED_VALUE"""),0.0)</f>
        <v>0</v>
      </c>
      <c r="J133" s="104">
        <f>IFERROR(__xludf.DUMMYFUNCTION("""COMPUTED_VALUE"""),2.8)</f>
        <v>2.8</v>
      </c>
      <c r="K133" s="104">
        <f>IFERROR(__xludf.DUMMYFUNCTION("""COMPUTED_VALUE"""),0.1)</f>
        <v>0.1</v>
      </c>
      <c r="L133" s="104">
        <f>IFERROR(__xludf.DUMMYFUNCTION("""COMPUTED_VALUE"""),0.0)</f>
        <v>0</v>
      </c>
      <c r="M133" s="104">
        <f>IFERROR(__xludf.DUMMYFUNCTION("""COMPUTED_VALUE"""),0.0)</f>
        <v>0</v>
      </c>
      <c r="N133" s="103" t="str">
        <f>IFERROR(__xludf.DUMMYFUNCTION("""COMPUTED_VALUE"""),"New Mexico State Aggies")</f>
        <v>New Mexico State Aggies</v>
      </c>
      <c r="O133" s="105" t="str">
        <f>IFERROR(__xludf.DUMMYFUNCTION("""COMPUTED_VALUE"""),"CUSA")</f>
        <v>CUSA</v>
      </c>
      <c r="P133" s="106">
        <f>IFERROR(__xludf.DUMMYFUNCTION("if(F133="""","""",indeX(split(F133,""-""),1)-J133/100)"),4.372000000000001)</f>
        <v>4.372</v>
      </c>
      <c r="Q133" s="106"/>
    </row>
    <row r="134">
      <c r="B134" s="107" t="str">
        <f>IFERROR(__xludf.DUMMYFUNCTION("""COMPUTED_VALUE"""),"0-0")</f>
        <v>0-0</v>
      </c>
      <c r="C134" s="104">
        <f>IFERROR(__xludf.DUMMYFUNCTION("""COMPUTED_VALUE"""),-16.1)</f>
        <v>-16.1</v>
      </c>
      <c r="D134" s="104">
        <f>IFERROR(__xludf.DUMMYFUNCTION("""COMPUTED_VALUE"""),130.0)</f>
        <v>130</v>
      </c>
      <c r="E134" s="104" t="str">
        <f>IFERROR(__xludf.DUMMYFUNCTION("""COMPUTED_VALUE"""),"--")</f>
        <v>--</v>
      </c>
      <c r="F134" s="103" t="str">
        <f>IFERROR(__xludf.DUMMYFUNCTION("""COMPUTED_VALUE"""),"4.7-7.4")</f>
        <v>4.7-7.4</v>
      </c>
      <c r="G134" s="104">
        <f>IFERROR(__xludf.DUMMYFUNCTION("""COMPUTED_VALUE"""),0.0)</f>
        <v>0</v>
      </c>
      <c r="H134" s="104">
        <f>IFERROR(__xludf.DUMMYFUNCTION("""COMPUTED_VALUE"""),33.6)</f>
        <v>33.6</v>
      </c>
      <c r="I134" s="104">
        <f>IFERROR(__xludf.DUMMYFUNCTION("""COMPUTED_VALUE"""),0.0)</f>
        <v>0</v>
      </c>
      <c r="J134" s="104">
        <f>IFERROR(__xludf.DUMMYFUNCTION("""COMPUTED_VALUE"""),2.3)</f>
        <v>2.3</v>
      </c>
      <c r="K134" s="104">
        <f>IFERROR(__xludf.DUMMYFUNCTION("""COMPUTED_VALUE"""),0.1)</f>
        <v>0.1</v>
      </c>
      <c r="L134" s="104">
        <f>IFERROR(__xludf.DUMMYFUNCTION("""COMPUTED_VALUE"""),0.0)</f>
        <v>0</v>
      </c>
      <c r="M134" s="104">
        <f>IFERROR(__xludf.DUMMYFUNCTION("""COMPUTED_VALUE"""),0.0)</f>
        <v>0</v>
      </c>
      <c r="N134" s="103" t="str">
        <f>IFERROR(__xludf.DUMMYFUNCTION("""COMPUTED_VALUE"""),"Middle Tennessee Blue Raiders")</f>
        <v>Middle Tennessee Blue Raiders</v>
      </c>
      <c r="O134" s="105" t="str">
        <f>IFERROR(__xludf.DUMMYFUNCTION("""COMPUTED_VALUE"""),"CUSA")</f>
        <v>CUSA</v>
      </c>
      <c r="P134" s="106">
        <f>IFERROR(__xludf.DUMMYFUNCTION("if(F134="""","""",indeX(split(F134,""-""),1)-J134/100)"),4.6770000000000005)</f>
        <v>4.677</v>
      </c>
      <c r="Q134" s="106"/>
    </row>
    <row r="135">
      <c r="B135" s="107" t="str">
        <f>IFERROR(__xludf.DUMMYFUNCTION("""COMPUTED_VALUE"""),"0-0")</f>
        <v>0-0</v>
      </c>
      <c r="C135" s="104">
        <f>IFERROR(__xludf.DUMMYFUNCTION("""COMPUTED_VALUE"""),-16.3)</f>
        <v>-16.3</v>
      </c>
      <c r="D135" s="104">
        <f>IFERROR(__xludf.DUMMYFUNCTION("""COMPUTED_VALUE"""),131.0)</f>
        <v>131</v>
      </c>
      <c r="E135" s="104" t="str">
        <f>IFERROR(__xludf.DUMMYFUNCTION("""COMPUTED_VALUE"""),"--")</f>
        <v>--</v>
      </c>
      <c r="F135" s="103" t="str">
        <f>IFERROR(__xludf.DUMMYFUNCTION("""COMPUTED_VALUE"""),"4.8-7.3")</f>
        <v>4.8-7.3</v>
      </c>
      <c r="G135" s="104">
        <f>IFERROR(__xludf.DUMMYFUNCTION("""COMPUTED_VALUE"""),0.0)</f>
        <v>0</v>
      </c>
      <c r="H135" s="104">
        <f>IFERROR(__xludf.DUMMYFUNCTION("""COMPUTED_VALUE"""),34.8)</f>
        <v>34.8</v>
      </c>
      <c r="I135" s="104">
        <f>IFERROR(__xludf.DUMMYFUNCTION("""COMPUTED_VALUE"""),0.0)</f>
        <v>0</v>
      </c>
      <c r="J135" s="104">
        <f>IFERROR(__xludf.DUMMYFUNCTION("""COMPUTED_VALUE"""),1.6)</f>
        <v>1.6</v>
      </c>
      <c r="K135" s="104">
        <f>IFERROR(__xludf.DUMMYFUNCTION("""COMPUTED_VALUE"""),0.1)</f>
        <v>0.1</v>
      </c>
      <c r="L135" s="104">
        <f>IFERROR(__xludf.DUMMYFUNCTION("""COMPUTED_VALUE"""),0.0)</f>
        <v>0</v>
      </c>
      <c r="M135" s="104">
        <f>IFERROR(__xludf.DUMMYFUNCTION("""COMPUTED_VALUE"""),0.0)</f>
        <v>0</v>
      </c>
      <c r="N135" s="103" t="str">
        <f>IFERROR(__xludf.DUMMYFUNCTION("""COMPUTED_VALUE"""),"Eastern Michigan Eagles")</f>
        <v>Eastern Michigan Eagles</v>
      </c>
      <c r="O135" s="103" t="str">
        <f>IFERROR(__xludf.DUMMYFUNCTION("""COMPUTED_VALUE"""),"MAC")</f>
        <v>MAC</v>
      </c>
      <c r="P135" s="106">
        <f>IFERROR(__xludf.DUMMYFUNCTION("if(F135="""","""",indeX(split(F135,""-""),1)-J135/100)"),4.784)</f>
        <v>4.784</v>
      </c>
      <c r="Q135" s="106"/>
    </row>
    <row r="136">
      <c r="B136" s="107" t="str">
        <f>IFERROR(__xludf.DUMMYFUNCTION("""COMPUTED_VALUE"""),"0-0")</f>
        <v>0-0</v>
      </c>
      <c r="C136" s="104">
        <f>IFERROR(__xludf.DUMMYFUNCTION("""COMPUTED_VALUE"""),-16.6)</f>
        <v>-16.6</v>
      </c>
      <c r="D136" s="104">
        <f>IFERROR(__xludf.DUMMYFUNCTION("""COMPUTED_VALUE"""),132.0)</f>
        <v>132</v>
      </c>
      <c r="E136" s="104" t="str">
        <f>IFERROR(__xludf.DUMMYFUNCTION("""COMPUTED_VALUE"""),"--")</f>
        <v>--</v>
      </c>
      <c r="F136" s="103" t="str">
        <f>IFERROR(__xludf.DUMMYFUNCTION("""COMPUTED_VALUE"""),"4.1-8.0")</f>
        <v>4.1-8.0</v>
      </c>
      <c r="G136" s="104">
        <f>IFERROR(__xludf.DUMMYFUNCTION("""COMPUTED_VALUE"""),0.0)</f>
        <v>0</v>
      </c>
      <c r="H136" s="104">
        <f>IFERROR(__xludf.DUMMYFUNCTION("""COMPUTED_VALUE"""),21.7)</f>
        <v>21.7</v>
      </c>
      <c r="I136" s="104">
        <f>IFERROR(__xludf.DUMMYFUNCTION("""COMPUTED_VALUE"""),0.0)</f>
        <v>0</v>
      </c>
      <c r="J136" s="104">
        <f>IFERROR(__xludf.DUMMYFUNCTION("""COMPUTED_VALUE"""),0.9)</f>
        <v>0.9</v>
      </c>
      <c r="K136" s="104">
        <f>IFERROR(__xludf.DUMMYFUNCTION("""COMPUTED_VALUE"""),0.0)</f>
        <v>0</v>
      </c>
      <c r="L136" s="104">
        <f>IFERROR(__xludf.DUMMYFUNCTION("""COMPUTED_VALUE"""),0.0)</f>
        <v>0</v>
      </c>
      <c r="M136" s="104">
        <f>IFERROR(__xludf.DUMMYFUNCTION("""COMPUTED_VALUE"""),0.0)</f>
        <v>0</v>
      </c>
      <c r="N136" s="103" t="str">
        <f>IFERROR(__xludf.DUMMYFUNCTION("""COMPUTED_VALUE"""),"UTEP Miners")</f>
        <v>UTEP Miners</v>
      </c>
      <c r="O136" s="103" t="str">
        <f>IFERROR(__xludf.DUMMYFUNCTION("""COMPUTED_VALUE"""),"Mountain West")</f>
        <v>Mountain West</v>
      </c>
      <c r="P136" s="106">
        <f>IFERROR(__xludf.DUMMYFUNCTION("if(F136="""","""",indeX(split(F136,""-""),1)-J136/100)"),4.090999999999999)</f>
        <v>4.091</v>
      </c>
      <c r="Q136" s="106"/>
    </row>
    <row r="137">
      <c r="B137" s="147" t="str">
        <f>IFERROR(__xludf.DUMMYFUNCTION("""COMPUTED_VALUE"""),"0-0")</f>
        <v>0-0</v>
      </c>
      <c r="C137" s="104">
        <f>IFERROR(__xludf.DUMMYFUNCTION("""COMPUTED_VALUE"""),-16.9)</f>
        <v>-16.9</v>
      </c>
      <c r="D137" s="104">
        <f>IFERROR(__xludf.DUMMYFUNCTION("""COMPUTED_VALUE"""),133.0)</f>
        <v>133</v>
      </c>
      <c r="E137" s="103" t="str">
        <f>IFERROR(__xludf.DUMMYFUNCTION("""COMPUTED_VALUE"""),"--")</f>
        <v>--</v>
      </c>
      <c r="F137" s="103" t="str">
        <f>IFERROR(__xludf.DUMMYFUNCTION("""COMPUTED_VALUE"""),"4.4-7.7")</f>
        <v>4.4-7.7</v>
      </c>
      <c r="G137" s="104">
        <f>IFERROR(__xludf.DUMMYFUNCTION("""COMPUTED_VALUE"""),0.0)</f>
        <v>0</v>
      </c>
      <c r="H137" s="104">
        <f>IFERROR(__xludf.DUMMYFUNCTION("""COMPUTED_VALUE"""),26.9)</f>
        <v>26.9</v>
      </c>
      <c r="I137" s="104">
        <f>IFERROR(__xludf.DUMMYFUNCTION("""COMPUTED_VALUE"""),0.0)</f>
        <v>0</v>
      </c>
      <c r="J137" s="104">
        <f>IFERROR(__xludf.DUMMYFUNCTION("""COMPUTED_VALUE"""),1.6)</f>
        <v>1.6</v>
      </c>
      <c r="K137" s="104">
        <f>IFERROR(__xludf.DUMMYFUNCTION("""COMPUTED_VALUE"""),0.0)</f>
        <v>0</v>
      </c>
      <c r="L137" s="104">
        <f>IFERROR(__xludf.DUMMYFUNCTION("""COMPUTED_VALUE"""),0.0)</f>
        <v>0</v>
      </c>
      <c r="M137" s="104">
        <f>IFERROR(__xludf.DUMMYFUNCTION("""COMPUTED_VALUE"""),0.0)</f>
        <v>0</v>
      </c>
      <c r="N137" s="103" t="str">
        <f>IFERROR(__xludf.DUMMYFUNCTION("""COMPUTED_VALUE"""),"Akron Zips")</f>
        <v>Akron Zips</v>
      </c>
      <c r="O137" s="103" t="str">
        <f>IFERROR(__xludf.DUMMYFUNCTION("""COMPUTED_VALUE"""),"MAC")</f>
        <v>MAC</v>
      </c>
      <c r="P137" s="106">
        <f>IFERROR(__xludf.DUMMYFUNCTION("if(F137="""","""",indeX(split(F137,""-""),1)-J137/100)"),4.384)</f>
        <v>4.384</v>
      </c>
      <c r="Q137" s="106"/>
    </row>
    <row r="138">
      <c r="B138" s="147" t="str">
        <f>IFERROR(__xludf.DUMMYFUNCTION("""COMPUTED_VALUE"""),"0-0")</f>
        <v>0-0</v>
      </c>
      <c r="C138" s="104">
        <f>IFERROR(__xludf.DUMMYFUNCTION("""COMPUTED_VALUE"""),-17.3)</f>
        <v>-17.3</v>
      </c>
      <c r="D138" s="104">
        <f>IFERROR(__xludf.DUMMYFUNCTION("""COMPUTED_VALUE"""),134.0)</f>
        <v>134</v>
      </c>
      <c r="E138" s="103" t="str">
        <f>IFERROR(__xludf.DUMMYFUNCTION("""COMPUTED_VALUE"""),"--")</f>
        <v>--</v>
      </c>
      <c r="F138" s="103" t="str">
        <f>IFERROR(__xludf.DUMMYFUNCTION("""COMPUTED_VALUE"""),"4.2-7.8")</f>
        <v>4.2-7.8</v>
      </c>
      <c r="G138" s="104">
        <f>IFERROR(__xludf.DUMMYFUNCTION("""COMPUTED_VALUE"""),0.0)</f>
        <v>0</v>
      </c>
      <c r="H138" s="104">
        <f>IFERROR(__xludf.DUMMYFUNCTION("""COMPUTED_VALUE"""),25.3)</f>
        <v>25.3</v>
      </c>
      <c r="I138" s="104">
        <f>IFERROR(__xludf.DUMMYFUNCTION("""COMPUTED_VALUE"""),0.0)</f>
        <v>0</v>
      </c>
      <c r="J138" s="104">
        <f>IFERROR(__xludf.DUMMYFUNCTION("""COMPUTED_VALUE"""),1.3)</f>
        <v>1.3</v>
      </c>
      <c r="K138" s="104">
        <f>IFERROR(__xludf.DUMMYFUNCTION("""COMPUTED_VALUE"""),0.1)</f>
        <v>0.1</v>
      </c>
      <c r="L138" s="104">
        <f>IFERROR(__xludf.DUMMYFUNCTION("""COMPUTED_VALUE"""),0.0)</f>
        <v>0</v>
      </c>
      <c r="M138" s="104">
        <f>IFERROR(__xludf.DUMMYFUNCTION("""COMPUTED_VALUE"""),0.0)</f>
        <v>0</v>
      </c>
      <c r="N138" s="103" t="str">
        <f>IFERROR(__xludf.DUMMYFUNCTION("""COMPUTED_VALUE"""),"Ball State Cardinals")</f>
        <v>Ball State Cardinals</v>
      </c>
      <c r="O138" s="103" t="str">
        <f>IFERROR(__xludf.DUMMYFUNCTION("""COMPUTED_VALUE"""),"MAC")</f>
        <v>MAC</v>
      </c>
      <c r="P138" s="106"/>
      <c r="Q138" s="106"/>
    </row>
    <row r="139">
      <c r="B139" s="147" t="str">
        <f>IFERROR(__xludf.DUMMYFUNCTION("""COMPUTED_VALUE"""),"0-0")</f>
        <v>0-0</v>
      </c>
      <c r="C139" s="104">
        <f>IFERROR(__xludf.DUMMYFUNCTION("""COMPUTED_VALUE"""),-17.9)</f>
        <v>-17.9</v>
      </c>
      <c r="D139" s="104">
        <f>IFERROR(__xludf.DUMMYFUNCTION("""COMPUTED_VALUE"""),135.0)</f>
        <v>135</v>
      </c>
      <c r="E139" s="103" t="str">
        <f>IFERROR(__xludf.DUMMYFUNCTION("""COMPUTED_VALUE"""),"--")</f>
        <v>--</v>
      </c>
      <c r="F139" s="103" t="str">
        <f>IFERROR(__xludf.DUMMYFUNCTION("""COMPUTED_VALUE"""),"3.8-8.3")</f>
        <v>3.8-8.3</v>
      </c>
      <c r="G139" s="104">
        <f>IFERROR(__xludf.DUMMYFUNCTION("""COMPUTED_VALUE"""),0.0)</f>
        <v>0</v>
      </c>
      <c r="H139" s="104">
        <f>IFERROR(__xludf.DUMMYFUNCTION("""COMPUTED_VALUE"""),17.4)</f>
        <v>17.4</v>
      </c>
      <c r="I139" s="104">
        <f>IFERROR(__xludf.DUMMYFUNCTION("""COMPUTED_VALUE"""),0.0)</f>
        <v>0</v>
      </c>
      <c r="J139" s="104">
        <f>IFERROR(__xludf.DUMMYFUNCTION("""COMPUTED_VALUE"""),0.9)</f>
        <v>0.9</v>
      </c>
      <c r="K139" s="104">
        <f>IFERROR(__xludf.DUMMYFUNCTION("""COMPUTED_VALUE"""),0.0)</f>
        <v>0</v>
      </c>
      <c r="L139" s="104">
        <f>IFERROR(__xludf.DUMMYFUNCTION("""COMPUTED_VALUE"""),0.0)</f>
        <v>0</v>
      </c>
      <c r="M139" s="104">
        <f>IFERROR(__xludf.DUMMYFUNCTION("""COMPUTED_VALUE"""),0.0)</f>
        <v>0</v>
      </c>
      <c r="N139" s="103" t="str">
        <f>IFERROR(__xludf.DUMMYFUNCTION("""COMPUTED_VALUE"""),"Kent State Golden Flashes")</f>
        <v>Kent State Golden Flashes</v>
      </c>
      <c r="O139" s="103" t="str">
        <f>IFERROR(__xludf.DUMMYFUNCTION("""COMPUTED_VALUE"""),"MAC")</f>
        <v>MAC</v>
      </c>
      <c r="P139" s="106"/>
      <c r="Q139" s="106"/>
    </row>
    <row r="140">
      <c r="B140" s="147" t="str">
        <f>IFERROR(__xludf.DUMMYFUNCTION("""COMPUTED_VALUE"""),"0-0")</f>
        <v>0-0</v>
      </c>
      <c r="C140" s="104">
        <f>IFERROR(__xludf.DUMMYFUNCTION("""COMPUTED_VALUE"""),-18.4)</f>
        <v>-18.4</v>
      </c>
      <c r="D140" s="104">
        <f>IFERROR(__xludf.DUMMYFUNCTION("""COMPUTED_VALUE"""),136.0)</f>
        <v>136</v>
      </c>
      <c r="E140" s="103" t="str">
        <f>IFERROR(__xludf.DUMMYFUNCTION("""COMPUTED_VALUE"""),"--")</f>
        <v>--</v>
      </c>
      <c r="F140" s="103" t="str">
        <f>IFERROR(__xludf.DUMMYFUNCTION("""COMPUTED_VALUE"""),"3.9-8.2")</f>
        <v>3.9-8.2</v>
      </c>
      <c r="G140" s="104">
        <f>IFERROR(__xludf.DUMMYFUNCTION("""COMPUTED_VALUE"""),0.0)</f>
        <v>0</v>
      </c>
      <c r="H140" s="104">
        <f>IFERROR(__xludf.DUMMYFUNCTION("""COMPUTED_VALUE"""),20.4)</f>
        <v>20.4</v>
      </c>
      <c r="I140" s="104">
        <f>IFERROR(__xludf.DUMMYFUNCTION("""COMPUTED_VALUE"""),0.0)</f>
        <v>0</v>
      </c>
      <c r="J140" s="104">
        <f>IFERROR(__xludf.DUMMYFUNCTION("""COMPUTED_VALUE"""),1.2)</f>
        <v>1.2</v>
      </c>
      <c r="K140" s="104">
        <f>IFERROR(__xludf.DUMMYFUNCTION("""COMPUTED_VALUE"""),0.0)</f>
        <v>0</v>
      </c>
      <c r="L140" s="104">
        <f>IFERROR(__xludf.DUMMYFUNCTION("""COMPUTED_VALUE"""),0.0)</f>
        <v>0</v>
      </c>
      <c r="M140" s="104">
        <f>IFERROR(__xludf.DUMMYFUNCTION("""COMPUTED_VALUE"""),0.0)</f>
        <v>0</v>
      </c>
      <c r="N140" s="103" t="str">
        <f>IFERROR(__xludf.DUMMYFUNCTION("""COMPUTED_VALUE"""),"Sam Houston Bearkats")</f>
        <v>Sam Houston Bearkats</v>
      </c>
      <c r="O140" s="103" t="str">
        <f>IFERROR(__xludf.DUMMYFUNCTION("""COMPUTED_VALUE"""),"CUSA")</f>
        <v>CUSA</v>
      </c>
      <c r="P140" s="106"/>
      <c r="Q140" s="106"/>
    </row>
    <row r="141">
      <c r="B141" s="147" t="str">
        <f>IFERROR(__xludf.DUMMYFUNCTION("""COMPUTED_VALUE"""),"0-0")</f>
        <v>0-0</v>
      </c>
      <c r="C141" s="104">
        <f>IFERROR(__xludf.DUMMYFUNCTION("""COMPUTED_VALUE"""),-18.8)</f>
        <v>-18.8</v>
      </c>
      <c r="D141" s="104">
        <f>IFERROR(__xludf.DUMMYFUNCTION("""COMPUTED_VALUE"""),137.0)</f>
        <v>137</v>
      </c>
      <c r="E141" s="103" t="str">
        <f>IFERROR(__xludf.DUMMYFUNCTION("""COMPUTED_VALUE"""),"--")</f>
        <v>--</v>
      </c>
      <c r="F141" s="103" t="str">
        <f>IFERROR(__xludf.DUMMYFUNCTION("""COMPUTED_VALUE"""),"4.9-7.1")</f>
        <v>4.9-7.1</v>
      </c>
      <c r="G141" s="104">
        <f>IFERROR(__xludf.DUMMYFUNCTION("""COMPUTED_VALUE"""),0.0)</f>
        <v>0</v>
      </c>
      <c r="H141" s="104">
        <f>IFERROR(__xludf.DUMMYFUNCTION("""COMPUTED_VALUE"""),35.5)</f>
        <v>35.5</v>
      </c>
      <c r="I141" s="104">
        <f>IFERROR(__xludf.DUMMYFUNCTION("""COMPUTED_VALUE"""),0.0)</f>
        <v>0</v>
      </c>
      <c r="J141" s="104">
        <f>IFERROR(__xludf.DUMMYFUNCTION("""COMPUTED_VALUE"""),0.7)</f>
        <v>0.7</v>
      </c>
      <c r="K141" s="104">
        <f>IFERROR(__xludf.DUMMYFUNCTION("""COMPUTED_VALUE"""),0.0)</f>
        <v>0</v>
      </c>
      <c r="L141" s="104">
        <f>IFERROR(__xludf.DUMMYFUNCTION("""COMPUTED_VALUE"""),0.0)</f>
        <v>0</v>
      </c>
      <c r="M141" s="104">
        <f>IFERROR(__xludf.DUMMYFUNCTION("""COMPUTED_VALUE"""),0.0)</f>
        <v>0</v>
      </c>
      <c r="N141" s="103" t="str">
        <f>IFERROR(__xludf.DUMMYFUNCTION("""COMPUTED_VALUE"""),"Massachusetts Minutemen")</f>
        <v>Massachusetts Minutemen</v>
      </c>
      <c r="O141" s="103" t="str">
        <f>IFERROR(__xludf.DUMMYFUNCTION("""COMPUTED_VALUE"""),"MAC")</f>
        <v>MAC</v>
      </c>
      <c r="P141" s="106"/>
      <c r="Q141" s="106"/>
    </row>
    <row r="142">
      <c r="B142" s="147" t="str">
        <f>IFERROR(__xludf.DUMMYFUNCTION("""COMPUTED_VALUE"""),"0-0")</f>
        <v>0-0</v>
      </c>
      <c r="C142" s="104">
        <f>IFERROR(__xludf.DUMMYFUNCTION("""COMPUTED_VALUE"""),-19.3)</f>
        <v>-19.3</v>
      </c>
      <c r="D142" s="104">
        <f>IFERROR(__xludf.DUMMYFUNCTION("""COMPUTED_VALUE"""),138.0)</f>
        <v>138</v>
      </c>
      <c r="E142" s="103" t="str">
        <f>IFERROR(__xludf.DUMMYFUNCTION("""COMPUTED_VALUE"""),"--")</f>
        <v>--</v>
      </c>
      <c r="F142" s="103" t="str">
        <f>IFERROR(__xludf.DUMMYFUNCTION("""COMPUTED_VALUE"""),"3.4-8.6")</f>
        <v>3.4-8.6</v>
      </c>
      <c r="G142" s="104">
        <f>IFERROR(__xludf.DUMMYFUNCTION("""COMPUTED_VALUE"""),0.0)</f>
        <v>0</v>
      </c>
      <c r="H142" s="104">
        <f>IFERROR(__xludf.DUMMYFUNCTION("""COMPUTED_VALUE"""),15.2)</f>
        <v>15.2</v>
      </c>
      <c r="I142" s="104">
        <f>IFERROR(__xludf.DUMMYFUNCTION("""COMPUTED_VALUE"""),1.5)</f>
        <v>1.5</v>
      </c>
      <c r="J142" s="104">
        <f>IFERROR(__xludf.DUMMYFUNCTION("""COMPUTED_VALUE"""),0.4)</f>
        <v>0.4</v>
      </c>
      <c r="K142" s="104">
        <f>IFERROR(__xludf.DUMMYFUNCTION("""COMPUTED_VALUE"""),0.0)</f>
        <v>0</v>
      </c>
      <c r="L142" s="104">
        <f>IFERROR(__xludf.DUMMYFUNCTION("""COMPUTED_VALUE"""),0.0)</f>
        <v>0</v>
      </c>
      <c r="M142" s="104">
        <f>IFERROR(__xludf.DUMMYFUNCTION("""COMPUTED_VALUE"""),0.0)</f>
        <v>0</v>
      </c>
      <c r="N142" s="103" t="str">
        <f>IFERROR(__xludf.DUMMYFUNCTION("""COMPUTED_VALUE"""),"UL Monroe Warhawks")</f>
        <v>UL Monroe Warhawks</v>
      </c>
      <c r="O142" s="103" t="str">
        <f>IFERROR(__xludf.DUMMYFUNCTION("""COMPUTED_VALUE"""),"Sun Belt")</f>
        <v>Sun Belt</v>
      </c>
      <c r="P142" s="106"/>
      <c r="Q142" s="106"/>
    </row>
    <row r="143">
      <c r="B143" s="147"/>
      <c r="C143" s="104"/>
      <c r="D143" s="104"/>
      <c r="E143" s="103"/>
      <c r="F143" s="103"/>
      <c r="G143" s="104"/>
      <c r="H143" s="104"/>
      <c r="I143" s="104"/>
      <c r="J143" s="104"/>
      <c r="K143" s="104"/>
      <c r="L143" s="104"/>
      <c r="M143" s="104"/>
      <c r="N143" s="103"/>
      <c r="O143" s="103"/>
      <c r="P143" s="106"/>
      <c r="Q143" s="106"/>
    </row>
    <row r="144">
      <c r="B144" s="147"/>
      <c r="C144" s="104"/>
      <c r="D144" s="104"/>
      <c r="E144" s="103"/>
      <c r="F144" s="103"/>
      <c r="G144" s="104"/>
      <c r="H144" s="104"/>
      <c r="I144" s="104"/>
      <c r="J144" s="104"/>
      <c r="K144" s="104"/>
      <c r="L144" s="104"/>
      <c r="M144" s="104"/>
      <c r="N144" s="103"/>
      <c r="O144" s="103"/>
      <c r="P144" s="106"/>
      <c r="Q144" s="106"/>
    </row>
    <row r="145">
      <c r="B145" s="147"/>
      <c r="C145" s="104"/>
      <c r="D145" s="104"/>
      <c r="E145" s="103"/>
      <c r="F145" s="103"/>
      <c r="G145" s="104"/>
      <c r="H145" s="104"/>
      <c r="I145" s="104"/>
      <c r="J145" s="104"/>
      <c r="K145" s="104"/>
      <c r="L145" s="104"/>
      <c r="M145" s="104"/>
      <c r="N145" s="103"/>
      <c r="O145" s="103"/>
      <c r="P145" s="106"/>
      <c r="Q145" s="106"/>
    </row>
    <row r="146">
      <c r="B146" s="147"/>
      <c r="C146" s="104"/>
      <c r="D146" s="104"/>
      <c r="E146" s="103"/>
      <c r="F146" s="103"/>
      <c r="G146" s="104"/>
      <c r="H146" s="104"/>
      <c r="I146" s="104"/>
      <c r="J146" s="104"/>
      <c r="K146" s="104"/>
      <c r="L146" s="104"/>
      <c r="M146" s="104"/>
      <c r="N146" s="103"/>
      <c r="O146" s="103"/>
      <c r="P146" s="106"/>
      <c r="Q146" s="106"/>
    </row>
    <row r="147">
      <c r="B147" s="147"/>
      <c r="C147" s="104"/>
      <c r="D147" s="104"/>
      <c r="E147" s="103"/>
      <c r="F147" s="103"/>
      <c r="G147" s="104"/>
      <c r="H147" s="104"/>
      <c r="I147" s="104"/>
      <c r="J147" s="104"/>
      <c r="K147" s="104"/>
      <c r="L147" s="104"/>
      <c r="M147" s="104"/>
      <c r="N147" s="103"/>
      <c r="O147" s="103"/>
      <c r="P147" s="106"/>
      <c r="Q147" s="106"/>
    </row>
    <row r="148">
      <c r="B148" s="147"/>
      <c r="C148" s="104"/>
      <c r="D148" s="104"/>
      <c r="E148" s="103"/>
      <c r="F148" s="103"/>
      <c r="G148" s="104"/>
      <c r="H148" s="104"/>
      <c r="I148" s="104"/>
      <c r="J148" s="104"/>
      <c r="K148" s="104"/>
      <c r="L148" s="104"/>
      <c r="M148" s="104"/>
      <c r="N148" s="103"/>
      <c r="O148" s="103"/>
      <c r="P148" s="106"/>
      <c r="Q148" s="106"/>
    </row>
    <row r="149">
      <c r="B149" s="147"/>
      <c r="C149" s="104"/>
      <c r="D149" s="104"/>
      <c r="E149" s="103"/>
      <c r="F149" s="103"/>
      <c r="G149" s="104"/>
      <c r="H149" s="104"/>
      <c r="I149" s="104"/>
      <c r="J149" s="104"/>
      <c r="K149" s="104"/>
      <c r="L149" s="104"/>
      <c r="M149" s="104"/>
      <c r="N149" s="103"/>
      <c r="O149" s="103"/>
      <c r="P149" s="106"/>
      <c r="Q149" s="106"/>
    </row>
    <row r="150">
      <c r="B150" s="147"/>
      <c r="C150" s="104"/>
      <c r="D150" s="104"/>
      <c r="E150" s="103"/>
      <c r="F150" s="103"/>
      <c r="G150" s="104"/>
      <c r="H150" s="104"/>
      <c r="I150" s="104"/>
      <c r="J150" s="104"/>
      <c r="K150" s="104"/>
      <c r="L150" s="104"/>
      <c r="M150" s="104"/>
      <c r="N150" s="103"/>
      <c r="O150" s="103"/>
      <c r="P150" s="106"/>
      <c r="Q150" s="106"/>
    </row>
    <row r="151">
      <c r="B151" s="147"/>
      <c r="C151" s="104"/>
      <c r="D151" s="104"/>
      <c r="E151" s="103"/>
      <c r="F151" s="103"/>
      <c r="G151" s="104"/>
      <c r="H151" s="104"/>
      <c r="I151" s="104"/>
      <c r="J151" s="104"/>
      <c r="K151" s="104"/>
      <c r="L151" s="104"/>
      <c r="M151" s="104"/>
      <c r="N151" s="103"/>
      <c r="O151" s="103"/>
      <c r="P151" s="106"/>
      <c r="Q151" s="106"/>
    </row>
    <row r="152">
      <c r="B152" s="147"/>
      <c r="C152" s="104"/>
      <c r="D152" s="104"/>
      <c r="E152" s="103"/>
      <c r="F152" s="103"/>
      <c r="G152" s="104"/>
      <c r="H152" s="104"/>
      <c r="I152" s="104"/>
      <c r="J152" s="104"/>
      <c r="K152" s="104"/>
      <c r="L152" s="104"/>
      <c r="M152" s="104"/>
      <c r="N152" s="103"/>
      <c r="O152" s="103"/>
      <c r="P152" s="106"/>
      <c r="Q152" s="106"/>
    </row>
    <row r="153">
      <c r="B153" s="147"/>
      <c r="C153" s="104"/>
      <c r="D153" s="104"/>
      <c r="E153" s="103"/>
      <c r="F153" s="103"/>
      <c r="G153" s="104"/>
      <c r="H153" s="104"/>
      <c r="I153" s="104"/>
      <c r="J153" s="104"/>
      <c r="K153" s="104"/>
      <c r="L153" s="104"/>
      <c r="M153" s="104"/>
      <c r="N153" s="103"/>
      <c r="O153" s="103"/>
      <c r="P153" s="106"/>
      <c r="Q153" s="106"/>
    </row>
    <row r="154">
      <c r="B154" s="147"/>
      <c r="C154" s="104"/>
      <c r="D154" s="104"/>
      <c r="E154" s="103"/>
      <c r="F154" s="103"/>
      <c r="G154" s="104"/>
      <c r="H154" s="104"/>
      <c r="I154" s="104"/>
      <c r="J154" s="104"/>
      <c r="K154" s="104"/>
      <c r="L154" s="104"/>
      <c r="M154" s="104"/>
      <c r="N154" s="103"/>
      <c r="O154" s="103"/>
      <c r="P154" s="106"/>
      <c r="Q154" s="106"/>
    </row>
    <row r="155">
      <c r="B155" s="147"/>
      <c r="C155" s="104"/>
      <c r="D155" s="104"/>
      <c r="E155" s="103"/>
      <c r="F155" s="103"/>
      <c r="G155" s="104"/>
      <c r="H155" s="104"/>
      <c r="I155" s="104"/>
      <c r="J155" s="104"/>
      <c r="K155" s="104"/>
      <c r="L155" s="104"/>
      <c r="M155" s="104"/>
      <c r="N155" s="103"/>
      <c r="O155" s="103"/>
      <c r="P155" s="106"/>
      <c r="Q155" s="106"/>
    </row>
    <row r="156">
      <c r="B156" s="147"/>
      <c r="C156" s="104"/>
      <c r="D156" s="104"/>
      <c r="E156" s="103"/>
      <c r="F156" s="103"/>
      <c r="G156" s="104"/>
      <c r="H156" s="104"/>
      <c r="I156" s="104"/>
      <c r="J156" s="104"/>
      <c r="K156" s="104"/>
      <c r="L156" s="104"/>
      <c r="M156" s="104"/>
      <c r="N156" s="103"/>
      <c r="O156" s="103"/>
      <c r="P156" s="106"/>
      <c r="Q156" s="106"/>
    </row>
    <row r="157">
      <c r="B157" s="147"/>
      <c r="C157" s="104"/>
      <c r="D157" s="104"/>
      <c r="E157" s="103"/>
      <c r="F157" s="103"/>
      <c r="G157" s="104"/>
      <c r="H157" s="104"/>
      <c r="I157" s="104"/>
      <c r="J157" s="104"/>
      <c r="K157" s="104"/>
      <c r="L157" s="104"/>
      <c r="M157" s="104"/>
      <c r="N157" s="103"/>
      <c r="O157" s="103"/>
      <c r="P157" s="106"/>
      <c r="Q157" s="106"/>
    </row>
    <row r="158">
      <c r="B158" s="147"/>
      <c r="C158" s="104"/>
      <c r="D158" s="104"/>
      <c r="E158" s="103"/>
      <c r="F158" s="103"/>
      <c r="G158" s="104"/>
      <c r="H158" s="104"/>
      <c r="I158" s="104"/>
      <c r="J158" s="104"/>
      <c r="K158" s="104"/>
      <c r="L158" s="104"/>
      <c r="M158" s="104"/>
      <c r="N158" s="103"/>
      <c r="O158" s="103"/>
      <c r="P158" s="106"/>
      <c r="Q158" s="106"/>
    </row>
    <row r="159">
      <c r="B159" s="147"/>
      <c r="C159" s="104"/>
      <c r="D159" s="104"/>
      <c r="E159" s="103"/>
      <c r="F159" s="103"/>
      <c r="G159" s="104"/>
      <c r="H159" s="104"/>
      <c r="I159" s="104"/>
      <c r="J159" s="104"/>
      <c r="K159" s="104"/>
      <c r="L159" s="104"/>
      <c r="M159" s="104"/>
      <c r="N159" s="103"/>
      <c r="O159" s="103"/>
      <c r="P159" s="106"/>
      <c r="Q159" s="106"/>
    </row>
    <row r="160">
      <c r="B160" s="147"/>
      <c r="C160" s="104"/>
      <c r="D160" s="104"/>
      <c r="E160" s="103"/>
      <c r="F160" s="103"/>
      <c r="G160" s="104"/>
      <c r="H160" s="104"/>
      <c r="I160" s="104"/>
      <c r="J160" s="104"/>
      <c r="K160" s="104"/>
      <c r="L160" s="104"/>
      <c r="M160" s="104"/>
      <c r="N160" s="103"/>
      <c r="O160" s="103"/>
      <c r="P160" s="106"/>
      <c r="Q160" s="106"/>
    </row>
    <row r="161">
      <c r="B161" s="147"/>
      <c r="C161" s="104"/>
      <c r="D161" s="104"/>
      <c r="E161" s="103"/>
      <c r="F161" s="103"/>
      <c r="G161" s="104"/>
      <c r="H161" s="104"/>
      <c r="I161" s="104"/>
      <c r="J161" s="104"/>
      <c r="K161" s="104"/>
      <c r="L161" s="104"/>
      <c r="M161" s="104"/>
      <c r="N161" s="103"/>
      <c r="O161" s="103"/>
      <c r="P161" s="106"/>
      <c r="Q161" s="106"/>
    </row>
    <row r="162">
      <c r="B162" s="147"/>
      <c r="C162" s="104"/>
      <c r="D162" s="104"/>
      <c r="E162" s="103"/>
      <c r="F162" s="103"/>
      <c r="G162" s="104"/>
      <c r="H162" s="104"/>
      <c r="I162" s="104"/>
      <c r="J162" s="104"/>
      <c r="K162" s="104"/>
      <c r="L162" s="104"/>
      <c r="M162" s="104"/>
      <c r="N162" s="103"/>
      <c r="O162" s="103"/>
      <c r="P162" s="106"/>
      <c r="Q162" s="106"/>
    </row>
    <row r="163">
      <c r="B163" s="147"/>
      <c r="C163" s="104"/>
      <c r="D163" s="104"/>
      <c r="E163" s="103"/>
      <c r="F163" s="103"/>
      <c r="G163" s="104"/>
      <c r="H163" s="104"/>
      <c r="I163" s="104"/>
      <c r="J163" s="104"/>
      <c r="K163" s="104"/>
      <c r="L163" s="104"/>
      <c r="M163" s="104"/>
      <c r="N163" s="103"/>
      <c r="O163" s="103"/>
      <c r="P163" s="106"/>
      <c r="Q163" s="106"/>
    </row>
    <row r="164">
      <c r="B164" s="147"/>
      <c r="C164" s="104"/>
      <c r="D164" s="104"/>
      <c r="E164" s="103"/>
      <c r="F164" s="103"/>
      <c r="G164" s="104"/>
      <c r="H164" s="104"/>
      <c r="I164" s="104"/>
      <c r="J164" s="104"/>
      <c r="K164" s="104"/>
      <c r="L164" s="104"/>
      <c r="M164" s="104"/>
      <c r="N164" s="103"/>
      <c r="O164" s="103"/>
      <c r="P164" s="106"/>
      <c r="Q164" s="106"/>
    </row>
    <row r="165">
      <c r="B165" s="147"/>
      <c r="C165" s="104"/>
      <c r="D165" s="104"/>
      <c r="E165" s="103"/>
      <c r="F165" s="103"/>
      <c r="G165" s="104"/>
      <c r="H165" s="104"/>
      <c r="I165" s="104"/>
      <c r="J165" s="104"/>
      <c r="K165" s="104"/>
      <c r="L165" s="104"/>
      <c r="M165" s="104"/>
      <c r="N165" s="103"/>
      <c r="O165" s="103"/>
      <c r="P165" s="106"/>
      <c r="Q165" s="106"/>
    </row>
    <row r="166">
      <c r="B166" s="147"/>
      <c r="C166" s="104"/>
      <c r="D166" s="104"/>
      <c r="E166" s="103"/>
      <c r="F166" s="103"/>
      <c r="G166" s="104"/>
      <c r="H166" s="104"/>
      <c r="I166" s="104"/>
      <c r="J166" s="104"/>
      <c r="K166" s="104"/>
      <c r="L166" s="104"/>
      <c r="M166" s="104"/>
      <c r="N166" s="103"/>
      <c r="O166" s="103"/>
      <c r="P166" s="106"/>
      <c r="Q166" s="106"/>
    </row>
    <row r="167">
      <c r="B167" s="147"/>
      <c r="C167" s="104"/>
      <c r="D167" s="104"/>
      <c r="E167" s="103"/>
      <c r="F167" s="103"/>
      <c r="G167" s="104"/>
      <c r="H167" s="104"/>
      <c r="I167" s="104"/>
      <c r="J167" s="104"/>
      <c r="K167" s="104"/>
      <c r="L167" s="104"/>
      <c r="M167" s="104"/>
      <c r="N167" s="103"/>
      <c r="O167" s="103"/>
      <c r="P167" s="106"/>
      <c r="Q167" s="106"/>
    </row>
    <row r="168">
      <c r="B168" s="147"/>
      <c r="C168" s="104"/>
      <c r="D168" s="104"/>
      <c r="E168" s="103"/>
      <c r="F168" s="103"/>
      <c r="G168" s="104"/>
      <c r="H168" s="104"/>
      <c r="I168" s="104"/>
      <c r="J168" s="104"/>
      <c r="K168" s="104"/>
      <c r="L168" s="104"/>
      <c r="M168" s="104"/>
      <c r="N168" s="103"/>
      <c r="O168" s="103"/>
      <c r="P168" s="106"/>
      <c r="Q168" s="106"/>
    </row>
    <row r="169">
      <c r="B169" s="147"/>
      <c r="C169" s="104"/>
      <c r="D169" s="104"/>
      <c r="E169" s="103"/>
      <c r="F169" s="103"/>
      <c r="G169" s="104"/>
      <c r="H169" s="104"/>
      <c r="I169" s="104"/>
      <c r="J169" s="104"/>
      <c r="K169" s="104"/>
      <c r="L169" s="104"/>
      <c r="M169" s="104"/>
      <c r="N169" s="103"/>
      <c r="O169" s="103"/>
      <c r="P169" s="106"/>
      <c r="Q169" s="106"/>
    </row>
    <row r="170">
      <c r="B170" s="147"/>
      <c r="C170" s="104"/>
      <c r="D170" s="104"/>
      <c r="E170" s="103"/>
      <c r="F170" s="103"/>
      <c r="G170" s="104"/>
      <c r="H170" s="104"/>
      <c r="I170" s="104"/>
      <c r="J170" s="104"/>
      <c r="K170" s="104"/>
      <c r="L170" s="104"/>
      <c r="M170" s="104"/>
      <c r="N170" s="103"/>
      <c r="O170" s="103"/>
      <c r="P170" s="106"/>
      <c r="Q170" s="106"/>
    </row>
    <row r="171">
      <c r="B171" s="147"/>
      <c r="C171" s="104"/>
      <c r="D171" s="104"/>
      <c r="E171" s="103"/>
      <c r="F171" s="103"/>
      <c r="G171" s="104"/>
      <c r="H171" s="104"/>
      <c r="I171" s="104"/>
      <c r="J171" s="104"/>
      <c r="K171" s="104"/>
      <c r="L171" s="104"/>
      <c r="M171" s="104"/>
      <c r="N171" s="103"/>
      <c r="O171" s="103"/>
      <c r="P171" s="106"/>
      <c r="Q171" s="106"/>
    </row>
    <row r="172">
      <c r="B172" s="147"/>
      <c r="C172" s="104"/>
      <c r="D172" s="104"/>
      <c r="E172" s="103"/>
      <c r="F172" s="103"/>
      <c r="G172" s="104"/>
      <c r="H172" s="104"/>
      <c r="I172" s="104"/>
      <c r="J172" s="104"/>
      <c r="K172" s="104"/>
      <c r="L172" s="104"/>
      <c r="M172" s="104"/>
      <c r="N172" s="103"/>
      <c r="O172" s="103"/>
      <c r="P172" s="106"/>
      <c r="Q172" s="106"/>
    </row>
    <row r="173">
      <c r="B173" s="147"/>
      <c r="C173" s="104"/>
      <c r="D173" s="104"/>
      <c r="E173" s="103"/>
      <c r="F173" s="103"/>
      <c r="G173" s="104"/>
      <c r="H173" s="104"/>
      <c r="I173" s="104"/>
      <c r="J173" s="104"/>
      <c r="K173" s="104"/>
      <c r="L173" s="104"/>
      <c r="M173" s="104"/>
      <c r="N173" s="103"/>
      <c r="O173" s="103"/>
      <c r="P173" s="106"/>
      <c r="Q173" s="106"/>
    </row>
    <row r="174">
      <c r="B174" s="147"/>
      <c r="C174" s="104"/>
      <c r="D174" s="104"/>
      <c r="E174" s="103"/>
      <c r="F174" s="103"/>
      <c r="G174" s="104"/>
      <c r="H174" s="104"/>
      <c r="I174" s="104"/>
      <c r="J174" s="104"/>
      <c r="K174" s="104"/>
      <c r="L174" s="104"/>
      <c r="M174" s="104"/>
      <c r="N174" s="103"/>
      <c r="O174" s="103"/>
      <c r="P174" s="106"/>
      <c r="Q174" s="106"/>
    </row>
    <row r="175">
      <c r="B175" s="147"/>
      <c r="C175" s="104"/>
      <c r="D175" s="104"/>
      <c r="E175" s="103"/>
      <c r="F175" s="103"/>
      <c r="G175" s="104"/>
      <c r="H175" s="104"/>
      <c r="I175" s="104"/>
      <c r="J175" s="104"/>
      <c r="K175" s="104"/>
      <c r="L175" s="104"/>
      <c r="M175" s="104"/>
      <c r="N175" s="103"/>
      <c r="O175" s="103"/>
      <c r="P175" s="106"/>
      <c r="Q175" s="106"/>
    </row>
    <row r="176">
      <c r="B176" s="147"/>
      <c r="C176" s="104"/>
      <c r="D176" s="104"/>
      <c r="E176" s="103"/>
      <c r="F176" s="103"/>
      <c r="G176" s="104"/>
      <c r="H176" s="104"/>
      <c r="I176" s="104"/>
      <c r="J176" s="104"/>
      <c r="K176" s="104"/>
      <c r="L176" s="104"/>
      <c r="M176" s="104"/>
      <c r="N176" s="103"/>
      <c r="O176" s="103"/>
      <c r="P176" s="106"/>
      <c r="Q176" s="106"/>
    </row>
    <row r="177">
      <c r="B177" s="147"/>
      <c r="C177" s="104"/>
      <c r="D177" s="104"/>
      <c r="E177" s="103"/>
      <c r="F177" s="103"/>
      <c r="G177" s="104"/>
      <c r="H177" s="104"/>
      <c r="I177" s="104"/>
      <c r="J177" s="104"/>
      <c r="K177" s="104"/>
      <c r="L177" s="104"/>
      <c r="M177" s="104"/>
      <c r="N177" s="103"/>
      <c r="O177" s="103"/>
      <c r="P177" s="106"/>
      <c r="Q177" s="106"/>
    </row>
    <row r="178">
      <c r="B178" s="147"/>
      <c r="C178" s="104"/>
      <c r="D178" s="104"/>
      <c r="E178" s="103"/>
      <c r="F178" s="103"/>
      <c r="G178" s="104"/>
      <c r="H178" s="104"/>
      <c r="I178" s="104"/>
      <c r="J178" s="104"/>
      <c r="K178" s="104"/>
      <c r="L178" s="104"/>
      <c r="M178" s="104"/>
      <c r="N178" s="103"/>
      <c r="O178" s="103"/>
      <c r="P178" s="106"/>
      <c r="Q178" s="106"/>
    </row>
    <row r="179">
      <c r="B179" s="147"/>
      <c r="C179" s="104"/>
      <c r="D179" s="104"/>
      <c r="E179" s="103"/>
      <c r="F179" s="103"/>
      <c r="G179" s="104"/>
      <c r="H179" s="104"/>
      <c r="I179" s="104"/>
      <c r="J179" s="104"/>
      <c r="K179" s="104"/>
      <c r="L179" s="104"/>
      <c r="M179" s="104"/>
      <c r="N179" s="103"/>
      <c r="O179" s="103"/>
      <c r="P179" s="106"/>
      <c r="Q179" s="106"/>
    </row>
    <row r="180">
      <c r="B180" s="147"/>
      <c r="C180" s="104"/>
      <c r="D180" s="104"/>
      <c r="E180" s="103"/>
      <c r="F180" s="103"/>
      <c r="G180" s="104"/>
      <c r="H180" s="104"/>
      <c r="I180" s="104"/>
      <c r="J180" s="104"/>
      <c r="K180" s="104"/>
      <c r="L180" s="104"/>
      <c r="M180" s="104"/>
      <c r="N180" s="103"/>
      <c r="O180" s="103"/>
      <c r="P180" s="106"/>
      <c r="Q180" s="106"/>
    </row>
    <row r="181">
      <c r="B181" s="147"/>
      <c r="C181" s="104"/>
      <c r="D181" s="104"/>
      <c r="E181" s="103"/>
      <c r="F181" s="103"/>
      <c r="G181" s="104"/>
      <c r="H181" s="104"/>
      <c r="I181" s="104"/>
      <c r="J181" s="104"/>
      <c r="K181" s="104"/>
      <c r="L181" s="104"/>
      <c r="M181" s="104"/>
      <c r="N181" s="103"/>
      <c r="O181" s="103"/>
      <c r="P181" s="106"/>
      <c r="Q181" s="106"/>
    </row>
    <row r="182">
      <c r="B182" s="147"/>
      <c r="C182" s="104"/>
      <c r="D182" s="104"/>
      <c r="E182" s="103"/>
      <c r="F182" s="103"/>
      <c r="G182" s="104"/>
      <c r="H182" s="104"/>
      <c r="I182" s="104"/>
      <c r="J182" s="104"/>
      <c r="K182" s="104"/>
      <c r="L182" s="104"/>
      <c r="M182" s="104"/>
      <c r="N182" s="103"/>
      <c r="O182" s="103"/>
      <c r="P182" s="106"/>
      <c r="Q182" s="106"/>
    </row>
    <row r="183">
      <c r="B183" s="147"/>
      <c r="C183" s="104"/>
      <c r="D183" s="104"/>
      <c r="E183" s="103"/>
      <c r="F183" s="103"/>
      <c r="G183" s="104"/>
      <c r="H183" s="104"/>
      <c r="I183" s="104"/>
      <c r="J183" s="104"/>
      <c r="K183" s="104"/>
      <c r="L183" s="104"/>
      <c r="M183" s="104"/>
      <c r="N183" s="103"/>
      <c r="O183" s="103"/>
      <c r="P183" s="106"/>
      <c r="Q183" s="106"/>
    </row>
    <row r="184">
      <c r="B184" s="147"/>
      <c r="C184" s="104"/>
      <c r="D184" s="104"/>
      <c r="E184" s="103"/>
      <c r="F184" s="103"/>
      <c r="G184" s="104"/>
      <c r="H184" s="104"/>
      <c r="I184" s="104"/>
      <c r="J184" s="104"/>
      <c r="K184" s="104"/>
      <c r="L184" s="104"/>
      <c r="M184" s="104"/>
      <c r="N184" s="103"/>
      <c r="O184" s="103"/>
      <c r="P184" s="106"/>
      <c r="Q184" s="106"/>
    </row>
    <row r="185">
      <c r="B185" s="147"/>
      <c r="C185" s="104"/>
      <c r="D185" s="104"/>
      <c r="E185" s="103"/>
      <c r="F185" s="103"/>
      <c r="G185" s="104"/>
      <c r="H185" s="104"/>
      <c r="I185" s="104"/>
      <c r="J185" s="104"/>
      <c r="K185" s="104"/>
      <c r="L185" s="104"/>
      <c r="M185" s="104"/>
      <c r="N185" s="103"/>
      <c r="O185" s="103"/>
      <c r="P185" s="106"/>
      <c r="Q185" s="106"/>
    </row>
    <row r="186">
      <c r="B186" s="147"/>
      <c r="C186" s="104"/>
      <c r="D186" s="104"/>
      <c r="E186" s="103"/>
      <c r="F186" s="103"/>
      <c r="G186" s="104"/>
      <c r="H186" s="104"/>
      <c r="I186" s="104"/>
      <c r="J186" s="104"/>
      <c r="K186" s="104"/>
      <c r="L186" s="104"/>
      <c r="M186" s="104"/>
      <c r="N186" s="103"/>
      <c r="O186" s="103"/>
      <c r="P186" s="106"/>
      <c r="Q186" s="106"/>
    </row>
    <row r="187">
      <c r="B187" s="147"/>
      <c r="C187" s="104"/>
      <c r="D187" s="104"/>
      <c r="E187" s="103"/>
      <c r="F187" s="103"/>
      <c r="G187" s="104"/>
      <c r="H187" s="104"/>
      <c r="I187" s="104"/>
      <c r="J187" s="104"/>
      <c r="K187" s="104"/>
      <c r="L187" s="104"/>
      <c r="M187" s="104"/>
      <c r="N187" s="103"/>
      <c r="O187" s="103"/>
      <c r="P187" s="106"/>
      <c r="Q187" s="106"/>
    </row>
    <row r="188">
      <c r="B188" s="147"/>
      <c r="C188" s="104"/>
      <c r="D188" s="104"/>
      <c r="E188" s="103"/>
      <c r="F188" s="103"/>
      <c r="G188" s="104"/>
      <c r="H188" s="104"/>
      <c r="I188" s="104"/>
      <c r="J188" s="104"/>
      <c r="K188" s="104"/>
      <c r="L188" s="104"/>
      <c r="M188" s="104"/>
      <c r="N188" s="103"/>
      <c r="O188" s="103"/>
      <c r="P188" s="106"/>
      <c r="Q188" s="106"/>
    </row>
    <row r="189">
      <c r="B189" s="147"/>
      <c r="C189" s="104"/>
      <c r="D189" s="104"/>
      <c r="E189" s="103"/>
      <c r="F189" s="103"/>
      <c r="G189" s="104"/>
      <c r="H189" s="104"/>
      <c r="I189" s="104"/>
      <c r="J189" s="104"/>
      <c r="K189" s="104"/>
      <c r="L189" s="104"/>
      <c r="M189" s="104"/>
      <c r="N189" s="103"/>
      <c r="O189" s="103"/>
      <c r="P189" s="106"/>
      <c r="Q189" s="106"/>
    </row>
    <row r="190">
      <c r="B190" s="147"/>
      <c r="C190" s="104"/>
      <c r="D190" s="104"/>
      <c r="E190" s="103"/>
      <c r="F190" s="103"/>
      <c r="G190" s="104"/>
      <c r="H190" s="104"/>
      <c r="I190" s="104"/>
      <c r="J190" s="104"/>
      <c r="K190" s="104"/>
      <c r="L190" s="104"/>
      <c r="M190" s="104"/>
      <c r="N190" s="103"/>
      <c r="O190" s="103"/>
      <c r="P190" s="106"/>
      <c r="Q190" s="106"/>
    </row>
    <row r="191">
      <c r="B191" s="147"/>
      <c r="C191" s="104"/>
      <c r="D191" s="104"/>
      <c r="E191" s="103"/>
      <c r="F191" s="103"/>
      <c r="G191" s="104"/>
      <c r="H191" s="104"/>
      <c r="I191" s="104"/>
      <c r="J191" s="104"/>
      <c r="K191" s="104"/>
      <c r="L191" s="104"/>
      <c r="M191" s="104"/>
      <c r="N191" s="103"/>
      <c r="O191" s="103"/>
      <c r="P191" s="106"/>
      <c r="Q191" s="106"/>
    </row>
    <row r="192">
      <c r="B192" s="147"/>
      <c r="C192" s="104"/>
      <c r="D192" s="104"/>
      <c r="E192" s="103"/>
      <c r="F192" s="103"/>
      <c r="G192" s="104"/>
      <c r="H192" s="104"/>
      <c r="I192" s="104"/>
      <c r="J192" s="104"/>
      <c r="K192" s="104"/>
      <c r="L192" s="104"/>
      <c r="M192" s="104"/>
      <c r="N192" s="103"/>
      <c r="O192" s="103"/>
      <c r="P192" s="106"/>
      <c r="Q192" s="106"/>
    </row>
    <row r="193">
      <c r="B193" s="147"/>
      <c r="C193" s="104"/>
      <c r="D193" s="104"/>
      <c r="E193" s="103"/>
      <c r="F193" s="103"/>
      <c r="G193" s="104"/>
      <c r="H193" s="104"/>
      <c r="I193" s="104"/>
      <c r="J193" s="104"/>
      <c r="K193" s="104"/>
      <c r="L193" s="104"/>
      <c r="M193" s="104"/>
      <c r="N193" s="103"/>
      <c r="O193" s="103"/>
      <c r="P193" s="106"/>
      <c r="Q193" s="106"/>
    </row>
    <row r="194">
      <c r="B194" s="147"/>
      <c r="C194" s="104"/>
      <c r="D194" s="104"/>
      <c r="E194" s="103"/>
      <c r="F194" s="103"/>
      <c r="G194" s="104"/>
      <c r="H194" s="104"/>
      <c r="I194" s="104"/>
      <c r="J194" s="104"/>
      <c r="K194" s="104"/>
      <c r="L194" s="104"/>
      <c r="M194" s="104"/>
      <c r="N194" s="103"/>
      <c r="O194" s="103"/>
      <c r="P194" s="106"/>
      <c r="Q194" s="106"/>
    </row>
    <row r="195">
      <c r="B195" s="147"/>
      <c r="C195" s="104"/>
      <c r="D195" s="104"/>
      <c r="E195" s="103"/>
      <c r="F195" s="103"/>
      <c r="G195" s="104"/>
      <c r="H195" s="104"/>
      <c r="I195" s="104"/>
      <c r="J195" s="104"/>
      <c r="K195" s="104"/>
      <c r="L195" s="104"/>
      <c r="M195" s="104"/>
      <c r="N195" s="103"/>
      <c r="O195" s="103"/>
      <c r="P195" s="106"/>
      <c r="Q195" s="106"/>
    </row>
    <row r="196">
      <c r="B196" s="147"/>
      <c r="C196" s="104"/>
      <c r="D196" s="104"/>
      <c r="E196" s="103"/>
      <c r="F196" s="103"/>
      <c r="G196" s="104"/>
      <c r="H196" s="104"/>
      <c r="I196" s="104"/>
      <c r="J196" s="104"/>
      <c r="K196" s="104"/>
      <c r="L196" s="104"/>
      <c r="M196" s="104"/>
      <c r="N196" s="103"/>
      <c r="O196" s="103"/>
      <c r="P196" s="106"/>
      <c r="Q196" s="106"/>
    </row>
    <row r="197">
      <c r="B197" s="147"/>
      <c r="C197" s="104"/>
      <c r="D197" s="104"/>
      <c r="E197" s="103"/>
      <c r="F197" s="103"/>
      <c r="G197" s="104"/>
      <c r="H197" s="104"/>
      <c r="I197" s="104"/>
      <c r="J197" s="104"/>
      <c r="K197" s="104"/>
      <c r="L197" s="104"/>
      <c r="M197" s="104"/>
      <c r="N197" s="103"/>
      <c r="O197" s="103"/>
      <c r="P197" s="106"/>
      <c r="Q197" s="106"/>
    </row>
    <row r="198">
      <c r="B198" s="147"/>
      <c r="C198" s="104"/>
      <c r="D198" s="104"/>
      <c r="E198" s="103"/>
      <c r="F198" s="103"/>
      <c r="G198" s="104"/>
      <c r="H198" s="104"/>
      <c r="I198" s="104"/>
      <c r="J198" s="104"/>
      <c r="K198" s="104"/>
      <c r="L198" s="104"/>
      <c r="M198" s="104"/>
      <c r="N198" s="103"/>
      <c r="O198" s="103"/>
      <c r="P198" s="106"/>
      <c r="Q198" s="106"/>
    </row>
    <row r="199">
      <c r="B199" s="147"/>
      <c r="C199" s="104"/>
      <c r="D199" s="104"/>
      <c r="E199" s="103"/>
      <c r="F199" s="103"/>
      <c r="G199" s="104"/>
      <c r="H199" s="104"/>
      <c r="I199" s="104"/>
      <c r="J199" s="104"/>
      <c r="K199" s="104"/>
      <c r="L199" s="104"/>
      <c r="M199" s="104"/>
      <c r="N199" s="103"/>
      <c r="O199" s="103"/>
      <c r="P199" s="106"/>
      <c r="Q199" s="106"/>
    </row>
    <row r="200">
      <c r="B200" s="147"/>
      <c r="C200" s="104"/>
      <c r="D200" s="104"/>
      <c r="E200" s="103"/>
      <c r="F200" s="103"/>
      <c r="G200" s="104"/>
      <c r="H200" s="104"/>
      <c r="I200" s="104"/>
      <c r="J200" s="104"/>
      <c r="K200" s="104"/>
      <c r="L200" s="104"/>
      <c r="M200" s="104"/>
      <c r="N200" s="103"/>
      <c r="O200" s="103"/>
      <c r="P200" s="106"/>
      <c r="Q200" s="106"/>
    </row>
    <row r="201">
      <c r="B201" s="147"/>
      <c r="C201" s="104"/>
      <c r="D201" s="104"/>
      <c r="E201" s="103"/>
      <c r="F201" s="103"/>
      <c r="G201" s="104"/>
      <c r="H201" s="104"/>
      <c r="I201" s="104"/>
      <c r="J201" s="104"/>
      <c r="K201" s="104"/>
      <c r="L201" s="104"/>
      <c r="M201" s="104"/>
      <c r="N201" s="103"/>
      <c r="O201" s="103"/>
      <c r="P201" s="106"/>
      <c r="Q201" s="106"/>
    </row>
    <row r="202">
      <c r="B202" s="147"/>
      <c r="C202" s="104"/>
      <c r="D202" s="104"/>
      <c r="E202" s="103"/>
      <c r="F202" s="103"/>
      <c r="G202" s="104"/>
      <c r="H202" s="104"/>
      <c r="I202" s="104"/>
      <c r="J202" s="104"/>
      <c r="K202" s="104"/>
      <c r="L202" s="104"/>
      <c r="M202" s="104"/>
      <c r="N202" s="103"/>
      <c r="O202" s="103"/>
      <c r="P202" s="106"/>
      <c r="Q202" s="106"/>
    </row>
    <row r="203">
      <c r="B203" s="147"/>
      <c r="C203" s="104"/>
      <c r="D203" s="104"/>
      <c r="E203" s="103"/>
      <c r="F203" s="103"/>
      <c r="G203" s="104"/>
      <c r="H203" s="104"/>
      <c r="I203" s="104"/>
      <c r="J203" s="104"/>
      <c r="K203" s="104"/>
      <c r="L203" s="104"/>
      <c r="M203" s="104"/>
      <c r="N203" s="103"/>
      <c r="O203" s="103"/>
      <c r="P203" s="106"/>
      <c r="Q203" s="106"/>
    </row>
    <row r="204">
      <c r="B204" s="147"/>
      <c r="C204" s="104"/>
      <c r="D204" s="104"/>
      <c r="E204" s="103"/>
      <c r="F204" s="103"/>
      <c r="G204" s="104"/>
      <c r="H204" s="104"/>
      <c r="I204" s="104"/>
      <c r="J204" s="104"/>
      <c r="K204" s="104"/>
      <c r="L204" s="104"/>
      <c r="M204" s="104"/>
      <c r="N204" s="103"/>
      <c r="O204" s="103"/>
      <c r="P204" s="106"/>
      <c r="Q204" s="106"/>
    </row>
    <row r="205">
      <c r="B205" s="147"/>
      <c r="C205" s="104"/>
      <c r="D205" s="104"/>
      <c r="E205" s="103"/>
      <c r="F205" s="103"/>
      <c r="G205" s="104"/>
      <c r="H205" s="104"/>
      <c r="I205" s="104"/>
      <c r="J205" s="104"/>
      <c r="K205" s="104"/>
      <c r="L205" s="104"/>
      <c r="M205" s="104"/>
      <c r="N205" s="103"/>
      <c r="O205" s="103"/>
      <c r="P205" s="106"/>
      <c r="Q205" s="106"/>
    </row>
    <row r="206">
      <c r="B206" s="147"/>
      <c r="C206" s="104"/>
      <c r="D206" s="104"/>
      <c r="E206" s="103"/>
      <c r="F206" s="103"/>
      <c r="G206" s="104"/>
      <c r="H206" s="104"/>
      <c r="I206" s="104"/>
      <c r="J206" s="104"/>
      <c r="K206" s="104"/>
      <c r="L206" s="104"/>
      <c r="M206" s="104"/>
      <c r="N206" s="103"/>
      <c r="O206" s="103"/>
      <c r="P206" s="106"/>
      <c r="Q206" s="106"/>
    </row>
    <row r="207">
      <c r="B207" s="147"/>
      <c r="C207" s="104"/>
      <c r="D207" s="104"/>
      <c r="E207" s="103"/>
      <c r="F207" s="103"/>
      <c r="G207" s="104"/>
      <c r="H207" s="104"/>
      <c r="I207" s="104"/>
      <c r="J207" s="104"/>
      <c r="K207" s="104"/>
      <c r="L207" s="104"/>
      <c r="M207" s="104"/>
      <c r="N207" s="103"/>
      <c r="O207" s="103"/>
      <c r="P207" s="106"/>
      <c r="Q207" s="106"/>
    </row>
    <row r="208">
      <c r="B208" s="147"/>
      <c r="C208" s="104"/>
      <c r="D208" s="104"/>
      <c r="E208" s="103"/>
      <c r="F208" s="103"/>
      <c r="G208" s="104"/>
      <c r="H208" s="104"/>
      <c r="I208" s="104"/>
      <c r="J208" s="104"/>
      <c r="K208" s="104"/>
      <c r="L208" s="104"/>
      <c r="M208" s="104"/>
      <c r="N208" s="103"/>
      <c r="O208" s="103"/>
      <c r="P208" s="106"/>
      <c r="Q208" s="106"/>
    </row>
    <row r="209">
      <c r="B209" s="147"/>
      <c r="C209" s="104"/>
      <c r="D209" s="104"/>
      <c r="E209" s="103"/>
      <c r="F209" s="103"/>
      <c r="G209" s="104"/>
      <c r="H209" s="104"/>
      <c r="I209" s="104"/>
      <c r="J209" s="104"/>
      <c r="K209" s="104"/>
      <c r="L209" s="104"/>
      <c r="M209" s="104"/>
      <c r="N209" s="103"/>
      <c r="O209" s="103"/>
      <c r="P209" s="106"/>
      <c r="Q209" s="106"/>
    </row>
    <row r="210">
      <c r="B210" s="147"/>
      <c r="C210" s="104"/>
      <c r="D210" s="104"/>
      <c r="E210" s="103"/>
      <c r="F210" s="103"/>
      <c r="G210" s="104"/>
      <c r="H210" s="104"/>
      <c r="I210" s="104"/>
      <c r="J210" s="104"/>
      <c r="K210" s="104"/>
      <c r="L210" s="104"/>
      <c r="M210" s="104"/>
      <c r="N210" s="103"/>
      <c r="O210" s="103"/>
      <c r="P210" s="106"/>
      <c r="Q210" s="106"/>
    </row>
    <row r="211">
      <c r="B211" s="147"/>
      <c r="C211" s="104"/>
      <c r="D211" s="104"/>
      <c r="E211" s="103"/>
      <c r="F211" s="103"/>
      <c r="G211" s="104"/>
      <c r="H211" s="104"/>
      <c r="I211" s="104"/>
      <c r="J211" s="104"/>
      <c r="K211" s="104"/>
      <c r="L211" s="104"/>
      <c r="M211" s="104"/>
      <c r="N211" s="103"/>
      <c r="O211" s="103"/>
      <c r="P211" s="106"/>
      <c r="Q211" s="106"/>
    </row>
    <row r="212">
      <c r="B212" s="147"/>
      <c r="C212" s="104"/>
      <c r="D212" s="104"/>
      <c r="E212" s="103"/>
      <c r="F212" s="103"/>
      <c r="G212" s="104"/>
      <c r="H212" s="104"/>
      <c r="I212" s="104"/>
      <c r="J212" s="104"/>
      <c r="K212" s="104"/>
      <c r="L212" s="104"/>
      <c r="M212" s="104"/>
      <c r="N212" s="103"/>
      <c r="O212" s="103"/>
      <c r="P212" s="106"/>
      <c r="Q212" s="106"/>
    </row>
    <row r="213">
      <c r="B213" s="147"/>
      <c r="C213" s="104"/>
      <c r="D213" s="104"/>
      <c r="E213" s="103"/>
      <c r="F213" s="103"/>
      <c r="G213" s="104"/>
      <c r="H213" s="104"/>
      <c r="I213" s="104"/>
      <c r="J213" s="104"/>
      <c r="K213" s="104"/>
      <c r="L213" s="104"/>
      <c r="M213" s="104"/>
      <c r="N213" s="103"/>
      <c r="O213" s="103"/>
      <c r="P213" s="106"/>
      <c r="Q213" s="106"/>
    </row>
    <row r="214">
      <c r="B214" s="147"/>
      <c r="C214" s="104"/>
      <c r="D214" s="104"/>
      <c r="E214" s="103"/>
      <c r="F214" s="103"/>
      <c r="G214" s="104"/>
      <c r="H214" s="104"/>
      <c r="I214" s="104"/>
      <c r="J214" s="104"/>
      <c r="K214" s="104"/>
      <c r="L214" s="104"/>
      <c r="M214" s="104"/>
      <c r="N214" s="103"/>
      <c r="O214" s="103"/>
      <c r="P214" s="106"/>
      <c r="Q214" s="106"/>
    </row>
    <row r="215">
      <c r="B215" s="147"/>
      <c r="C215" s="104"/>
      <c r="D215" s="104"/>
      <c r="E215" s="103"/>
      <c r="F215" s="103"/>
      <c r="G215" s="104"/>
      <c r="H215" s="104"/>
      <c r="I215" s="104"/>
      <c r="J215" s="104"/>
      <c r="K215" s="104"/>
      <c r="L215" s="104"/>
      <c r="M215" s="104"/>
      <c r="N215" s="103"/>
      <c r="O215" s="103"/>
      <c r="P215" s="106"/>
      <c r="Q215" s="106"/>
    </row>
    <row r="216">
      <c r="B216" s="147"/>
      <c r="C216" s="104"/>
      <c r="D216" s="104"/>
      <c r="E216" s="103"/>
      <c r="F216" s="103"/>
      <c r="G216" s="104"/>
      <c r="H216" s="104"/>
      <c r="I216" s="104"/>
      <c r="J216" s="104"/>
      <c r="K216" s="104"/>
      <c r="L216" s="104"/>
      <c r="M216" s="104"/>
      <c r="N216" s="103"/>
      <c r="O216" s="103"/>
      <c r="P216" s="106"/>
      <c r="Q216" s="106"/>
    </row>
    <row r="217">
      <c r="B217" s="147"/>
      <c r="C217" s="104"/>
      <c r="D217" s="104"/>
      <c r="E217" s="103"/>
      <c r="F217" s="103"/>
      <c r="G217" s="104"/>
      <c r="H217" s="104"/>
      <c r="I217" s="104"/>
      <c r="J217" s="104"/>
      <c r="K217" s="104"/>
      <c r="L217" s="104"/>
      <c r="M217" s="104"/>
      <c r="N217" s="103"/>
      <c r="O217" s="103"/>
      <c r="P217" s="106"/>
      <c r="Q217" s="106"/>
    </row>
    <row r="218">
      <c r="B218" s="147"/>
      <c r="C218" s="104"/>
      <c r="D218" s="104"/>
      <c r="E218" s="103"/>
      <c r="F218" s="103"/>
      <c r="G218" s="104"/>
      <c r="H218" s="104"/>
      <c r="I218" s="104"/>
      <c r="J218" s="104"/>
      <c r="K218" s="104"/>
      <c r="L218" s="104"/>
      <c r="M218" s="104"/>
      <c r="N218" s="103"/>
      <c r="O218" s="103"/>
      <c r="P218" s="106"/>
      <c r="Q218" s="106"/>
    </row>
    <row r="219">
      <c r="B219" s="147"/>
      <c r="C219" s="104"/>
      <c r="D219" s="104"/>
      <c r="E219" s="103"/>
      <c r="F219" s="103"/>
      <c r="G219" s="104"/>
      <c r="H219" s="104"/>
      <c r="I219" s="104"/>
      <c r="J219" s="104"/>
      <c r="K219" s="104"/>
      <c r="L219" s="104"/>
      <c r="M219" s="104"/>
      <c r="N219" s="103"/>
      <c r="O219" s="103"/>
      <c r="P219" s="106"/>
      <c r="Q219" s="106"/>
    </row>
    <row r="220">
      <c r="B220" s="147"/>
      <c r="C220" s="104"/>
      <c r="D220" s="104"/>
      <c r="E220" s="103"/>
      <c r="F220" s="103"/>
      <c r="G220" s="104"/>
      <c r="H220" s="104"/>
      <c r="I220" s="104"/>
      <c r="J220" s="104"/>
      <c r="K220" s="104"/>
      <c r="L220" s="104"/>
      <c r="M220" s="104"/>
      <c r="N220" s="103"/>
      <c r="O220" s="103"/>
      <c r="P220" s="106"/>
      <c r="Q220" s="106"/>
    </row>
    <row r="221">
      <c r="B221" s="147"/>
      <c r="C221" s="104"/>
      <c r="D221" s="104"/>
      <c r="E221" s="103"/>
      <c r="F221" s="103"/>
      <c r="G221" s="104"/>
      <c r="H221" s="104"/>
      <c r="I221" s="104"/>
      <c r="J221" s="104"/>
      <c r="K221" s="104"/>
      <c r="L221" s="104"/>
      <c r="M221" s="104"/>
      <c r="N221" s="103"/>
      <c r="O221" s="103"/>
      <c r="P221" s="106"/>
      <c r="Q221" s="106"/>
    </row>
    <row r="222">
      <c r="B222" s="147"/>
      <c r="C222" s="104"/>
      <c r="D222" s="104"/>
      <c r="E222" s="103"/>
      <c r="F222" s="103"/>
      <c r="G222" s="104"/>
      <c r="H222" s="104"/>
      <c r="I222" s="104"/>
      <c r="J222" s="104"/>
      <c r="K222" s="104"/>
      <c r="L222" s="104"/>
      <c r="M222" s="104"/>
      <c r="N222" s="103"/>
      <c r="O222" s="103"/>
      <c r="P222" s="106"/>
      <c r="Q222" s="106"/>
    </row>
    <row r="223">
      <c r="B223" s="147"/>
      <c r="C223" s="104"/>
      <c r="D223" s="104"/>
      <c r="E223" s="103"/>
      <c r="F223" s="103"/>
      <c r="G223" s="104"/>
      <c r="H223" s="104"/>
      <c r="I223" s="104"/>
      <c r="J223" s="104"/>
      <c r="K223" s="104"/>
      <c r="L223" s="104"/>
      <c r="M223" s="104"/>
      <c r="N223" s="103"/>
      <c r="O223" s="103"/>
      <c r="P223" s="106"/>
      <c r="Q223" s="106"/>
    </row>
    <row r="224">
      <c r="B224" s="147"/>
      <c r="C224" s="104"/>
      <c r="D224" s="104"/>
      <c r="E224" s="103"/>
      <c r="F224" s="103"/>
      <c r="G224" s="104"/>
      <c r="H224" s="104"/>
      <c r="I224" s="104"/>
      <c r="J224" s="104"/>
      <c r="K224" s="104"/>
      <c r="L224" s="104"/>
      <c r="M224" s="104"/>
      <c r="N224" s="103"/>
      <c r="O224" s="103"/>
      <c r="P224" s="106"/>
      <c r="Q224" s="106"/>
    </row>
    <row r="225">
      <c r="B225" s="147"/>
      <c r="C225" s="104"/>
      <c r="D225" s="104"/>
      <c r="E225" s="103"/>
      <c r="F225" s="103"/>
      <c r="G225" s="104"/>
      <c r="H225" s="104"/>
      <c r="I225" s="104"/>
      <c r="J225" s="104"/>
      <c r="K225" s="104"/>
      <c r="L225" s="104"/>
      <c r="M225" s="104"/>
      <c r="N225" s="103"/>
      <c r="O225" s="103"/>
      <c r="P225" s="106"/>
      <c r="Q225" s="106"/>
    </row>
    <row r="226">
      <c r="B226" s="147"/>
      <c r="C226" s="104"/>
      <c r="D226" s="104"/>
      <c r="E226" s="103"/>
      <c r="F226" s="103"/>
      <c r="G226" s="104"/>
      <c r="H226" s="104"/>
      <c r="I226" s="104"/>
      <c r="J226" s="104"/>
      <c r="K226" s="104"/>
      <c r="L226" s="104"/>
      <c r="M226" s="104"/>
      <c r="N226" s="103"/>
      <c r="O226" s="103"/>
      <c r="P226" s="106"/>
      <c r="Q226" s="106"/>
    </row>
    <row r="227">
      <c r="B227" s="147"/>
      <c r="C227" s="104"/>
      <c r="D227" s="104"/>
      <c r="E227" s="103"/>
      <c r="F227" s="103"/>
      <c r="G227" s="104"/>
      <c r="H227" s="104"/>
      <c r="I227" s="104"/>
      <c r="J227" s="104"/>
      <c r="K227" s="104"/>
      <c r="L227" s="104"/>
      <c r="M227" s="104"/>
      <c r="N227" s="103"/>
      <c r="O227" s="103"/>
      <c r="P227" s="106"/>
      <c r="Q227" s="106"/>
    </row>
    <row r="228">
      <c r="B228" s="147"/>
      <c r="C228" s="104"/>
      <c r="D228" s="104"/>
      <c r="E228" s="103"/>
      <c r="F228" s="103"/>
      <c r="G228" s="104"/>
      <c r="H228" s="104"/>
      <c r="I228" s="104"/>
      <c r="J228" s="104"/>
      <c r="K228" s="104"/>
      <c r="L228" s="104"/>
      <c r="M228" s="104"/>
      <c r="N228" s="103"/>
      <c r="O228" s="103"/>
      <c r="P228" s="106"/>
      <c r="Q228" s="106"/>
    </row>
    <row r="229">
      <c r="B229" s="147"/>
      <c r="C229" s="104"/>
      <c r="D229" s="104"/>
      <c r="E229" s="103"/>
      <c r="F229" s="103"/>
      <c r="G229" s="104"/>
      <c r="H229" s="104"/>
      <c r="I229" s="104"/>
      <c r="J229" s="104"/>
      <c r="K229" s="104"/>
      <c r="L229" s="104"/>
      <c r="M229" s="104"/>
      <c r="N229" s="103"/>
      <c r="O229" s="103"/>
      <c r="P229" s="106"/>
      <c r="Q229" s="106"/>
    </row>
    <row r="230">
      <c r="B230" s="147"/>
      <c r="C230" s="104"/>
      <c r="D230" s="104"/>
      <c r="E230" s="103"/>
      <c r="F230" s="103"/>
      <c r="G230" s="104"/>
      <c r="H230" s="104"/>
      <c r="I230" s="104"/>
      <c r="J230" s="104"/>
      <c r="K230" s="104"/>
      <c r="L230" s="104"/>
      <c r="M230" s="104"/>
      <c r="N230" s="103"/>
      <c r="O230" s="103"/>
      <c r="P230" s="106"/>
      <c r="Q230" s="106"/>
    </row>
    <row r="231">
      <c r="B231" s="147"/>
      <c r="C231" s="104"/>
      <c r="D231" s="104"/>
      <c r="E231" s="103"/>
      <c r="F231" s="103"/>
      <c r="G231" s="104"/>
      <c r="H231" s="104"/>
      <c r="I231" s="104"/>
      <c r="J231" s="104"/>
      <c r="K231" s="104"/>
      <c r="L231" s="104"/>
      <c r="M231" s="104"/>
      <c r="N231" s="103"/>
      <c r="O231" s="103"/>
      <c r="P231" s="106"/>
      <c r="Q231" s="106"/>
    </row>
    <row r="232">
      <c r="B232" s="147"/>
      <c r="C232" s="104"/>
      <c r="D232" s="104"/>
      <c r="E232" s="103"/>
      <c r="F232" s="103"/>
      <c r="G232" s="104"/>
      <c r="H232" s="104"/>
      <c r="I232" s="104"/>
      <c r="J232" s="104"/>
      <c r="K232" s="104"/>
      <c r="L232" s="104"/>
      <c r="M232" s="104"/>
      <c r="N232" s="103"/>
      <c r="O232" s="103"/>
      <c r="P232" s="106"/>
      <c r="Q232" s="106"/>
    </row>
    <row r="233">
      <c r="B233" s="147"/>
      <c r="C233" s="104"/>
      <c r="D233" s="104"/>
      <c r="E233" s="103"/>
      <c r="F233" s="103"/>
      <c r="G233" s="104"/>
      <c r="H233" s="104"/>
      <c r="I233" s="104"/>
      <c r="J233" s="104"/>
      <c r="K233" s="104"/>
      <c r="L233" s="104"/>
      <c r="M233" s="104"/>
      <c r="N233" s="103"/>
      <c r="O233" s="103"/>
      <c r="P233" s="106"/>
      <c r="Q233" s="106"/>
    </row>
    <row r="234">
      <c r="B234" s="147"/>
      <c r="C234" s="104"/>
      <c r="D234" s="104"/>
      <c r="E234" s="103"/>
      <c r="F234" s="103"/>
      <c r="G234" s="104"/>
      <c r="H234" s="104"/>
      <c r="I234" s="104"/>
      <c r="J234" s="104"/>
      <c r="K234" s="104"/>
      <c r="L234" s="104"/>
      <c r="M234" s="104"/>
      <c r="N234" s="103"/>
      <c r="O234" s="103"/>
      <c r="P234" s="106"/>
      <c r="Q234" s="106"/>
    </row>
    <row r="235">
      <c r="B235" s="147"/>
      <c r="C235" s="104"/>
      <c r="D235" s="104"/>
      <c r="E235" s="103"/>
      <c r="F235" s="103"/>
      <c r="G235" s="104"/>
      <c r="H235" s="104"/>
      <c r="I235" s="104"/>
      <c r="J235" s="104"/>
      <c r="K235" s="104"/>
      <c r="L235" s="104"/>
      <c r="M235" s="104"/>
      <c r="N235" s="103"/>
      <c r="O235" s="103"/>
      <c r="P235" s="106"/>
      <c r="Q235" s="106"/>
    </row>
    <row r="236">
      <c r="B236" s="147"/>
      <c r="C236" s="104"/>
      <c r="D236" s="104"/>
      <c r="E236" s="103"/>
      <c r="F236" s="103"/>
      <c r="G236" s="104"/>
      <c r="H236" s="104"/>
      <c r="I236" s="104"/>
      <c r="J236" s="104"/>
      <c r="K236" s="104"/>
      <c r="L236" s="104"/>
      <c r="M236" s="104"/>
      <c r="N236" s="103"/>
      <c r="O236" s="103"/>
      <c r="P236" s="106"/>
      <c r="Q236" s="106"/>
    </row>
    <row r="237">
      <c r="B237" s="147"/>
      <c r="C237" s="104"/>
      <c r="D237" s="104"/>
      <c r="E237" s="103"/>
      <c r="F237" s="103"/>
      <c r="G237" s="104"/>
      <c r="H237" s="104"/>
      <c r="I237" s="104"/>
      <c r="J237" s="104"/>
      <c r="K237" s="104"/>
      <c r="L237" s="104"/>
      <c r="M237" s="104"/>
      <c r="N237" s="103"/>
      <c r="O237" s="103"/>
      <c r="P237" s="106"/>
      <c r="Q237" s="106"/>
    </row>
    <row r="238">
      <c r="B238" s="147"/>
      <c r="C238" s="104"/>
      <c r="D238" s="104"/>
      <c r="E238" s="103"/>
      <c r="F238" s="103"/>
      <c r="G238" s="104"/>
      <c r="H238" s="104"/>
      <c r="I238" s="104"/>
      <c r="J238" s="104"/>
      <c r="K238" s="104"/>
      <c r="L238" s="104"/>
      <c r="M238" s="104"/>
      <c r="N238" s="103"/>
      <c r="O238" s="103"/>
      <c r="P238" s="106"/>
      <c r="Q238" s="106"/>
    </row>
    <row r="239">
      <c r="B239" s="147"/>
      <c r="C239" s="104"/>
      <c r="D239" s="104"/>
      <c r="E239" s="103"/>
      <c r="F239" s="103"/>
      <c r="G239" s="104"/>
      <c r="H239" s="104"/>
      <c r="I239" s="104"/>
      <c r="J239" s="104"/>
      <c r="K239" s="104"/>
      <c r="L239" s="104"/>
      <c r="M239" s="104"/>
      <c r="N239" s="103"/>
      <c r="O239" s="103"/>
      <c r="P239" s="106"/>
      <c r="Q239" s="106"/>
    </row>
    <row r="240">
      <c r="B240" s="147"/>
      <c r="C240" s="104"/>
      <c r="D240" s="104"/>
      <c r="E240" s="103"/>
      <c r="F240" s="103"/>
      <c r="G240" s="104"/>
      <c r="H240" s="104"/>
      <c r="I240" s="104"/>
      <c r="J240" s="104"/>
      <c r="K240" s="104"/>
      <c r="L240" s="104"/>
      <c r="M240" s="104"/>
      <c r="N240" s="103"/>
      <c r="O240" s="103"/>
      <c r="P240" s="106"/>
      <c r="Q240" s="106"/>
    </row>
    <row r="241">
      <c r="B241" s="147"/>
      <c r="C241" s="104"/>
      <c r="D241" s="104"/>
      <c r="E241" s="103"/>
      <c r="F241" s="103"/>
      <c r="G241" s="104"/>
      <c r="H241" s="104"/>
      <c r="I241" s="104"/>
      <c r="J241" s="104"/>
      <c r="K241" s="104"/>
      <c r="L241" s="104"/>
      <c r="M241" s="104"/>
      <c r="N241" s="103"/>
      <c r="O241" s="103"/>
      <c r="P241" s="106"/>
      <c r="Q241" s="106"/>
    </row>
    <row r="242">
      <c r="B242" s="147"/>
      <c r="C242" s="104"/>
      <c r="D242" s="104"/>
      <c r="E242" s="103"/>
      <c r="F242" s="103"/>
      <c r="G242" s="104"/>
      <c r="H242" s="104"/>
      <c r="I242" s="104"/>
      <c r="J242" s="104"/>
      <c r="K242" s="104"/>
      <c r="L242" s="104"/>
      <c r="M242" s="104"/>
      <c r="N242" s="103"/>
      <c r="O242" s="103"/>
      <c r="P242" s="106"/>
      <c r="Q242" s="106"/>
    </row>
    <row r="243">
      <c r="B243" s="147"/>
      <c r="C243" s="104"/>
      <c r="D243" s="104"/>
      <c r="E243" s="103"/>
      <c r="F243" s="103"/>
      <c r="G243" s="104"/>
      <c r="H243" s="104"/>
      <c r="I243" s="104"/>
      <c r="J243" s="104"/>
      <c r="K243" s="104"/>
      <c r="L243" s="104"/>
      <c r="M243" s="104"/>
      <c r="N243" s="103"/>
      <c r="O243" s="103"/>
      <c r="P243" s="106"/>
      <c r="Q243" s="106"/>
    </row>
    <row r="244">
      <c r="B244" s="147"/>
      <c r="C244" s="104"/>
      <c r="D244" s="104"/>
      <c r="E244" s="103"/>
      <c r="F244" s="103"/>
      <c r="G244" s="104"/>
      <c r="H244" s="104"/>
      <c r="I244" s="104"/>
      <c r="J244" s="104"/>
      <c r="K244" s="104"/>
      <c r="L244" s="104"/>
      <c r="M244" s="104"/>
      <c r="N244" s="103"/>
      <c r="O244" s="103"/>
      <c r="P244" s="106"/>
      <c r="Q244" s="106"/>
    </row>
    <row r="245">
      <c r="B245" s="147"/>
      <c r="C245" s="104"/>
      <c r="D245" s="104"/>
      <c r="E245" s="103"/>
      <c r="F245" s="103"/>
      <c r="G245" s="104"/>
      <c r="H245" s="104"/>
      <c r="I245" s="104"/>
      <c r="J245" s="104"/>
      <c r="K245" s="104"/>
      <c r="L245" s="104"/>
      <c r="M245" s="104"/>
      <c r="N245" s="103"/>
      <c r="O245" s="103"/>
      <c r="P245" s="106"/>
      <c r="Q245" s="106"/>
    </row>
    <row r="246">
      <c r="B246" s="147"/>
      <c r="C246" s="104"/>
      <c r="D246" s="104"/>
      <c r="E246" s="103"/>
      <c r="F246" s="103"/>
      <c r="G246" s="104"/>
      <c r="H246" s="104"/>
      <c r="I246" s="104"/>
      <c r="J246" s="104"/>
      <c r="K246" s="104"/>
      <c r="L246" s="104"/>
      <c r="M246" s="104"/>
      <c r="N246" s="103"/>
      <c r="O246" s="103"/>
      <c r="P246" s="106"/>
      <c r="Q246" s="106"/>
    </row>
    <row r="247">
      <c r="B247" s="147"/>
      <c r="C247" s="104"/>
      <c r="D247" s="104"/>
      <c r="E247" s="103"/>
      <c r="F247" s="103"/>
      <c r="G247" s="104"/>
      <c r="H247" s="104"/>
      <c r="I247" s="104"/>
      <c r="J247" s="104"/>
      <c r="K247" s="104"/>
      <c r="L247" s="104"/>
      <c r="M247" s="104"/>
      <c r="N247" s="103"/>
      <c r="O247" s="103"/>
      <c r="P247" s="106"/>
      <c r="Q247" s="106"/>
    </row>
    <row r="248">
      <c r="B248" s="147"/>
      <c r="C248" s="104"/>
      <c r="D248" s="104"/>
      <c r="E248" s="103"/>
      <c r="F248" s="103"/>
      <c r="G248" s="104"/>
      <c r="H248" s="104"/>
      <c r="I248" s="104"/>
      <c r="J248" s="104"/>
      <c r="K248" s="104"/>
      <c r="L248" s="104"/>
      <c r="M248" s="104"/>
      <c r="N248" s="103"/>
      <c r="O248" s="103"/>
      <c r="P248" s="106"/>
      <c r="Q248" s="106"/>
    </row>
    <row r="249">
      <c r="B249" s="147"/>
      <c r="C249" s="104"/>
      <c r="D249" s="104"/>
      <c r="E249" s="103"/>
      <c r="F249" s="103"/>
      <c r="G249" s="104"/>
      <c r="H249" s="104"/>
      <c r="I249" s="104"/>
      <c r="J249" s="104"/>
      <c r="K249" s="104"/>
      <c r="L249" s="104"/>
      <c r="M249" s="104"/>
      <c r="N249" s="103"/>
      <c r="O249" s="103"/>
      <c r="P249" s="106"/>
      <c r="Q249" s="106"/>
    </row>
    <row r="250">
      <c r="B250" s="147"/>
      <c r="C250" s="104"/>
      <c r="D250" s="104"/>
      <c r="E250" s="103"/>
      <c r="F250" s="103"/>
      <c r="G250" s="104"/>
      <c r="H250" s="104"/>
      <c r="I250" s="104"/>
      <c r="J250" s="104"/>
      <c r="K250" s="104"/>
      <c r="L250" s="104"/>
      <c r="M250" s="104"/>
      <c r="N250" s="103"/>
      <c r="O250" s="103"/>
      <c r="P250" s="106"/>
      <c r="Q250" s="106"/>
    </row>
    <row r="251">
      <c r="B251" s="147"/>
      <c r="C251" s="104"/>
      <c r="D251" s="104"/>
      <c r="E251" s="103"/>
      <c r="F251" s="103"/>
      <c r="G251" s="104"/>
      <c r="H251" s="104"/>
      <c r="I251" s="104"/>
      <c r="J251" s="104"/>
      <c r="K251" s="104"/>
      <c r="L251" s="104"/>
      <c r="M251" s="104"/>
      <c r="N251" s="103"/>
      <c r="O251" s="103"/>
      <c r="P251" s="106"/>
      <c r="Q251" s="106"/>
    </row>
    <row r="252">
      <c r="B252" s="147"/>
      <c r="C252" s="104"/>
      <c r="D252" s="104"/>
      <c r="E252" s="103"/>
      <c r="F252" s="103"/>
      <c r="G252" s="104"/>
      <c r="H252" s="104"/>
      <c r="I252" s="104"/>
      <c r="J252" s="104"/>
      <c r="K252" s="104"/>
      <c r="L252" s="104"/>
      <c r="M252" s="104"/>
      <c r="N252" s="103"/>
      <c r="O252" s="103"/>
      <c r="P252" s="106"/>
      <c r="Q252" s="106"/>
    </row>
    <row r="253">
      <c r="B253" s="147"/>
      <c r="C253" s="104"/>
      <c r="D253" s="104"/>
      <c r="E253" s="103"/>
      <c r="F253" s="103"/>
      <c r="G253" s="104"/>
      <c r="H253" s="104"/>
      <c r="I253" s="104"/>
      <c r="J253" s="104"/>
      <c r="K253" s="104"/>
      <c r="L253" s="104"/>
      <c r="M253" s="104"/>
      <c r="N253" s="103"/>
      <c r="O253" s="103"/>
      <c r="P253" s="106"/>
      <c r="Q253" s="106"/>
    </row>
    <row r="254">
      <c r="B254" s="147"/>
      <c r="C254" s="104"/>
      <c r="D254" s="104"/>
      <c r="E254" s="103"/>
      <c r="F254" s="103"/>
      <c r="G254" s="104"/>
      <c r="H254" s="104"/>
      <c r="I254" s="104"/>
      <c r="J254" s="104"/>
      <c r="K254" s="104"/>
      <c r="L254" s="104"/>
      <c r="M254" s="104"/>
      <c r="N254" s="103"/>
      <c r="O254" s="103"/>
      <c r="P254" s="106"/>
      <c r="Q254" s="106"/>
    </row>
    <row r="255">
      <c r="B255" s="147"/>
      <c r="C255" s="104"/>
      <c r="D255" s="104"/>
      <c r="E255" s="103"/>
      <c r="F255" s="103"/>
      <c r="G255" s="104"/>
      <c r="H255" s="104"/>
      <c r="I255" s="104"/>
      <c r="J255" s="104"/>
      <c r="K255" s="104"/>
      <c r="L255" s="104"/>
      <c r="M255" s="104"/>
      <c r="N255" s="103"/>
      <c r="O255" s="103"/>
      <c r="P255" s="106"/>
      <c r="Q255" s="106"/>
    </row>
    <row r="256">
      <c r="B256" s="147"/>
      <c r="C256" s="104"/>
      <c r="D256" s="104"/>
      <c r="E256" s="103"/>
      <c r="F256" s="103"/>
      <c r="G256" s="104"/>
      <c r="H256" s="104"/>
      <c r="I256" s="104"/>
      <c r="J256" s="104"/>
      <c r="K256" s="104"/>
      <c r="L256" s="104"/>
      <c r="M256" s="104"/>
      <c r="N256" s="103"/>
      <c r="O256" s="103"/>
      <c r="P256" s="106"/>
      <c r="Q256" s="106"/>
    </row>
    <row r="257">
      <c r="B257" s="147"/>
      <c r="C257" s="104"/>
      <c r="D257" s="104"/>
      <c r="E257" s="103"/>
      <c r="F257" s="103"/>
      <c r="G257" s="104"/>
      <c r="H257" s="104"/>
      <c r="I257" s="104"/>
      <c r="J257" s="104"/>
      <c r="K257" s="104"/>
      <c r="L257" s="104"/>
      <c r="M257" s="104"/>
      <c r="N257" s="103"/>
      <c r="O257" s="103"/>
      <c r="P257" s="106"/>
      <c r="Q257" s="106"/>
    </row>
    <row r="258">
      <c r="B258" s="147"/>
      <c r="C258" s="104"/>
      <c r="D258" s="104"/>
      <c r="E258" s="103"/>
      <c r="F258" s="103"/>
      <c r="G258" s="104"/>
      <c r="H258" s="104"/>
      <c r="I258" s="104"/>
      <c r="J258" s="104"/>
      <c r="K258" s="104"/>
      <c r="L258" s="104"/>
      <c r="M258" s="104"/>
      <c r="N258" s="103"/>
      <c r="O258" s="103"/>
      <c r="P258" s="106"/>
      <c r="Q258" s="106"/>
    </row>
    <row r="259">
      <c r="B259" s="147"/>
      <c r="C259" s="104"/>
      <c r="D259" s="104"/>
      <c r="E259" s="103"/>
      <c r="F259" s="103"/>
      <c r="G259" s="104"/>
      <c r="H259" s="104"/>
      <c r="I259" s="104"/>
      <c r="J259" s="104"/>
      <c r="K259" s="104"/>
      <c r="L259" s="104"/>
      <c r="M259" s="104"/>
      <c r="N259" s="103"/>
      <c r="O259" s="103"/>
      <c r="P259" s="106"/>
      <c r="Q259" s="106"/>
    </row>
    <row r="260">
      <c r="B260" s="147"/>
      <c r="C260" s="104"/>
      <c r="D260" s="104"/>
      <c r="E260" s="103"/>
      <c r="F260" s="103"/>
      <c r="G260" s="104"/>
      <c r="H260" s="104"/>
      <c r="I260" s="104"/>
      <c r="J260" s="104"/>
      <c r="K260" s="104"/>
      <c r="L260" s="104"/>
      <c r="M260" s="104"/>
      <c r="N260" s="103"/>
      <c r="O260" s="103"/>
      <c r="P260" s="106"/>
      <c r="Q260" s="106"/>
    </row>
    <row r="261">
      <c r="B261" s="147"/>
      <c r="C261" s="104"/>
      <c r="D261" s="104"/>
      <c r="E261" s="103"/>
      <c r="F261" s="103"/>
      <c r="G261" s="104"/>
      <c r="H261" s="104"/>
      <c r="I261" s="104"/>
      <c r="J261" s="104"/>
      <c r="K261" s="104"/>
      <c r="L261" s="104"/>
      <c r="M261" s="104"/>
      <c r="N261" s="103"/>
      <c r="O261" s="103"/>
      <c r="P261" s="106"/>
      <c r="Q261" s="106"/>
    </row>
    <row r="262">
      <c r="B262" s="147"/>
      <c r="C262" s="104"/>
      <c r="D262" s="104"/>
      <c r="E262" s="103"/>
      <c r="F262" s="103"/>
      <c r="G262" s="104"/>
      <c r="H262" s="104"/>
      <c r="I262" s="104"/>
      <c r="J262" s="104"/>
      <c r="K262" s="104"/>
      <c r="L262" s="104"/>
      <c r="M262" s="104"/>
      <c r="N262" s="103"/>
      <c r="O262" s="103"/>
      <c r="P262" s="106"/>
      <c r="Q262" s="106"/>
    </row>
    <row r="263">
      <c r="B263" s="147"/>
      <c r="C263" s="104"/>
      <c r="D263" s="104"/>
      <c r="E263" s="103"/>
      <c r="F263" s="103"/>
      <c r="G263" s="104"/>
      <c r="H263" s="104"/>
      <c r="I263" s="104"/>
      <c r="J263" s="104"/>
      <c r="K263" s="104"/>
      <c r="L263" s="104"/>
      <c r="M263" s="104"/>
      <c r="N263" s="103"/>
      <c r="O263" s="103"/>
      <c r="P263" s="106"/>
      <c r="Q263" s="106"/>
    </row>
    <row r="264">
      <c r="B264" s="147"/>
      <c r="C264" s="104"/>
      <c r="D264" s="104"/>
      <c r="E264" s="103"/>
      <c r="F264" s="103"/>
      <c r="G264" s="104"/>
      <c r="H264" s="104"/>
      <c r="I264" s="104"/>
      <c r="J264" s="104"/>
      <c r="K264" s="104"/>
      <c r="L264" s="104"/>
      <c r="M264" s="104"/>
      <c r="N264" s="103"/>
      <c r="O264" s="103"/>
      <c r="P264" s="106"/>
      <c r="Q264" s="106"/>
    </row>
    <row r="265">
      <c r="B265" s="147"/>
      <c r="C265" s="104"/>
      <c r="D265" s="104"/>
      <c r="E265" s="103"/>
      <c r="F265" s="103"/>
      <c r="G265" s="104"/>
      <c r="H265" s="104"/>
      <c r="I265" s="104"/>
      <c r="J265" s="104"/>
      <c r="K265" s="104"/>
      <c r="L265" s="104"/>
      <c r="M265" s="104"/>
      <c r="N265" s="103"/>
      <c r="O265" s="103"/>
      <c r="P265" s="106"/>
      <c r="Q265" s="106"/>
    </row>
    <row r="266">
      <c r="B266" s="147"/>
      <c r="C266" s="104"/>
      <c r="D266" s="104"/>
      <c r="E266" s="103"/>
      <c r="F266" s="103"/>
      <c r="G266" s="104"/>
      <c r="H266" s="104"/>
      <c r="I266" s="104"/>
      <c r="J266" s="104"/>
      <c r="K266" s="104"/>
      <c r="L266" s="104"/>
      <c r="M266" s="104"/>
      <c r="N266" s="103"/>
      <c r="O266" s="103"/>
      <c r="P266" s="106"/>
      <c r="Q266" s="106"/>
    </row>
    <row r="267">
      <c r="B267" s="147"/>
      <c r="C267" s="104"/>
      <c r="D267" s="104"/>
      <c r="E267" s="103"/>
      <c r="F267" s="103"/>
      <c r="G267" s="104"/>
      <c r="H267" s="104"/>
      <c r="I267" s="104"/>
      <c r="J267" s="104"/>
      <c r="K267" s="104"/>
      <c r="L267" s="104"/>
      <c r="M267" s="104"/>
      <c r="N267" s="103"/>
      <c r="O267" s="103"/>
      <c r="P267" s="106"/>
      <c r="Q267" s="106"/>
    </row>
    <row r="268">
      <c r="B268" s="147"/>
      <c r="C268" s="104"/>
      <c r="D268" s="104"/>
      <c r="E268" s="103"/>
      <c r="F268" s="103"/>
      <c r="G268" s="104"/>
      <c r="H268" s="104"/>
      <c r="I268" s="104"/>
      <c r="J268" s="104"/>
      <c r="K268" s="104"/>
      <c r="L268" s="104"/>
      <c r="M268" s="104"/>
      <c r="N268" s="103"/>
      <c r="O268" s="103"/>
      <c r="P268" s="106"/>
      <c r="Q268" s="106"/>
    </row>
    <row r="269">
      <c r="B269" s="147"/>
      <c r="C269" s="104"/>
      <c r="D269" s="104"/>
      <c r="E269" s="103"/>
      <c r="F269" s="103"/>
      <c r="G269" s="104"/>
      <c r="H269" s="104"/>
      <c r="I269" s="104"/>
      <c r="J269" s="104"/>
      <c r="K269" s="104"/>
      <c r="L269" s="104"/>
      <c r="M269" s="104"/>
      <c r="N269" s="103"/>
      <c r="O269" s="103"/>
      <c r="P269" s="106"/>
      <c r="Q269" s="106"/>
    </row>
    <row r="270">
      <c r="B270" s="147"/>
      <c r="C270" s="104"/>
      <c r="D270" s="104"/>
      <c r="E270" s="103"/>
      <c r="F270" s="103"/>
      <c r="G270" s="104"/>
      <c r="H270" s="104"/>
      <c r="I270" s="104"/>
      <c r="J270" s="104"/>
      <c r="K270" s="104"/>
      <c r="L270" s="104"/>
      <c r="M270" s="104"/>
      <c r="N270" s="103"/>
      <c r="O270" s="103"/>
      <c r="P270" s="106"/>
      <c r="Q270" s="106"/>
    </row>
    <row r="271">
      <c r="B271" s="147"/>
      <c r="C271" s="104"/>
      <c r="D271" s="104"/>
      <c r="E271" s="103"/>
      <c r="F271" s="103"/>
      <c r="G271" s="104"/>
      <c r="H271" s="104"/>
      <c r="I271" s="104"/>
      <c r="J271" s="104"/>
      <c r="K271" s="104"/>
      <c r="L271" s="104"/>
      <c r="M271" s="104"/>
      <c r="N271" s="103"/>
      <c r="O271" s="103"/>
      <c r="P271" s="106"/>
      <c r="Q271" s="106"/>
    </row>
    <row r="272">
      <c r="B272" s="147"/>
      <c r="C272" s="104"/>
      <c r="D272" s="104"/>
      <c r="E272" s="103"/>
      <c r="F272" s="103"/>
      <c r="G272" s="104"/>
      <c r="H272" s="104"/>
      <c r="I272" s="104"/>
      <c r="J272" s="104"/>
      <c r="K272" s="104"/>
      <c r="L272" s="104"/>
      <c r="M272" s="104"/>
      <c r="N272" s="103"/>
      <c r="O272" s="103"/>
      <c r="P272" s="106"/>
      <c r="Q272" s="106"/>
    </row>
    <row r="273">
      <c r="B273" s="147"/>
      <c r="C273" s="104"/>
      <c r="D273" s="104"/>
      <c r="E273" s="103"/>
      <c r="F273" s="103"/>
      <c r="G273" s="104"/>
      <c r="H273" s="104"/>
      <c r="I273" s="104"/>
      <c r="J273" s="104"/>
      <c r="K273" s="104"/>
      <c r="L273" s="104"/>
      <c r="M273" s="104"/>
      <c r="N273" s="103"/>
      <c r="O273" s="103"/>
      <c r="P273" s="106"/>
      <c r="Q273" s="106"/>
    </row>
    <row r="274">
      <c r="B274" s="147"/>
      <c r="C274" s="104"/>
      <c r="D274" s="104"/>
      <c r="E274" s="103"/>
      <c r="F274" s="103"/>
      <c r="G274" s="104"/>
      <c r="H274" s="104"/>
      <c r="I274" s="104"/>
      <c r="J274" s="104"/>
      <c r="K274" s="104"/>
      <c r="L274" s="104"/>
      <c r="M274" s="104"/>
      <c r="N274" s="103"/>
      <c r="O274" s="103"/>
      <c r="P274" s="106"/>
      <c r="Q274" s="106"/>
    </row>
    <row r="275">
      <c r="B275" s="147"/>
      <c r="C275" s="104"/>
      <c r="D275" s="104"/>
      <c r="E275" s="103"/>
      <c r="F275" s="103"/>
      <c r="G275" s="104"/>
      <c r="H275" s="104"/>
      <c r="I275" s="104"/>
      <c r="J275" s="104"/>
      <c r="K275" s="104"/>
      <c r="L275" s="104"/>
      <c r="M275" s="104"/>
      <c r="N275" s="103"/>
      <c r="O275" s="103"/>
      <c r="P275" s="106"/>
      <c r="Q275" s="106"/>
    </row>
    <row r="276">
      <c r="B276" s="147"/>
      <c r="C276" s="104"/>
      <c r="D276" s="104"/>
      <c r="E276" s="103"/>
      <c r="F276" s="103"/>
      <c r="G276" s="104"/>
      <c r="H276" s="104"/>
      <c r="I276" s="104"/>
      <c r="J276" s="104"/>
      <c r="K276" s="104"/>
      <c r="L276" s="104"/>
      <c r="M276" s="104"/>
      <c r="N276" s="103"/>
      <c r="O276" s="103"/>
      <c r="P276" s="106"/>
      <c r="Q276" s="106"/>
    </row>
    <row r="277">
      <c r="B277" s="147"/>
      <c r="C277" s="104"/>
      <c r="D277" s="104"/>
      <c r="E277" s="103"/>
      <c r="F277" s="103"/>
      <c r="G277" s="104"/>
      <c r="H277" s="104"/>
      <c r="I277" s="104"/>
      <c r="J277" s="104"/>
      <c r="K277" s="104"/>
      <c r="L277" s="104"/>
      <c r="M277" s="104"/>
      <c r="N277" s="103"/>
      <c r="O277" s="103"/>
      <c r="P277" s="106"/>
      <c r="Q277" s="106"/>
    </row>
    <row r="278">
      <c r="B278" s="147"/>
      <c r="C278" s="104"/>
      <c r="D278" s="104"/>
      <c r="E278" s="103"/>
      <c r="F278" s="103"/>
      <c r="G278" s="104"/>
      <c r="H278" s="104"/>
      <c r="I278" s="104"/>
      <c r="J278" s="104"/>
      <c r="K278" s="104"/>
      <c r="L278" s="104"/>
      <c r="M278" s="104"/>
      <c r="N278" s="103"/>
      <c r="O278" s="103"/>
      <c r="P278" s="106"/>
      <c r="Q278" s="106"/>
    </row>
    <row r="279">
      <c r="B279" s="147"/>
      <c r="C279" s="104"/>
      <c r="D279" s="104"/>
      <c r="E279" s="103"/>
      <c r="F279" s="103"/>
      <c r="G279" s="104"/>
      <c r="H279" s="104"/>
      <c r="I279" s="104"/>
      <c r="J279" s="104"/>
      <c r="K279" s="104"/>
      <c r="L279" s="104"/>
      <c r="M279" s="104"/>
      <c r="N279" s="103"/>
      <c r="O279" s="103"/>
      <c r="P279" s="106"/>
      <c r="Q279" s="106"/>
    </row>
    <row r="280">
      <c r="B280" s="147"/>
      <c r="C280" s="104"/>
      <c r="D280" s="104"/>
      <c r="E280" s="103"/>
      <c r="F280" s="103"/>
      <c r="G280" s="104"/>
      <c r="H280" s="104"/>
      <c r="I280" s="104"/>
      <c r="J280" s="104"/>
      <c r="K280" s="104"/>
      <c r="L280" s="104"/>
      <c r="M280" s="104"/>
      <c r="N280" s="103"/>
      <c r="O280" s="103"/>
      <c r="P280" s="106"/>
      <c r="Q280" s="106"/>
    </row>
    <row r="281">
      <c r="B281" s="147"/>
      <c r="C281" s="104"/>
      <c r="D281" s="104"/>
      <c r="E281" s="103"/>
      <c r="F281" s="103"/>
      <c r="G281" s="104"/>
      <c r="H281" s="104"/>
      <c r="I281" s="104"/>
      <c r="J281" s="104"/>
      <c r="K281" s="104"/>
      <c r="L281" s="104"/>
      <c r="M281" s="104"/>
      <c r="N281" s="103"/>
      <c r="O281" s="103"/>
      <c r="P281" s="106"/>
      <c r="Q281" s="106"/>
    </row>
    <row r="282">
      <c r="B282" s="147"/>
      <c r="C282" s="104"/>
      <c r="D282" s="104"/>
      <c r="E282" s="103"/>
      <c r="F282" s="103"/>
      <c r="G282" s="104"/>
      <c r="H282" s="104"/>
      <c r="I282" s="104"/>
      <c r="J282" s="104"/>
      <c r="K282" s="104"/>
      <c r="L282" s="104"/>
      <c r="M282" s="104"/>
      <c r="N282" s="103"/>
      <c r="O282" s="103"/>
      <c r="P282" s="106"/>
      <c r="Q282" s="106"/>
    </row>
    <row r="283">
      <c r="B283" s="147"/>
      <c r="C283" s="104"/>
      <c r="D283" s="104"/>
      <c r="E283" s="103"/>
      <c r="F283" s="103"/>
      <c r="G283" s="104"/>
      <c r="H283" s="104"/>
      <c r="I283" s="104"/>
      <c r="J283" s="104"/>
      <c r="K283" s="104"/>
      <c r="L283" s="104"/>
      <c r="M283" s="104"/>
      <c r="N283" s="103"/>
      <c r="O283" s="103"/>
      <c r="P283" s="106"/>
      <c r="Q283" s="106"/>
    </row>
    <row r="284">
      <c r="B284" s="147"/>
      <c r="C284" s="104"/>
      <c r="D284" s="104"/>
      <c r="E284" s="103"/>
      <c r="F284" s="103"/>
      <c r="G284" s="104"/>
      <c r="H284" s="104"/>
      <c r="I284" s="104"/>
      <c r="J284" s="104"/>
      <c r="K284" s="104"/>
      <c r="L284" s="104"/>
      <c r="M284" s="104"/>
      <c r="N284" s="103"/>
      <c r="O284" s="103"/>
      <c r="P284" s="106"/>
      <c r="Q284" s="106"/>
    </row>
    <row r="285">
      <c r="B285" s="147"/>
      <c r="C285" s="104"/>
      <c r="D285" s="104"/>
      <c r="E285" s="103"/>
      <c r="F285" s="103"/>
      <c r="G285" s="104"/>
      <c r="H285" s="104"/>
      <c r="I285" s="104"/>
      <c r="J285" s="104"/>
      <c r="K285" s="104"/>
      <c r="L285" s="104"/>
      <c r="M285" s="104"/>
      <c r="N285" s="103"/>
      <c r="O285" s="103"/>
      <c r="P285" s="106"/>
      <c r="Q285" s="106"/>
    </row>
    <row r="286">
      <c r="B286" s="147"/>
      <c r="C286" s="104"/>
      <c r="D286" s="104"/>
      <c r="E286" s="103"/>
      <c r="F286" s="103"/>
      <c r="G286" s="104"/>
      <c r="H286" s="104"/>
      <c r="I286" s="104"/>
      <c r="J286" s="104"/>
      <c r="K286" s="104"/>
      <c r="L286" s="104"/>
      <c r="M286" s="104"/>
      <c r="N286" s="103"/>
      <c r="O286" s="103"/>
      <c r="P286" s="106"/>
      <c r="Q286" s="106"/>
    </row>
    <row r="287">
      <c r="B287" s="147"/>
      <c r="C287" s="104"/>
      <c r="D287" s="104"/>
      <c r="E287" s="103"/>
      <c r="F287" s="103"/>
      <c r="G287" s="104"/>
      <c r="H287" s="104"/>
      <c r="I287" s="104"/>
      <c r="J287" s="104"/>
      <c r="K287" s="104"/>
      <c r="L287" s="104"/>
      <c r="M287" s="104"/>
      <c r="N287" s="103"/>
      <c r="O287" s="103"/>
      <c r="P287" s="106"/>
      <c r="Q287" s="106"/>
    </row>
    <row r="288">
      <c r="B288" s="147"/>
      <c r="C288" s="104"/>
      <c r="D288" s="104"/>
      <c r="E288" s="103"/>
      <c r="F288" s="103"/>
      <c r="G288" s="104"/>
      <c r="H288" s="104"/>
      <c r="I288" s="104"/>
      <c r="J288" s="104"/>
      <c r="K288" s="104"/>
      <c r="L288" s="104"/>
      <c r="M288" s="104"/>
      <c r="N288" s="103"/>
      <c r="O288" s="103"/>
      <c r="P288" s="106"/>
      <c r="Q288" s="106"/>
    </row>
    <row r="289">
      <c r="B289" s="147"/>
      <c r="C289" s="104"/>
      <c r="D289" s="104"/>
      <c r="E289" s="103"/>
      <c r="F289" s="103"/>
      <c r="G289" s="104"/>
      <c r="H289" s="104"/>
      <c r="I289" s="104"/>
      <c r="J289" s="104"/>
      <c r="K289" s="104"/>
      <c r="L289" s="104"/>
      <c r="M289" s="104"/>
      <c r="N289" s="103"/>
      <c r="O289" s="103"/>
      <c r="P289" s="106"/>
      <c r="Q289" s="106"/>
    </row>
    <row r="290">
      <c r="B290" s="147"/>
      <c r="C290" s="104"/>
      <c r="D290" s="104"/>
      <c r="E290" s="103"/>
      <c r="F290" s="103"/>
      <c r="G290" s="104"/>
      <c r="H290" s="104"/>
      <c r="I290" s="104"/>
      <c r="J290" s="104"/>
      <c r="K290" s="104"/>
      <c r="L290" s="104"/>
      <c r="M290" s="104"/>
      <c r="N290" s="103"/>
      <c r="O290" s="103"/>
      <c r="P290" s="106"/>
      <c r="Q290" s="106"/>
    </row>
    <row r="291">
      <c r="B291" s="147"/>
      <c r="C291" s="104"/>
      <c r="D291" s="104"/>
      <c r="E291" s="103"/>
      <c r="F291" s="103"/>
      <c r="G291" s="104"/>
      <c r="H291" s="104"/>
      <c r="I291" s="104"/>
      <c r="J291" s="104"/>
      <c r="K291" s="104"/>
      <c r="L291" s="104"/>
      <c r="M291" s="104"/>
      <c r="N291" s="103"/>
      <c r="O291" s="103"/>
      <c r="P291" s="106"/>
      <c r="Q291" s="106"/>
    </row>
    <row r="292">
      <c r="B292" s="147"/>
      <c r="C292" s="104"/>
      <c r="D292" s="104"/>
      <c r="E292" s="103"/>
      <c r="F292" s="103"/>
      <c r="G292" s="104"/>
      <c r="H292" s="104"/>
      <c r="I292" s="104"/>
      <c r="J292" s="104"/>
      <c r="K292" s="104"/>
      <c r="L292" s="104"/>
      <c r="M292" s="104"/>
      <c r="N292" s="103"/>
      <c r="O292" s="103"/>
      <c r="P292" s="106"/>
      <c r="Q292" s="106"/>
    </row>
    <row r="293">
      <c r="B293" s="147"/>
      <c r="C293" s="104"/>
      <c r="D293" s="104"/>
      <c r="E293" s="103"/>
      <c r="F293" s="103"/>
      <c r="G293" s="104"/>
      <c r="H293" s="104"/>
      <c r="I293" s="104"/>
      <c r="J293" s="104"/>
      <c r="K293" s="104"/>
      <c r="L293" s="104"/>
      <c r="M293" s="104"/>
      <c r="N293" s="103"/>
      <c r="O293" s="103"/>
      <c r="P293" s="106"/>
      <c r="Q293" s="106"/>
    </row>
    <row r="294">
      <c r="B294" s="147"/>
      <c r="C294" s="104"/>
      <c r="D294" s="104"/>
      <c r="E294" s="103"/>
      <c r="F294" s="103"/>
      <c r="G294" s="104"/>
      <c r="H294" s="104"/>
      <c r="I294" s="104"/>
      <c r="J294" s="104"/>
      <c r="K294" s="104"/>
      <c r="L294" s="104"/>
      <c r="M294" s="104"/>
      <c r="N294" s="103"/>
      <c r="O294" s="103"/>
      <c r="P294" s="106"/>
      <c r="Q294" s="106"/>
    </row>
    <row r="295">
      <c r="B295" s="147"/>
      <c r="C295" s="104"/>
      <c r="D295" s="104"/>
      <c r="E295" s="103"/>
      <c r="F295" s="103"/>
      <c r="G295" s="104"/>
      <c r="H295" s="104"/>
      <c r="I295" s="104"/>
      <c r="J295" s="104"/>
      <c r="K295" s="104"/>
      <c r="L295" s="104"/>
      <c r="M295" s="104"/>
      <c r="N295" s="103"/>
      <c r="O295" s="103"/>
      <c r="P295" s="106"/>
      <c r="Q295" s="106"/>
    </row>
    <row r="296">
      <c r="B296" s="147"/>
      <c r="C296" s="104"/>
      <c r="D296" s="104"/>
      <c r="E296" s="103"/>
      <c r="F296" s="103"/>
      <c r="G296" s="104"/>
      <c r="H296" s="104"/>
      <c r="I296" s="104"/>
      <c r="J296" s="104"/>
      <c r="K296" s="104"/>
      <c r="L296" s="104"/>
      <c r="M296" s="104"/>
      <c r="N296" s="103"/>
      <c r="O296" s="103"/>
      <c r="P296" s="106"/>
      <c r="Q296" s="106"/>
    </row>
    <row r="297">
      <c r="B297" s="147"/>
      <c r="C297" s="104"/>
      <c r="D297" s="104"/>
      <c r="E297" s="103"/>
      <c r="F297" s="103"/>
      <c r="G297" s="104"/>
      <c r="H297" s="104"/>
      <c r="I297" s="104"/>
      <c r="J297" s="104"/>
      <c r="K297" s="104"/>
      <c r="L297" s="104"/>
      <c r="M297" s="104"/>
      <c r="N297" s="103"/>
      <c r="O297" s="103"/>
      <c r="P297" s="106"/>
      <c r="Q297" s="106"/>
    </row>
    <row r="298">
      <c r="B298" s="147"/>
      <c r="C298" s="104"/>
      <c r="D298" s="104"/>
      <c r="E298" s="103"/>
      <c r="F298" s="103"/>
      <c r="G298" s="104"/>
      <c r="H298" s="104"/>
      <c r="I298" s="104"/>
      <c r="J298" s="104"/>
      <c r="K298" s="104"/>
      <c r="L298" s="104"/>
      <c r="M298" s="104"/>
      <c r="N298" s="103"/>
      <c r="O298" s="103"/>
      <c r="P298" s="106"/>
      <c r="Q298" s="106"/>
    </row>
    <row r="299">
      <c r="B299" s="147"/>
      <c r="C299" s="104"/>
      <c r="D299" s="104"/>
      <c r="E299" s="103"/>
      <c r="F299" s="103"/>
      <c r="G299" s="104"/>
      <c r="H299" s="104"/>
      <c r="I299" s="104"/>
      <c r="J299" s="104"/>
      <c r="K299" s="104"/>
      <c r="L299" s="104"/>
      <c r="M299" s="104"/>
      <c r="N299" s="103"/>
      <c r="O299" s="103"/>
      <c r="P299" s="106"/>
      <c r="Q299" s="106"/>
    </row>
    <row r="300">
      <c r="B300" s="147"/>
      <c r="C300" s="104"/>
      <c r="D300" s="104"/>
      <c r="E300" s="103"/>
      <c r="F300" s="103"/>
      <c r="G300" s="104"/>
      <c r="H300" s="104"/>
      <c r="I300" s="104"/>
      <c r="J300" s="104"/>
      <c r="K300" s="104"/>
      <c r="L300" s="104"/>
      <c r="M300" s="104"/>
      <c r="N300" s="103"/>
      <c r="O300" s="103"/>
      <c r="P300" s="106"/>
      <c r="Q300" s="106"/>
    </row>
    <row r="301">
      <c r="B301" s="147"/>
      <c r="C301" s="104"/>
      <c r="D301" s="104"/>
      <c r="E301" s="103"/>
      <c r="F301" s="103"/>
      <c r="G301" s="104"/>
      <c r="H301" s="104"/>
      <c r="I301" s="104"/>
      <c r="J301" s="104"/>
      <c r="K301" s="104"/>
      <c r="L301" s="104"/>
      <c r="M301" s="104"/>
      <c r="N301" s="103"/>
      <c r="O301" s="103"/>
      <c r="P301" s="106"/>
      <c r="Q301" s="106"/>
    </row>
    <row r="302">
      <c r="B302" s="147"/>
      <c r="C302" s="104"/>
      <c r="D302" s="104"/>
      <c r="E302" s="103"/>
      <c r="F302" s="103"/>
      <c r="G302" s="104"/>
      <c r="H302" s="104"/>
      <c r="I302" s="104"/>
      <c r="J302" s="104"/>
      <c r="K302" s="104"/>
      <c r="L302" s="104"/>
      <c r="M302" s="104"/>
      <c r="N302" s="103"/>
      <c r="O302" s="103"/>
      <c r="P302" s="106"/>
      <c r="Q302" s="106"/>
    </row>
    <row r="303">
      <c r="B303" s="147"/>
      <c r="C303" s="104"/>
      <c r="D303" s="104"/>
      <c r="E303" s="103"/>
      <c r="F303" s="103"/>
      <c r="G303" s="104"/>
      <c r="H303" s="104"/>
      <c r="I303" s="104"/>
      <c r="J303" s="104"/>
      <c r="K303" s="104"/>
      <c r="L303" s="104"/>
      <c r="M303" s="104"/>
      <c r="N303" s="103"/>
      <c r="O303" s="103"/>
      <c r="P303" s="106"/>
      <c r="Q303" s="106"/>
    </row>
    <row r="304">
      <c r="B304" s="147"/>
      <c r="C304" s="104"/>
      <c r="D304" s="104"/>
      <c r="E304" s="103"/>
      <c r="F304" s="103"/>
      <c r="G304" s="104"/>
      <c r="H304" s="104"/>
      <c r="I304" s="104"/>
      <c r="J304" s="104"/>
      <c r="K304" s="104"/>
      <c r="L304" s="104"/>
      <c r="M304" s="104"/>
      <c r="N304" s="103"/>
      <c r="O304" s="103"/>
      <c r="P304" s="106"/>
      <c r="Q304" s="106"/>
    </row>
    <row r="305">
      <c r="B305" s="147"/>
      <c r="C305" s="104"/>
      <c r="D305" s="104"/>
      <c r="E305" s="103"/>
      <c r="F305" s="103"/>
      <c r="G305" s="104"/>
      <c r="H305" s="104"/>
      <c r="I305" s="104"/>
      <c r="J305" s="104"/>
      <c r="K305" s="104"/>
      <c r="L305" s="104"/>
      <c r="M305" s="104"/>
      <c r="N305" s="103"/>
      <c r="O305" s="103"/>
      <c r="P305" s="106"/>
      <c r="Q305" s="106"/>
    </row>
    <row r="306">
      <c r="B306" s="147"/>
      <c r="C306" s="104"/>
      <c r="D306" s="104"/>
      <c r="E306" s="103"/>
      <c r="F306" s="103"/>
      <c r="G306" s="104"/>
      <c r="H306" s="104"/>
      <c r="I306" s="104"/>
      <c r="J306" s="104"/>
      <c r="K306" s="104"/>
      <c r="L306" s="104"/>
      <c r="M306" s="104"/>
      <c r="N306" s="103"/>
      <c r="O306" s="103"/>
      <c r="P306" s="106"/>
      <c r="Q306" s="106"/>
    </row>
    <row r="307">
      <c r="B307" s="147"/>
      <c r="C307" s="104"/>
      <c r="D307" s="104"/>
      <c r="E307" s="103"/>
      <c r="F307" s="103"/>
      <c r="G307" s="104"/>
      <c r="H307" s="104"/>
      <c r="I307" s="104"/>
      <c r="J307" s="104"/>
      <c r="K307" s="104"/>
      <c r="L307" s="104"/>
      <c r="M307" s="104"/>
      <c r="N307" s="103"/>
      <c r="O307" s="103"/>
      <c r="P307" s="106"/>
      <c r="Q307" s="106"/>
    </row>
    <row r="308">
      <c r="B308" s="147"/>
      <c r="C308" s="104"/>
      <c r="D308" s="104"/>
      <c r="E308" s="103"/>
      <c r="F308" s="103"/>
      <c r="G308" s="104"/>
      <c r="H308" s="104"/>
      <c r="I308" s="104"/>
      <c r="J308" s="104"/>
      <c r="K308" s="104"/>
      <c r="L308" s="104"/>
      <c r="M308" s="104"/>
      <c r="N308" s="103"/>
      <c r="O308" s="103"/>
      <c r="P308" s="106"/>
      <c r="Q308" s="106"/>
    </row>
    <row r="309">
      <c r="B309" s="147"/>
      <c r="C309" s="104"/>
      <c r="D309" s="104"/>
      <c r="E309" s="103"/>
      <c r="F309" s="103"/>
      <c r="G309" s="104"/>
      <c r="H309" s="104"/>
      <c r="I309" s="104"/>
      <c r="J309" s="104"/>
      <c r="K309" s="104"/>
      <c r="L309" s="104"/>
      <c r="M309" s="104"/>
      <c r="N309" s="103"/>
      <c r="O309" s="103"/>
      <c r="P309" s="106"/>
      <c r="Q309" s="106"/>
    </row>
    <row r="310">
      <c r="B310" s="147"/>
      <c r="C310" s="104"/>
      <c r="D310" s="104"/>
      <c r="E310" s="103"/>
      <c r="F310" s="103"/>
      <c r="G310" s="104"/>
      <c r="H310" s="104"/>
      <c r="I310" s="104"/>
      <c r="J310" s="104"/>
      <c r="K310" s="104"/>
      <c r="L310" s="104"/>
      <c r="M310" s="104"/>
      <c r="N310" s="103"/>
      <c r="O310" s="103"/>
      <c r="P310" s="106"/>
      <c r="Q310" s="106"/>
    </row>
    <row r="311">
      <c r="B311" s="147"/>
      <c r="C311" s="104"/>
      <c r="D311" s="104"/>
      <c r="E311" s="103"/>
      <c r="F311" s="103"/>
      <c r="G311" s="104"/>
      <c r="H311" s="104"/>
      <c r="I311" s="104"/>
      <c r="J311" s="104"/>
      <c r="K311" s="104"/>
      <c r="L311" s="104"/>
      <c r="M311" s="104"/>
      <c r="N311" s="103"/>
      <c r="O311" s="103"/>
      <c r="P311" s="106"/>
      <c r="Q311" s="106"/>
    </row>
    <row r="312">
      <c r="B312" s="147"/>
      <c r="C312" s="104"/>
      <c r="D312" s="104"/>
      <c r="E312" s="103"/>
      <c r="F312" s="103"/>
      <c r="G312" s="104"/>
      <c r="H312" s="104"/>
      <c r="I312" s="104"/>
      <c r="J312" s="104"/>
      <c r="K312" s="104"/>
      <c r="L312" s="104"/>
      <c r="M312" s="104"/>
      <c r="N312" s="103"/>
      <c r="O312" s="103"/>
      <c r="P312" s="106"/>
      <c r="Q312" s="106"/>
    </row>
    <row r="313">
      <c r="B313" s="147"/>
      <c r="C313" s="104"/>
      <c r="D313" s="104"/>
      <c r="E313" s="103"/>
      <c r="F313" s="103"/>
      <c r="G313" s="104"/>
      <c r="H313" s="104"/>
      <c r="I313" s="104"/>
      <c r="J313" s="104"/>
      <c r="K313" s="104"/>
      <c r="L313" s="104"/>
      <c r="M313" s="104"/>
      <c r="N313" s="103"/>
      <c r="O313" s="103"/>
      <c r="P313" s="106"/>
      <c r="Q313" s="106"/>
    </row>
    <row r="314">
      <c r="B314" s="147"/>
      <c r="C314" s="104"/>
      <c r="D314" s="104"/>
      <c r="E314" s="103"/>
      <c r="F314" s="103"/>
      <c r="G314" s="104"/>
      <c r="H314" s="104"/>
      <c r="I314" s="104"/>
      <c r="J314" s="104"/>
      <c r="K314" s="104"/>
      <c r="L314" s="104"/>
      <c r="M314" s="104"/>
      <c r="N314" s="103"/>
      <c r="O314" s="103"/>
      <c r="P314" s="106"/>
      <c r="Q314" s="106"/>
    </row>
    <row r="315">
      <c r="B315" s="147"/>
      <c r="C315" s="104"/>
      <c r="D315" s="104"/>
      <c r="E315" s="103"/>
      <c r="F315" s="103"/>
      <c r="G315" s="104"/>
      <c r="H315" s="104"/>
      <c r="I315" s="104"/>
      <c r="J315" s="104"/>
      <c r="K315" s="104"/>
      <c r="L315" s="104"/>
      <c r="M315" s="104"/>
      <c r="N315" s="103"/>
      <c r="O315" s="103"/>
      <c r="P315" s="106"/>
      <c r="Q315" s="106"/>
    </row>
    <row r="316">
      <c r="B316" s="147"/>
      <c r="C316" s="104"/>
      <c r="D316" s="104"/>
      <c r="E316" s="103"/>
      <c r="F316" s="103"/>
      <c r="G316" s="104"/>
      <c r="H316" s="104"/>
      <c r="I316" s="104"/>
      <c r="J316" s="104"/>
      <c r="K316" s="104"/>
      <c r="L316" s="104"/>
      <c r="M316" s="104"/>
      <c r="N316" s="103"/>
      <c r="O316" s="103"/>
      <c r="P316" s="106"/>
      <c r="Q316" s="106"/>
    </row>
    <row r="317">
      <c r="B317" s="147"/>
      <c r="C317" s="104"/>
      <c r="D317" s="104"/>
      <c r="E317" s="103"/>
      <c r="F317" s="103"/>
      <c r="G317" s="104"/>
      <c r="H317" s="104"/>
      <c r="I317" s="104"/>
      <c r="J317" s="104"/>
      <c r="K317" s="104"/>
      <c r="L317" s="104"/>
      <c r="M317" s="104"/>
      <c r="N317" s="103"/>
      <c r="O317" s="103"/>
      <c r="P317" s="106"/>
      <c r="Q317" s="106"/>
    </row>
    <row r="318">
      <c r="B318" s="147"/>
      <c r="C318" s="104"/>
      <c r="D318" s="104"/>
      <c r="E318" s="103"/>
      <c r="F318" s="103"/>
      <c r="G318" s="104"/>
      <c r="H318" s="104"/>
      <c r="I318" s="104"/>
      <c r="J318" s="104"/>
      <c r="K318" s="104"/>
      <c r="L318" s="104"/>
      <c r="M318" s="104"/>
      <c r="N318" s="103"/>
      <c r="O318" s="103"/>
      <c r="P318" s="106"/>
      <c r="Q318" s="106"/>
    </row>
    <row r="319">
      <c r="B319" s="147"/>
      <c r="C319" s="104"/>
      <c r="D319" s="104"/>
      <c r="E319" s="103"/>
      <c r="F319" s="103"/>
      <c r="G319" s="104"/>
      <c r="H319" s="104"/>
      <c r="I319" s="104"/>
      <c r="J319" s="104"/>
      <c r="K319" s="104"/>
      <c r="L319" s="104"/>
      <c r="M319" s="104"/>
      <c r="N319" s="103"/>
      <c r="O319" s="103"/>
      <c r="P319" s="106"/>
      <c r="Q319" s="106"/>
    </row>
    <row r="320">
      <c r="B320" s="147"/>
      <c r="C320" s="104"/>
      <c r="D320" s="104"/>
      <c r="E320" s="103"/>
      <c r="F320" s="103"/>
      <c r="G320" s="104"/>
      <c r="H320" s="104"/>
      <c r="I320" s="104"/>
      <c r="J320" s="104"/>
      <c r="K320" s="104"/>
      <c r="L320" s="104"/>
      <c r="M320" s="104"/>
      <c r="N320" s="103"/>
      <c r="O320" s="103"/>
      <c r="P320" s="106"/>
      <c r="Q320" s="106"/>
    </row>
    <row r="321">
      <c r="B321" s="147"/>
      <c r="C321" s="104"/>
      <c r="D321" s="104"/>
      <c r="E321" s="103"/>
      <c r="F321" s="103"/>
      <c r="G321" s="104"/>
      <c r="H321" s="104"/>
      <c r="I321" s="104"/>
      <c r="J321" s="104"/>
      <c r="K321" s="104"/>
      <c r="L321" s="104"/>
      <c r="M321" s="104"/>
      <c r="N321" s="103"/>
      <c r="O321" s="103"/>
      <c r="P321" s="106"/>
      <c r="Q321" s="106"/>
    </row>
    <row r="322">
      <c r="B322" s="147"/>
      <c r="C322" s="104"/>
      <c r="D322" s="104"/>
      <c r="E322" s="103"/>
      <c r="F322" s="103"/>
      <c r="G322" s="104"/>
      <c r="H322" s="104"/>
      <c r="I322" s="104"/>
      <c r="J322" s="104"/>
      <c r="K322" s="104"/>
      <c r="L322" s="104"/>
      <c r="M322" s="104"/>
      <c r="N322" s="103"/>
      <c r="O322" s="103"/>
      <c r="P322" s="106"/>
      <c r="Q322" s="106"/>
    </row>
    <row r="323">
      <c r="B323" s="147"/>
      <c r="C323" s="104"/>
      <c r="D323" s="104"/>
      <c r="E323" s="103"/>
      <c r="F323" s="103"/>
      <c r="G323" s="104"/>
      <c r="H323" s="104"/>
      <c r="I323" s="104"/>
      <c r="J323" s="104"/>
      <c r="K323" s="104"/>
      <c r="L323" s="104"/>
      <c r="M323" s="104"/>
      <c r="N323" s="103"/>
      <c r="O323" s="103"/>
      <c r="P323" s="106"/>
      <c r="Q323" s="106"/>
    </row>
    <row r="324">
      <c r="B324" s="147"/>
      <c r="C324" s="104"/>
      <c r="D324" s="104"/>
      <c r="E324" s="103"/>
      <c r="F324" s="103"/>
      <c r="G324" s="104"/>
      <c r="H324" s="104"/>
      <c r="I324" s="104"/>
      <c r="J324" s="104"/>
      <c r="K324" s="104"/>
      <c r="L324" s="104"/>
      <c r="M324" s="104"/>
      <c r="N324" s="103"/>
      <c r="O324" s="103"/>
      <c r="P324" s="106"/>
      <c r="Q324" s="106"/>
    </row>
    <row r="325">
      <c r="B325" s="147"/>
      <c r="C325" s="104"/>
      <c r="D325" s="104"/>
      <c r="E325" s="103"/>
      <c r="F325" s="103"/>
      <c r="G325" s="104"/>
      <c r="H325" s="104"/>
      <c r="I325" s="104"/>
      <c r="J325" s="104"/>
      <c r="K325" s="104"/>
      <c r="L325" s="104"/>
      <c r="M325" s="104"/>
      <c r="N325" s="103"/>
      <c r="O325" s="103"/>
      <c r="P325" s="106"/>
      <c r="Q325" s="106"/>
    </row>
    <row r="326">
      <c r="B326" s="147"/>
      <c r="C326" s="104"/>
      <c r="D326" s="104"/>
      <c r="E326" s="103"/>
      <c r="F326" s="103"/>
      <c r="G326" s="104"/>
      <c r="H326" s="104"/>
      <c r="I326" s="104"/>
      <c r="J326" s="104"/>
      <c r="K326" s="104"/>
      <c r="L326" s="104"/>
      <c r="M326" s="104"/>
      <c r="N326" s="103"/>
      <c r="O326" s="103"/>
      <c r="P326" s="106"/>
      <c r="Q326" s="106"/>
    </row>
    <row r="327">
      <c r="B327" s="147"/>
      <c r="C327" s="104"/>
      <c r="D327" s="104"/>
      <c r="E327" s="103"/>
      <c r="F327" s="103"/>
      <c r="G327" s="104"/>
      <c r="H327" s="104"/>
      <c r="I327" s="104"/>
      <c r="J327" s="104"/>
      <c r="K327" s="104"/>
      <c r="L327" s="104"/>
      <c r="M327" s="104"/>
      <c r="N327" s="103"/>
      <c r="O327" s="103"/>
      <c r="P327" s="106"/>
      <c r="Q327" s="106"/>
    </row>
    <row r="328">
      <c r="B328" s="147"/>
      <c r="C328" s="104"/>
      <c r="D328" s="104"/>
      <c r="E328" s="103"/>
      <c r="F328" s="103"/>
      <c r="G328" s="104"/>
      <c r="H328" s="104"/>
      <c r="I328" s="104"/>
      <c r="J328" s="104"/>
      <c r="K328" s="104"/>
      <c r="L328" s="104"/>
      <c r="M328" s="104"/>
      <c r="N328" s="103"/>
      <c r="O328" s="103"/>
      <c r="P328" s="106"/>
      <c r="Q328" s="106"/>
    </row>
    <row r="329">
      <c r="B329" s="147"/>
      <c r="C329" s="104"/>
      <c r="D329" s="104"/>
      <c r="E329" s="103"/>
      <c r="F329" s="103"/>
      <c r="G329" s="104"/>
      <c r="H329" s="104"/>
      <c r="I329" s="104"/>
      <c r="J329" s="104"/>
      <c r="K329" s="104"/>
      <c r="L329" s="104"/>
      <c r="M329" s="104"/>
      <c r="N329" s="103"/>
      <c r="O329" s="103"/>
      <c r="P329" s="106"/>
      <c r="Q329" s="106"/>
    </row>
    <row r="330">
      <c r="B330" s="147"/>
      <c r="C330" s="104"/>
      <c r="D330" s="104"/>
      <c r="E330" s="103"/>
      <c r="F330" s="103"/>
      <c r="G330" s="104"/>
      <c r="H330" s="104"/>
      <c r="I330" s="104"/>
      <c r="J330" s="104"/>
      <c r="K330" s="104"/>
      <c r="L330" s="104"/>
      <c r="M330" s="104"/>
      <c r="N330" s="103"/>
      <c r="O330" s="103"/>
      <c r="P330" s="106"/>
      <c r="Q330" s="106"/>
    </row>
    <row r="331">
      <c r="B331" s="147"/>
      <c r="C331" s="104"/>
      <c r="D331" s="104"/>
      <c r="E331" s="103"/>
      <c r="F331" s="103"/>
      <c r="G331" s="104"/>
      <c r="H331" s="104"/>
      <c r="I331" s="104"/>
      <c r="J331" s="104"/>
      <c r="K331" s="104"/>
      <c r="L331" s="104"/>
      <c r="M331" s="104"/>
      <c r="N331" s="103"/>
      <c r="O331" s="103"/>
      <c r="P331" s="106"/>
      <c r="Q331" s="106"/>
    </row>
    <row r="332">
      <c r="B332" s="147"/>
      <c r="C332" s="104"/>
      <c r="D332" s="104"/>
      <c r="E332" s="103"/>
      <c r="F332" s="103"/>
      <c r="G332" s="104"/>
      <c r="H332" s="104"/>
      <c r="I332" s="104"/>
      <c r="J332" s="104"/>
      <c r="K332" s="104"/>
      <c r="L332" s="104"/>
      <c r="M332" s="104"/>
      <c r="N332" s="103"/>
      <c r="O332" s="103"/>
      <c r="P332" s="106"/>
      <c r="Q332" s="106"/>
    </row>
    <row r="333">
      <c r="B333" s="147"/>
      <c r="C333" s="104"/>
      <c r="D333" s="104"/>
      <c r="E333" s="103"/>
      <c r="F333" s="103"/>
      <c r="G333" s="104"/>
      <c r="H333" s="104"/>
      <c r="I333" s="104"/>
      <c r="J333" s="104"/>
      <c r="K333" s="104"/>
      <c r="L333" s="104"/>
      <c r="M333" s="104"/>
      <c r="N333" s="103"/>
      <c r="O333" s="103"/>
      <c r="P333" s="106"/>
      <c r="Q333" s="106"/>
    </row>
    <row r="334">
      <c r="B334" s="147"/>
      <c r="C334" s="104"/>
      <c r="D334" s="104"/>
      <c r="E334" s="103"/>
      <c r="F334" s="103"/>
      <c r="G334" s="104"/>
      <c r="H334" s="104"/>
      <c r="I334" s="104"/>
      <c r="J334" s="104"/>
      <c r="K334" s="104"/>
      <c r="L334" s="104"/>
      <c r="M334" s="104"/>
      <c r="N334" s="103"/>
      <c r="O334" s="103"/>
      <c r="P334" s="106"/>
      <c r="Q334" s="106"/>
    </row>
    <row r="335">
      <c r="B335" s="147"/>
      <c r="C335" s="104"/>
      <c r="D335" s="104"/>
      <c r="E335" s="103"/>
      <c r="F335" s="103"/>
      <c r="G335" s="104"/>
      <c r="H335" s="104"/>
      <c r="I335" s="104"/>
      <c r="J335" s="104"/>
      <c r="K335" s="104"/>
      <c r="L335" s="104"/>
      <c r="M335" s="104"/>
      <c r="N335" s="103"/>
      <c r="O335" s="103"/>
      <c r="P335" s="106"/>
      <c r="Q335" s="106"/>
    </row>
    <row r="336">
      <c r="B336" s="147"/>
      <c r="C336" s="104"/>
      <c r="D336" s="104"/>
      <c r="E336" s="103"/>
      <c r="F336" s="103"/>
      <c r="G336" s="104"/>
      <c r="H336" s="104"/>
      <c r="I336" s="104"/>
      <c r="J336" s="104"/>
      <c r="K336" s="104"/>
      <c r="L336" s="104"/>
      <c r="M336" s="104"/>
      <c r="N336" s="103"/>
      <c r="O336" s="103"/>
      <c r="P336" s="106"/>
      <c r="Q336" s="106"/>
    </row>
    <row r="337">
      <c r="B337" s="147"/>
      <c r="C337" s="104"/>
      <c r="D337" s="104"/>
      <c r="E337" s="103"/>
      <c r="F337" s="103"/>
      <c r="G337" s="104"/>
      <c r="H337" s="104"/>
      <c r="I337" s="104"/>
      <c r="J337" s="104"/>
      <c r="K337" s="104"/>
      <c r="L337" s="104"/>
      <c r="M337" s="104"/>
      <c r="N337" s="103"/>
      <c r="O337" s="103"/>
      <c r="P337" s="106"/>
      <c r="Q337" s="106"/>
    </row>
    <row r="338">
      <c r="B338" s="147"/>
      <c r="C338" s="104"/>
      <c r="D338" s="104"/>
      <c r="E338" s="103"/>
      <c r="F338" s="103"/>
      <c r="G338" s="104"/>
      <c r="H338" s="104"/>
      <c r="I338" s="104"/>
      <c r="J338" s="104"/>
      <c r="K338" s="104"/>
      <c r="L338" s="104"/>
      <c r="M338" s="104"/>
      <c r="N338" s="103"/>
      <c r="O338" s="103"/>
      <c r="P338" s="106"/>
      <c r="Q338" s="106"/>
    </row>
    <row r="339">
      <c r="B339" s="147"/>
      <c r="C339" s="104"/>
      <c r="D339" s="104"/>
      <c r="E339" s="103"/>
      <c r="F339" s="103"/>
      <c r="G339" s="104"/>
      <c r="H339" s="104"/>
      <c r="I339" s="104"/>
      <c r="J339" s="104"/>
      <c r="K339" s="104"/>
      <c r="L339" s="104"/>
      <c r="M339" s="104"/>
      <c r="N339" s="103"/>
      <c r="O339" s="103"/>
      <c r="P339" s="106"/>
      <c r="Q339" s="106"/>
    </row>
    <row r="340">
      <c r="B340" s="147"/>
      <c r="C340" s="104"/>
      <c r="D340" s="104"/>
      <c r="E340" s="103"/>
      <c r="F340" s="103"/>
      <c r="G340" s="104"/>
      <c r="H340" s="104"/>
      <c r="I340" s="104"/>
      <c r="J340" s="104"/>
      <c r="K340" s="104"/>
      <c r="L340" s="104"/>
      <c r="M340" s="104"/>
      <c r="N340" s="103"/>
      <c r="O340" s="103"/>
      <c r="P340" s="106"/>
      <c r="Q340" s="106"/>
    </row>
    <row r="341">
      <c r="B341" s="147"/>
      <c r="C341" s="104"/>
      <c r="D341" s="104"/>
      <c r="E341" s="103"/>
      <c r="F341" s="103"/>
      <c r="G341" s="104"/>
      <c r="H341" s="104"/>
      <c r="I341" s="104"/>
      <c r="J341" s="104"/>
      <c r="K341" s="104"/>
      <c r="L341" s="104"/>
      <c r="M341" s="104"/>
      <c r="N341" s="103"/>
      <c r="O341" s="103"/>
      <c r="P341" s="106"/>
      <c r="Q341" s="106"/>
    </row>
    <row r="342">
      <c r="B342" s="147"/>
      <c r="C342" s="104"/>
      <c r="D342" s="104"/>
      <c r="E342" s="103"/>
      <c r="F342" s="103"/>
      <c r="G342" s="104"/>
      <c r="H342" s="104"/>
      <c r="I342" s="104"/>
      <c r="J342" s="104"/>
      <c r="K342" s="104"/>
      <c r="L342" s="104"/>
      <c r="M342" s="104"/>
      <c r="N342" s="103"/>
      <c r="O342" s="103"/>
      <c r="P342" s="106"/>
      <c r="Q342" s="106"/>
    </row>
    <row r="343">
      <c r="B343" s="147"/>
      <c r="C343" s="104"/>
      <c r="D343" s="104"/>
      <c r="E343" s="103"/>
      <c r="F343" s="103"/>
      <c r="G343" s="104"/>
      <c r="H343" s="104"/>
      <c r="I343" s="104"/>
      <c r="J343" s="104"/>
      <c r="K343" s="104"/>
      <c r="L343" s="104"/>
      <c r="M343" s="104"/>
      <c r="N343" s="103"/>
      <c r="O343" s="103"/>
      <c r="P343" s="106"/>
      <c r="Q343" s="106"/>
    </row>
    <row r="344">
      <c r="B344" s="147"/>
      <c r="C344" s="104"/>
      <c r="D344" s="104"/>
      <c r="E344" s="103"/>
      <c r="F344" s="103"/>
      <c r="G344" s="104"/>
      <c r="H344" s="104"/>
      <c r="I344" s="104"/>
      <c r="J344" s="104"/>
      <c r="K344" s="104"/>
      <c r="L344" s="104"/>
      <c r="M344" s="104"/>
      <c r="N344" s="103"/>
      <c r="O344" s="103"/>
      <c r="P344" s="106"/>
      <c r="Q344" s="106"/>
    </row>
    <row r="345">
      <c r="B345" s="147"/>
      <c r="C345" s="104"/>
      <c r="D345" s="104"/>
      <c r="E345" s="103"/>
      <c r="F345" s="103"/>
      <c r="G345" s="104"/>
      <c r="H345" s="104"/>
      <c r="I345" s="104"/>
      <c r="J345" s="104"/>
      <c r="K345" s="104"/>
      <c r="L345" s="104"/>
      <c r="M345" s="104"/>
      <c r="N345" s="103"/>
      <c r="O345" s="103"/>
      <c r="P345" s="106"/>
      <c r="Q345" s="106"/>
    </row>
    <row r="346">
      <c r="B346" s="147"/>
      <c r="C346" s="104"/>
      <c r="D346" s="104"/>
      <c r="E346" s="103"/>
      <c r="F346" s="103"/>
      <c r="G346" s="104"/>
      <c r="H346" s="104"/>
      <c r="I346" s="104"/>
      <c r="J346" s="104"/>
      <c r="K346" s="104"/>
      <c r="L346" s="104"/>
      <c r="M346" s="104"/>
      <c r="N346" s="103"/>
      <c r="O346" s="103"/>
      <c r="P346" s="106"/>
      <c r="Q346" s="106"/>
    </row>
    <row r="347">
      <c r="B347" s="147"/>
      <c r="C347" s="104"/>
      <c r="D347" s="104"/>
      <c r="E347" s="103"/>
      <c r="F347" s="103"/>
      <c r="G347" s="104"/>
      <c r="H347" s="104"/>
      <c r="I347" s="104"/>
      <c r="J347" s="104"/>
      <c r="K347" s="104"/>
      <c r="L347" s="104"/>
      <c r="M347" s="104"/>
      <c r="N347" s="103"/>
      <c r="O347" s="103"/>
      <c r="P347" s="106"/>
      <c r="Q347" s="106"/>
    </row>
    <row r="348">
      <c r="B348" s="147"/>
      <c r="C348" s="104"/>
      <c r="D348" s="104"/>
      <c r="E348" s="103"/>
      <c r="F348" s="103"/>
      <c r="G348" s="104"/>
      <c r="H348" s="104"/>
      <c r="I348" s="104"/>
      <c r="J348" s="104"/>
      <c r="K348" s="104"/>
      <c r="L348" s="104"/>
      <c r="M348" s="104"/>
      <c r="N348" s="103"/>
      <c r="O348" s="103"/>
      <c r="P348" s="106"/>
      <c r="Q348" s="106"/>
    </row>
    <row r="349">
      <c r="B349" s="147"/>
      <c r="C349" s="104"/>
      <c r="D349" s="104"/>
      <c r="E349" s="103"/>
      <c r="F349" s="103"/>
      <c r="G349" s="104"/>
      <c r="H349" s="104"/>
      <c r="I349" s="104"/>
      <c r="J349" s="104"/>
      <c r="K349" s="104"/>
      <c r="L349" s="104"/>
      <c r="M349" s="104"/>
      <c r="N349" s="103"/>
      <c r="O349" s="103"/>
      <c r="P349" s="106"/>
      <c r="Q349" s="106"/>
    </row>
    <row r="350">
      <c r="B350" s="147"/>
      <c r="C350" s="104"/>
      <c r="D350" s="104"/>
      <c r="E350" s="103"/>
      <c r="F350" s="103"/>
      <c r="G350" s="104"/>
      <c r="H350" s="104"/>
      <c r="I350" s="104"/>
      <c r="J350" s="104"/>
      <c r="K350" s="104"/>
      <c r="L350" s="104"/>
      <c r="M350" s="104"/>
      <c r="N350" s="103"/>
      <c r="O350" s="103"/>
      <c r="P350" s="106"/>
      <c r="Q350" s="106"/>
    </row>
    <row r="351">
      <c r="B351" s="147"/>
      <c r="C351" s="104"/>
      <c r="D351" s="104"/>
      <c r="E351" s="103"/>
      <c r="F351" s="103"/>
      <c r="G351" s="104"/>
      <c r="H351" s="104"/>
      <c r="I351" s="104"/>
      <c r="J351" s="104"/>
      <c r="K351" s="104"/>
      <c r="L351" s="104"/>
      <c r="M351" s="104"/>
      <c r="N351" s="103"/>
      <c r="O351" s="103"/>
      <c r="P351" s="106"/>
      <c r="Q351" s="106"/>
    </row>
    <row r="352">
      <c r="B352" s="147"/>
      <c r="C352" s="104"/>
      <c r="D352" s="104"/>
      <c r="E352" s="103"/>
      <c r="F352" s="103"/>
      <c r="G352" s="104"/>
      <c r="H352" s="104"/>
      <c r="I352" s="104"/>
      <c r="J352" s="104"/>
      <c r="K352" s="104"/>
      <c r="L352" s="104"/>
      <c r="M352" s="104"/>
      <c r="N352" s="103"/>
      <c r="O352" s="103"/>
      <c r="P352" s="106"/>
      <c r="Q352" s="106"/>
    </row>
    <row r="353">
      <c r="B353" s="147"/>
      <c r="C353" s="104"/>
      <c r="D353" s="104"/>
      <c r="E353" s="103"/>
      <c r="F353" s="103"/>
      <c r="G353" s="104"/>
      <c r="H353" s="104"/>
      <c r="I353" s="104"/>
      <c r="J353" s="104"/>
      <c r="K353" s="104"/>
      <c r="L353" s="104"/>
      <c r="M353" s="104"/>
      <c r="N353" s="103"/>
      <c r="O353" s="103"/>
      <c r="P353" s="106"/>
      <c r="Q353" s="106"/>
    </row>
    <row r="354">
      <c r="B354" s="147"/>
      <c r="C354" s="104"/>
      <c r="D354" s="104"/>
      <c r="E354" s="103"/>
      <c r="F354" s="103"/>
      <c r="G354" s="104"/>
      <c r="H354" s="104"/>
      <c r="I354" s="104"/>
      <c r="J354" s="104"/>
      <c r="K354" s="104"/>
      <c r="L354" s="104"/>
      <c r="M354" s="104"/>
      <c r="N354" s="103"/>
      <c r="O354" s="103"/>
      <c r="P354" s="106"/>
      <c r="Q354" s="106"/>
    </row>
    <row r="355">
      <c r="B355" s="147"/>
      <c r="C355" s="104"/>
      <c r="D355" s="104"/>
      <c r="E355" s="103"/>
      <c r="F355" s="103"/>
      <c r="G355" s="104"/>
      <c r="H355" s="104"/>
      <c r="I355" s="104"/>
      <c r="J355" s="104"/>
      <c r="K355" s="104"/>
      <c r="L355" s="104"/>
      <c r="M355" s="104"/>
      <c r="N355" s="103"/>
      <c r="O355" s="103"/>
      <c r="P355" s="106"/>
      <c r="Q355" s="106"/>
    </row>
    <row r="356">
      <c r="B356" s="147"/>
      <c r="C356" s="104"/>
      <c r="D356" s="104"/>
      <c r="E356" s="103"/>
      <c r="F356" s="103"/>
      <c r="G356" s="104"/>
      <c r="H356" s="104"/>
      <c r="I356" s="104"/>
      <c r="J356" s="104"/>
      <c r="K356" s="104"/>
      <c r="L356" s="104"/>
      <c r="M356" s="104"/>
      <c r="N356" s="103"/>
      <c r="O356" s="103"/>
      <c r="P356" s="106"/>
      <c r="Q356" s="106"/>
    </row>
    <row r="357">
      <c r="B357" s="147"/>
      <c r="C357" s="104"/>
      <c r="D357" s="104"/>
      <c r="E357" s="103"/>
      <c r="F357" s="103"/>
      <c r="G357" s="104"/>
      <c r="H357" s="104"/>
      <c r="I357" s="104"/>
      <c r="J357" s="104"/>
      <c r="K357" s="104"/>
      <c r="L357" s="104"/>
      <c r="M357" s="104"/>
      <c r="N357" s="103"/>
      <c r="O357" s="103"/>
      <c r="P357" s="106"/>
      <c r="Q357" s="106"/>
    </row>
    <row r="358">
      <c r="B358" s="147"/>
      <c r="C358" s="104"/>
      <c r="D358" s="104"/>
      <c r="E358" s="103"/>
      <c r="F358" s="103"/>
      <c r="G358" s="104"/>
      <c r="H358" s="104"/>
      <c r="I358" s="104"/>
      <c r="J358" s="104"/>
      <c r="K358" s="104"/>
      <c r="L358" s="104"/>
      <c r="M358" s="104"/>
      <c r="N358" s="103"/>
      <c r="O358" s="103"/>
      <c r="P358" s="106"/>
      <c r="Q358" s="106"/>
    </row>
    <row r="359">
      <c r="B359" s="147"/>
      <c r="C359" s="104"/>
      <c r="D359" s="104"/>
      <c r="E359" s="103"/>
      <c r="F359" s="103"/>
      <c r="G359" s="104"/>
      <c r="H359" s="104"/>
      <c r="I359" s="104"/>
      <c r="J359" s="104"/>
      <c r="K359" s="104"/>
      <c r="L359" s="104"/>
      <c r="M359" s="104"/>
      <c r="N359" s="103"/>
      <c r="O359" s="103"/>
      <c r="P359" s="106"/>
      <c r="Q359" s="106"/>
    </row>
    <row r="360">
      <c r="B360" s="147"/>
      <c r="C360" s="104"/>
      <c r="D360" s="104"/>
      <c r="E360" s="103"/>
      <c r="F360" s="103"/>
      <c r="G360" s="104"/>
      <c r="H360" s="104"/>
      <c r="I360" s="104"/>
      <c r="J360" s="104"/>
      <c r="K360" s="104"/>
      <c r="L360" s="104"/>
      <c r="M360" s="104"/>
      <c r="N360" s="103"/>
      <c r="O360" s="103"/>
      <c r="P360" s="106"/>
      <c r="Q360" s="106"/>
    </row>
    <row r="361">
      <c r="B361" s="147"/>
      <c r="C361" s="104"/>
      <c r="D361" s="104"/>
      <c r="E361" s="103"/>
      <c r="F361" s="103"/>
      <c r="G361" s="104"/>
      <c r="H361" s="104"/>
      <c r="I361" s="104"/>
      <c r="J361" s="104"/>
      <c r="K361" s="104"/>
      <c r="L361" s="104"/>
      <c r="M361" s="104"/>
      <c r="N361" s="103"/>
      <c r="O361" s="103"/>
      <c r="P361" s="106"/>
      <c r="Q361" s="106"/>
    </row>
    <row r="362">
      <c r="B362" s="147"/>
      <c r="C362" s="104"/>
      <c r="D362" s="104"/>
      <c r="E362" s="103"/>
      <c r="F362" s="103"/>
      <c r="G362" s="104"/>
      <c r="H362" s="104"/>
      <c r="I362" s="104"/>
      <c r="J362" s="104"/>
      <c r="K362" s="104"/>
      <c r="L362" s="104"/>
      <c r="M362" s="104"/>
      <c r="N362" s="103"/>
      <c r="O362" s="103"/>
      <c r="P362" s="106"/>
      <c r="Q362" s="106"/>
    </row>
    <row r="363">
      <c r="B363" s="147"/>
      <c r="C363" s="104"/>
      <c r="D363" s="104"/>
      <c r="E363" s="103"/>
      <c r="F363" s="103"/>
      <c r="G363" s="104"/>
      <c r="H363" s="104"/>
      <c r="I363" s="104"/>
      <c r="J363" s="104"/>
      <c r="K363" s="104"/>
      <c r="L363" s="104"/>
      <c r="M363" s="104"/>
      <c r="N363" s="103"/>
      <c r="O363" s="103"/>
      <c r="P363" s="106"/>
      <c r="Q363" s="106"/>
    </row>
    <row r="364">
      <c r="B364" s="147"/>
      <c r="C364" s="104"/>
      <c r="D364" s="104"/>
      <c r="E364" s="103"/>
      <c r="F364" s="103"/>
      <c r="G364" s="104"/>
      <c r="H364" s="104"/>
      <c r="I364" s="104"/>
      <c r="J364" s="104"/>
      <c r="K364" s="104"/>
      <c r="L364" s="104"/>
      <c r="M364" s="104"/>
      <c r="N364" s="103"/>
      <c r="O364" s="103"/>
      <c r="P364" s="106"/>
      <c r="Q364" s="106"/>
    </row>
    <row r="365">
      <c r="B365" s="147"/>
      <c r="C365" s="104"/>
      <c r="D365" s="104"/>
      <c r="E365" s="103"/>
      <c r="F365" s="103"/>
      <c r="G365" s="104"/>
      <c r="H365" s="104"/>
      <c r="I365" s="104"/>
      <c r="J365" s="104"/>
      <c r="K365" s="104"/>
      <c r="L365" s="104"/>
      <c r="M365" s="104"/>
      <c r="N365" s="103"/>
      <c r="O365" s="103"/>
      <c r="P365" s="106"/>
      <c r="Q365" s="106"/>
    </row>
    <row r="366">
      <c r="B366" s="147"/>
      <c r="C366" s="104"/>
      <c r="D366" s="104"/>
      <c r="E366" s="103"/>
      <c r="F366" s="103"/>
      <c r="G366" s="104"/>
      <c r="H366" s="104"/>
      <c r="I366" s="104"/>
      <c r="J366" s="104"/>
      <c r="K366" s="104"/>
      <c r="L366" s="104"/>
      <c r="M366" s="104"/>
      <c r="N366" s="103"/>
      <c r="O366" s="103"/>
      <c r="P366" s="106"/>
      <c r="Q366" s="106"/>
    </row>
    <row r="367">
      <c r="B367" s="147"/>
      <c r="C367" s="104"/>
      <c r="D367" s="104"/>
      <c r="E367" s="103"/>
      <c r="F367" s="103"/>
      <c r="G367" s="104"/>
      <c r="H367" s="104"/>
      <c r="I367" s="104"/>
      <c r="J367" s="104"/>
      <c r="K367" s="104"/>
      <c r="L367" s="104"/>
      <c r="M367" s="104"/>
      <c r="N367" s="103"/>
      <c r="O367" s="103"/>
      <c r="P367" s="106"/>
      <c r="Q367" s="106"/>
    </row>
    <row r="368">
      <c r="B368" s="147"/>
      <c r="C368" s="104"/>
      <c r="D368" s="104"/>
      <c r="E368" s="103"/>
      <c r="F368" s="103"/>
      <c r="G368" s="104"/>
      <c r="H368" s="104"/>
      <c r="I368" s="104"/>
      <c r="J368" s="104"/>
      <c r="K368" s="104"/>
      <c r="L368" s="104"/>
      <c r="M368" s="104"/>
      <c r="N368" s="103"/>
      <c r="O368" s="103"/>
      <c r="P368" s="106"/>
      <c r="Q368" s="106"/>
    </row>
    <row r="369">
      <c r="B369" s="147"/>
      <c r="C369" s="104"/>
      <c r="D369" s="104"/>
      <c r="E369" s="103"/>
      <c r="F369" s="103"/>
      <c r="G369" s="104"/>
      <c r="H369" s="104"/>
      <c r="I369" s="104"/>
      <c r="J369" s="104"/>
      <c r="K369" s="104"/>
      <c r="L369" s="104"/>
      <c r="M369" s="104"/>
      <c r="N369" s="103"/>
      <c r="O369" s="103"/>
      <c r="P369" s="106"/>
      <c r="Q369" s="106"/>
    </row>
    <row r="370">
      <c r="B370" s="147"/>
      <c r="C370" s="104"/>
      <c r="D370" s="104"/>
      <c r="E370" s="103"/>
      <c r="F370" s="103"/>
      <c r="G370" s="104"/>
      <c r="H370" s="104"/>
      <c r="I370" s="104"/>
      <c r="J370" s="104"/>
      <c r="K370" s="104"/>
      <c r="L370" s="104"/>
      <c r="M370" s="104"/>
      <c r="N370" s="103"/>
      <c r="O370" s="103"/>
      <c r="P370" s="106"/>
      <c r="Q370" s="106"/>
    </row>
    <row r="371">
      <c r="B371" s="147"/>
      <c r="C371" s="104"/>
      <c r="D371" s="104"/>
      <c r="E371" s="103"/>
      <c r="F371" s="103"/>
      <c r="G371" s="104"/>
      <c r="H371" s="104"/>
      <c r="I371" s="104"/>
      <c r="J371" s="104"/>
      <c r="K371" s="104"/>
      <c r="L371" s="104"/>
      <c r="M371" s="104"/>
      <c r="N371" s="103"/>
      <c r="O371" s="103"/>
      <c r="P371" s="106"/>
      <c r="Q371" s="106"/>
    </row>
    <row r="372">
      <c r="B372" s="147"/>
      <c r="C372" s="104"/>
      <c r="D372" s="104"/>
      <c r="E372" s="103"/>
      <c r="F372" s="103"/>
      <c r="G372" s="104"/>
      <c r="H372" s="104"/>
      <c r="I372" s="104"/>
      <c r="J372" s="104"/>
      <c r="K372" s="104"/>
      <c r="L372" s="104"/>
      <c r="M372" s="104"/>
      <c r="N372" s="103"/>
      <c r="O372" s="103"/>
      <c r="P372" s="106"/>
      <c r="Q372" s="106"/>
    </row>
    <row r="373">
      <c r="B373" s="147"/>
      <c r="C373" s="104"/>
      <c r="D373" s="104"/>
      <c r="E373" s="103"/>
      <c r="F373" s="103"/>
      <c r="G373" s="104"/>
      <c r="H373" s="104"/>
      <c r="I373" s="104"/>
      <c r="J373" s="104"/>
      <c r="K373" s="104"/>
      <c r="L373" s="104"/>
      <c r="M373" s="104"/>
      <c r="N373" s="103"/>
      <c r="O373" s="103"/>
      <c r="P373" s="106"/>
      <c r="Q373" s="106"/>
    </row>
    <row r="374">
      <c r="B374" s="147"/>
      <c r="C374" s="104"/>
      <c r="D374" s="104"/>
      <c r="E374" s="103"/>
      <c r="F374" s="103"/>
      <c r="G374" s="104"/>
      <c r="H374" s="104"/>
      <c r="I374" s="104"/>
      <c r="J374" s="104"/>
      <c r="K374" s="104"/>
      <c r="L374" s="104"/>
      <c r="M374" s="104"/>
      <c r="N374" s="103"/>
      <c r="O374" s="103"/>
      <c r="P374" s="106"/>
      <c r="Q374" s="106"/>
    </row>
    <row r="375">
      <c r="B375" s="147"/>
      <c r="C375" s="104"/>
      <c r="D375" s="104"/>
      <c r="E375" s="103"/>
      <c r="F375" s="103"/>
      <c r="G375" s="104"/>
      <c r="H375" s="104"/>
      <c r="I375" s="104"/>
      <c r="J375" s="104"/>
      <c r="K375" s="104"/>
      <c r="L375" s="104"/>
      <c r="M375" s="104"/>
      <c r="N375" s="103"/>
      <c r="O375" s="103"/>
      <c r="P375" s="106"/>
      <c r="Q375" s="106"/>
    </row>
    <row r="376">
      <c r="B376" s="147"/>
      <c r="C376" s="104"/>
      <c r="D376" s="104"/>
      <c r="E376" s="103"/>
      <c r="F376" s="103"/>
      <c r="G376" s="104"/>
      <c r="H376" s="104"/>
      <c r="I376" s="104"/>
      <c r="J376" s="104"/>
      <c r="K376" s="104"/>
      <c r="L376" s="104"/>
      <c r="M376" s="104"/>
      <c r="N376" s="103"/>
      <c r="O376" s="103"/>
      <c r="P376" s="106"/>
      <c r="Q376" s="106"/>
    </row>
    <row r="377">
      <c r="B377" s="147"/>
      <c r="C377" s="104"/>
      <c r="D377" s="104"/>
      <c r="E377" s="103"/>
      <c r="F377" s="103"/>
      <c r="G377" s="104"/>
      <c r="H377" s="104"/>
      <c r="I377" s="104"/>
      <c r="J377" s="104"/>
      <c r="K377" s="104"/>
      <c r="L377" s="104"/>
      <c r="M377" s="104"/>
      <c r="N377" s="103"/>
      <c r="O377" s="103"/>
      <c r="P377" s="106"/>
      <c r="Q377" s="106"/>
    </row>
    <row r="378">
      <c r="B378" s="147"/>
      <c r="C378" s="104"/>
      <c r="D378" s="104"/>
      <c r="E378" s="103"/>
      <c r="F378" s="103"/>
      <c r="G378" s="104"/>
      <c r="H378" s="104"/>
      <c r="I378" s="104"/>
      <c r="J378" s="104"/>
      <c r="K378" s="104"/>
      <c r="L378" s="104"/>
      <c r="M378" s="104"/>
      <c r="N378" s="103"/>
      <c r="O378" s="103"/>
      <c r="P378" s="106"/>
      <c r="Q378" s="106"/>
    </row>
    <row r="379">
      <c r="B379" s="147"/>
      <c r="C379" s="104"/>
      <c r="D379" s="104"/>
      <c r="E379" s="103"/>
      <c r="F379" s="103"/>
      <c r="G379" s="104"/>
      <c r="H379" s="104"/>
      <c r="I379" s="104"/>
      <c r="J379" s="104"/>
      <c r="K379" s="104"/>
      <c r="L379" s="104"/>
      <c r="M379" s="104"/>
      <c r="N379" s="103"/>
      <c r="O379" s="103"/>
      <c r="P379" s="106"/>
      <c r="Q379" s="106"/>
    </row>
    <row r="380">
      <c r="B380" s="147"/>
      <c r="C380" s="104"/>
      <c r="D380" s="104"/>
      <c r="E380" s="103"/>
      <c r="F380" s="103"/>
      <c r="G380" s="104"/>
      <c r="H380" s="104"/>
      <c r="I380" s="104"/>
      <c r="J380" s="104"/>
      <c r="K380" s="104"/>
      <c r="L380" s="104"/>
      <c r="M380" s="104"/>
      <c r="N380" s="103"/>
      <c r="O380" s="103"/>
      <c r="P380" s="106"/>
      <c r="Q380" s="106"/>
    </row>
    <row r="381">
      <c r="B381" s="147"/>
      <c r="C381" s="104"/>
      <c r="D381" s="104"/>
      <c r="E381" s="103"/>
      <c r="F381" s="103"/>
      <c r="G381" s="104"/>
      <c r="H381" s="104"/>
      <c r="I381" s="104"/>
      <c r="J381" s="104"/>
      <c r="K381" s="104"/>
      <c r="L381" s="104"/>
      <c r="M381" s="104"/>
      <c r="N381" s="103"/>
      <c r="O381" s="103"/>
      <c r="P381" s="106"/>
      <c r="Q381" s="106"/>
    </row>
    <row r="382">
      <c r="B382" s="147"/>
      <c r="C382" s="104"/>
      <c r="D382" s="104"/>
      <c r="E382" s="103"/>
      <c r="F382" s="103"/>
      <c r="G382" s="104"/>
      <c r="H382" s="104"/>
      <c r="I382" s="104"/>
      <c r="J382" s="104"/>
      <c r="K382" s="104"/>
      <c r="L382" s="104"/>
      <c r="M382" s="104"/>
      <c r="N382" s="103"/>
      <c r="O382" s="103"/>
      <c r="P382" s="106"/>
      <c r="Q382" s="106"/>
    </row>
    <row r="383">
      <c r="B383" s="147"/>
      <c r="C383" s="104"/>
      <c r="D383" s="104"/>
      <c r="E383" s="103"/>
      <c r="F383" s="103"/>
      <c r="G383" s="104"/>
      <c r="H383" s="104"/>
      <c r="I383" s="104"/>
      <c r="J383" s="104"/>
      <c r="K383" s="104"/>
      <c r="L383" s="104"/>
      <c r="M383" s="104"/>
      <c r="N383" s="103"/>
      <c r="O383" s="103"/>
      <c r="P383" s="106"/>
      <c r="Q383" s="106"/>
    </row>
    <row r="384">
      <c r="B384" s="147"/>
      <c r="C384" s="104"/>
      <c r="D384" s="104"/>
      <c r="E384" s="103"/>
      <c r="F384" s="103"/>
      <c r="G384" s="104"/>
      <c r="H384" s="104"/>
      <c r="I384" s="104"/>
      <c r="J384" s="104"/>
      <c r="K384" s="104"/>
      <c r="L384" s="104"/>
      <c r="M384" s="104"/>
      <c r="N384" s="103"/>
      <c r="O384" s="103"/>
      <c r="P384" s="106"/>
      <c r="Q384" s="106"/>
    </row>
    <row r="385">
      <c r="B385" s="147"/>
      <c r="C385" s="104"/>
      <c r="D385" s="104"/>
      <c r="E385" s="103"/>
      <c r="F385" s="103"/>
      <c r="G385" s="104"/>
      <c r="H385" s="104"/>
      <c r="I385" s="104"/>
      <c r="J385" s="104"/>
      <c r="K385" s="104"/>
      <c r="L385" s="104"/>
      <c r="M385" s="104"/>
      <c r="N385" s="103"/>
      <c r="O385" s="103"/>
      <c r="P385" s="106"/>
      <c r="Q385" s="106"/>
    </row>
    <row r="386">
      <c r="B386" s="147"/>
      <c r="C386" s="104"/>
      <c r="D386" s="104"/>
      <c r="E386" s="103"/>
      <c r="F386" s="103"/>
      <c r="G386" s="104"/>
      <c r="H386" s="104"/>
      <c r="I386" s="104"/>
      <c r="J386" s="104"/>
      <c r="K386" s="104"/>
      <c r="L386" s="104"/>
      <c r="M386" s="104"/>
      <c r="N386" s="103"/>
      <c r="O386" s="103"/>
      <c r="P386" s="106"/>
      <c r="Q386" s="106"/>
    </row>
    <row r="387">
      <c r="B387" s="147"/>
      <c r="C387" s="104"/>
      <c r="D387" s="104"/>
      <c r="E387" s="103"/>
      <c r="F387" s="103"/>
      <c r="G387" s="104"/>
      <c r="H387" s="104"/>
      <c r="I387" s="104"/>
      <c r="J387" s="104"/>
      <c r="K387" s="104"/>
      <c r="L387" s="104"/>
      <c r="M387" s="104"/>
      <c r="N387" s="103"/>
      <c r="O387" s="103"/>
      <c r="P387" s="106"/>
      <c r="Q387" s="106"/>
    </row>
    <row r="388">
      <c r="B388" s="147"/>
      <c r="C388" s="104"/>
      <c r="D388" s="104"/>
      <c r="E388" s="103"/>
      <c r="F388" s="103"/>
      <c r="G388" s="104"/>
      <c r="H388" s="104"/>
      <c r="I388" s="104"/>
      <c r="J388" s="104"/>
      <c r="K388" s="104"/>
      <c r="L388" s="104"/>
      <c r="M388" s="104"/>
      <c r="N388" s="103"/>
      <c r="O388" s="103"/>
      <c r="P388" s="106"/>
      <c r="Q388" s="106"/>
    </row>
    <row r="389">
      <c r="B389" s="147"/>
      <c r="C389" s="104"/>
      <c r="D389" s="104"/>
      <c r="E389" s="103"/>
      <c r="F389" s="103"/>
      <c r="G389" s="104"/>
      <c r="H389" s="104"/>
      <c r="I389" s="104"/>
      <c r="J389" s="104"/>
      <c r="K389" s="104"/>
      <c r="L389" s="104"/>
      <c r="M389" s="104"/>
      <c r="N389" s="103"/>
      <c r="O389" s="103"/>
      <c r="P389" s="106"/>
      <c r="Q389" s="106"/>
    </row>
    <row r="390">
      <c r="B390" s="147"/>
      <c r="C390" s="104"/>
      <c r="D390" s="104"/>
      <c r="E390" s="103"/>
      <c r="F390" s="103"/>
      <c r="G390" s="104"/>
      <c r="H390" s="104"/>
      <c r="I390" s="104"/>
      <c r="J390" s="104"/>
      <c r="K390" s="104"/>
      <c r="L390" s="104"/>
      <c r="M390" s="104"/>
      <c r="N390" s="103"/>
      <c r="O390" s="103"/>
      <c r="P390" s="106"/>
      <c r="Q390" s="106"/>
    </row>
    <row r="391">
      <c r="B391" s="147"/>
      <c r="C391" s="104"/>
      <c r="D391" s="104"/>
      <c r="E391" s="103"/>
      <c r="F391" s="103"/>
      <c r="G391" s="104"/>
      <c r="H391" s="104"/>
      <c r="I391" s="104"/>
      <c r="J391" s="104"/>
      <c r="K391" s="104"/>
      <c r="L391" s="104"/>
      <c r="M391" s="104"/>
      <c r="N391" s="103"/>
      <c r="O391" s="103"/>
      <c r="P391" s="106"/>
      <c r="Q391" s="106"/>
    </row>
    <row r="392">
      <c r="B392" s="147"/>
      <c r="C392" s="104"/>
      <c r="D392" s="104"/>
      <c r="E392" s="103"/>
      <c r="F392" s="103"/>
      <c r="G392" s="104"/>
      <c r="H392" s="104"/>
      <c r="I392" s="104"/>
      <c r="J392" s="104"/>
      <c r="K392" s="104"/>
      <c r="L392" s="104"/>
      <c r="M392" s="104"/>
      <c r="N392" s="103"/>
      <c r="O392" s="103"/>
      <c r="P392" s="106"/>
      <c r="Q392" s="106"/>
    </row>
    <row r="393">
      <c r="B393" s="147"/>
      <c r="C393" s="104"/>
      <c r="D393" s="104"/>
      <c r="E393" s="103"/>
      <c r="F393" s="103"/>
      <c r="G393" s="104"/>
      <c r="H393" s="104"/>
      <c r="I393" s="104"/>
      <c r="J393" s="104"/>
      <c r="K393" s="104"/>
      <c r="L393" s="104"/>
      <c r="M393" s="104"/>
      <c r="N393" s="103"/>
      <c r="O393" s="103"/>
      <c r="P393" s="106"/>
      <c r="Q393" s="106"/>
    </row>
    <row r="394">
      <c r="B394" s="147"/>
      <c r="C394" s="104"/>
      <c r="D394" s="104"/>
      <c r="E394" s="103"/>
      <c r="F394" s="103"/>
      <c r="G394" s="104"/>
      <c r="H394" s="104"/>
      <c r="I394" s="104"/>
      <c r="J394" s="104"/>
      <c r="K394" s="104"/>
      <c r="L394" s="104"/>
      <c r="M394" s="104"/>
      <c r="N394" s="103"/>
      <c r="O394" s="103"/>
      <c r="P394" s="106"/>
      <c r="Q394" s="106"/>
    </row>
    <row r="395">
      <c r="B395" s="147"/>
      <c r="C395" s="104"/>
      <c r="D395" s="104"/>
      <c r="E395" s="103"/>
      <c r="F395" s="103"/>
      <c r="G395" s="104"/>
      <c r="H395" s="104"/>
      <c r="I395" s="104"/>
      <c r="J395" s="104"/>
      <c r="K395" s="104"/>
      <c r="L395" s="104"/>
      <c r="M395" s="104"/>
      <c r="N395" s="103"/>
      <c r="O395" s="103"/>
      <c r="P395" s="106"/>
      <c r="Q395" s="106"/>
    </row>
    <row r="396">
      <c r="B396" s="147"/>
      <c r="C396" s="104"/>
      <c r="D396" s="104"/>
      <c r="E396" s="103"/>
      <c r="F396" s="103"/>
      <c r="G396" s="104"/>
      <c r="H396" s="104"/>
      <c r="I396" s="104"/>
      <c r="J396" s="104"/>
      <c r="K396" s="104"/>
      <c r="L396" s="104"/>
      <c r="M396" s="104"/>
      <c r="N396" s="103"/>
      <c r="O396" s="103"/>
      <c r="P396" s="106"/>
      <c r="Q396" s="106"/>
    </row>
    <row r="397">
      <c r="B397" s="147"/>
      <c r="C397" s="104"/>
      <c r="D397" s="104"/>
      <c r="E397" s="103"/>
      <c r="F397" s="103"/>
      <c r="G397" s="104"/>
      <c r="H397" s="104"/>
      <c r="I397" s="104"/>
      <c r="J397" s="104"/>
      <c r="K397" s="104"/>
      <c r="L397" s="104"/>
      <c r="M397" s="104"/>
      <c r="N397" s="103"/>
      <c r="O397" s="103"/>
      <c r="P397" s="106"/>
      <c r="Q397" s="106"/>
    </row>
    <row r="398">
      <c r="B398" s="147"/>
      <c r="C398" s="104"/>
      <c r="D398" s="104"/>
      <c r="E398" s="103"/>
      <c r="F398" s="103"/>
      <c r="G398" s="104"/>
      <c r="H398" s="104"/>
      <c r="I398" s="104"/>
      <c r="J398" s="104"/>
      <c r="K398" s="104"/>
      <c r="L398" s="104"/>
      <c r="M398" s="104"/>
      <c r="N398" s="103"/>
      <c r="O398" s="103"/>
      <c r="P398" s="106"/>
      <c r="Q398" s="106"/>
    </row>
    <row r="399">
      <c r="B399" s="147"/>
      <c r="C399" s="104"/>
      <c r="D399" s="104"/>
      <c r="E399" s="103"/>
      <c r="F399" s="103"/>
      <c r="G399" s="104"/>
      <c r="H399" s="104"/>
      <c r="I399" s="104"/>
      <c r="J399" s="104"/>
      <c r="K399" s="104"/>
      <c r="L399" s="104"/>
      <c r="M399" s="104"/>
      <c r="N399" s="103"/>
      <c r="O399" s="103"/>
      <c r="P399" s="106"/>
      <c r="Q399" s="106"/>
    </row>
    <row r="400">
      <c r="B400" s="147"/>
      <c r="C400" s="104"/>
      <c r="D400" s="104"/>
      <c r="E400" s="103"/>
      <c r="F400" s="103"/>
      <c r="G400" s="104"/>
      <c r="H400" s="104"/>
      <c r="I400" s="104"/>
      <c r="J400" s="104"/>
      <c r="K400" s="104"/>
      <c r="L400" s="104"/>
      <c r="M400" s="104"/>
      <c r="N400" s="103"/>
      <c r="O400" s="103"/>
      <c r="P400" s="106"/>
      <c r="Q400" s="106"/>
    </row>
    <row r="401">
      <c r="B401" s="147"/>
      <c r="C401" s="104"/>
      <c r="D401" s="104"/>
      <c r="E401" s="103"/>
      <c r="F401" s="103"/>
      <c r="G401" s="104"/>
      <c r="H401" s="104"/>
      <c r="I401" s="104"/>
      <c r="J401" s="104"/>
      <c r="K401" s="104"/>
      <c r="L401" s="104"/>
      <c r="M401" s="104"/>
      <c r="N401" s="103"/>
      <c r="O401" s="103"/>
      <c r="P401" s="106"/>
      <c r="Q401" s="106"/>
    </row>
    <row r="402">
      <c r="B402" s="147"/>
      <c r="C402" s="104"/>
      <c r="D402" s="104"/>
      <c r="E402" s="103"/>
      <c r="F402" s="103"/>
      <c r="G402" s="104"/>
      <c r="H402" s="104"/>
      <c r="I402" s="104"/>
      <c r="J402" s="104"/>
      <c r="K402" s="104"/>
      <c r="L402" s="104"/>
      <c r="M402" s="104"/>
      <c r="N402" s="103"/>
      <c r="O402" s="103"/>
      <c r="P402" s="106"/>
      <c r="Q402" s="106"/>
    </row>
    <row r="403">
      <c r="B403" s="147"/>
      <c r="C403" s="104"/>
      <c r="D403" s="104"/>
      <c r="E403" s="103"/>
      <c r="F403" s="103"/>
      <c r="G403" s="104"/>
      <c r="H403" s="104"/>
      <c r="I403" s="104"/>
      <c r="J403" s="104"/>
      <c r="K403" s="104"/>
      <c r="L403" s="104"/>
      <c r="M403" s="104"/>
      <c r="N403" s="103"/>
      <c r="O403" s="103"/>
      <c r="P403" s="106"/>
      <c r="Q403" s="106"/>
    </row>
    <row r="404">
      <c r="B404" s="147"/>
      <c r="C404" s="104"/>
      <c r="D404" s="104"/>
      <c r="E404" s="103"/>
      <c r="F404" s="103"/>
      <c r="G404" s="104"/>
      <c r="H404" s="104"/>
      <c r="I404" s="104"/>
      <c r="J404" s="104"/>
      <c r="K404" s="104"/>
      <c r="L404" s="104"/>
      <c r="M404" s="104"/>
      <c r="N404" s="103"/>
      <c r="O404" s="103"/>
      <c r="P404" s="106"/>
      <c r="Q404" s="106"/>
    </row>
    <row r="405">
      <c r="B405" s="147"/>
      <c r="C405" s="104"/>
      <c r="D405" s="104"/>
      <c r="E405" s="103"/>
      <c r="F405" s="103"/>
      <c r="G405" s="104"/>
      <c r="H405" s="104"/>
      <c r="I405" s="104"/>
      <c r="J405" s="104"/>
      <c r="K405" s="104"/>
      <c r="L405" s="104"/>
      <c r="M405" s="104"/>
      <c r="N405" s="103"/>
      <c r="O405" s="103"/>
      <c r="P405" s="106"/>
      <c r="Q405" s="106"/>
    </row>
    <row r="406">
      <c r="B406" s="147"/>
      <c r="C406" s="104"/>
      <c r="D406" s="104"/>
      <c r="E406" s="103"/>
      <c r="F406" s="103"/>
      <c r="G406" s="104"/>
      <c r="H406" s="104"/>
      <c r="I406" s="104"/>
      <c r="J406" s="104"/>
      <c r="K406" s="104"/>
      <c r="L406" s="104"/>
      <c r="M406" s="104"/>
      <c r="N406" s="103"/>
      <c r="O406" s="103"/>
      <c r="P406" s="106"/>
      <c r="Q406" s="106"/>
    </row>
    <row r="407">
      <c r="B407" s="147"/>
      <c r="C407" s="104"/>
      <c r="D407" s="104"/>
      <c r="E407" s="103"/>
      <c r="F407" s="103"/>
      <c r="G407" s="104"/>
      <c r="H407" s="104"/>
      <c r="I407" s="104"/>
      <c r="J407" s="104"/>
      <c r="K407" s="104"/>
      <c r="L407" s="104"/>
      <c r="M407" s="104"/>
      <c r="N407" s="103"/>
      <c r="O407" s="103"/>
      <c r="P407" s="106"/>
      <c r="Q407" s="106"/>
    </row>
    <row r="408">
      <c r="B408" s="147"/>
      <c r="C408" s="104"/>
      <c r="D408" s="104"/>
      <c r="E408" s="103"/>
      <c r="F408" s="103"/>
      <c r="G408" s="104"/>
      <c r="H408" s="104"/>
      <c r="I408" s="104"/>
      <c r="J408" s="104"/>
      <c r="K408" s="104"/>
      <c r="L408" s="104"/>
      <c r="M408" s="104"/>
      <c r="N408" s="103"/>
      <c r="O408" s="103"/>
      <c r="P408" s="106"/>
      <c r="Q408" s="106"/>
    </row>
    <row r="409">
      <c r="B409" s="147"/>
      <c r="C409" s="104"/>
      <c r="D409" s="104"/>
      <c r="E409" s="103"/>
      <c r="F409" s="103"/>
      <c r="G409" s="104"/>
      <c r="H409" s="104"/>
      <c r="I409" s="104"/>
      <c r="J409" s="104"/>
      <c r="K409" s="104"/>
      <c r="L409" s="104"/>
      <c r="M409" s="104"/>
      <c r="N409" s="103"/>
      <c r="O409" s="103"/>
      <c r="P409" s="106"/>
      <c r="Q409" s="106"/>
    </row>
    <row r="410">
      <c r="B410" s="147"/>
      <c r="C410" s="104"/>
      <c r="D410" s="104"/>
      <c r="E410" s="103"/>
      <c r="F410" s="103"/>
      <c r="G410" s="104"/>
      <c r="H410" s="104"/>
      <c r="I410" s="104"/>
      <c r="J410" s="104"/>
      <c r="K410" s="104"/>
      <c r="L410" s="104"/>
      <c r="M410" s="104"/>
      <c r="N410" s="103"/>
      <c r="O410" s="103"/>
      <c r="P410" s="106"/>
      <c r="Q410" s="106"/>
    </row>
    <row r="411">
      <c r="B411" s="147"/>
      <c r="C411" s="104"/>
      <c r="D411" s="104"/>
      <c r="E411" s="103"/>
      <c r="F411" s="103"/>
      <c r="G411" s="104"/>
      <c r="H411" s="104"/>
      <c r="I411" s="104"/>
      <c r="J411" s="104"/>
      <c r="K411" s="104"/>
      <c r="L411" s="104"/>
      <c r="M411" s="104"/>
      <c r="N411" s="103"/>
      <c r="O411" s="103"/>
      <c r="P411" s="106"/>
      <c r="Q411" s="106"/>
    </row>
    <row r="412">
      <c r="B412" s="147"/>
      <c r="C412" s="104"/>
      <c r="D412" s="104"/>
      <c r="E412" s="103"/>
      <c r="F412" s="103"/>
      <c r="G412" s="104"/>
      <c r="H412" s="104"/>
      <c r="I412" s="104"/>
      <c r="J412" s="104"/>
      <c r="K412" s="104"/>
      <c r="L412" s="104"/>
      <c r="M412" s="104"/>
      <c r="N412" s="103"/>
      <c r="O412" s="103"/>
      <c r="P412" s="106"/>
      <c r="Q412" s="106"/>
    </row>
    <row r="413">
      <c r="B413" s="147"/>
      <c r="C413" s="104"/>
      <c r="D413" s="104"/>
      <c r="E413" s="103"/>
      <c r="F413" s="103"/>
      <c r="G413" s="104"/>
      <c r="H413" s="104"/>
      <c r="I413" s="104"/>
      <c r="J413" s="104"/>
      <c r="K413" s="104"/>
      <c r="L413" s="104"/>
      <c r="M413" s="104"/>
      <c r="N413" s="103"/>
      <c r="O413" s="103"/>
      <c r="P413" s="106"/>
      <c r="Q413" s="106"/>
    </row>
    <row r="414">
      <c r="B414" s="147"/>
      <c r="C414" s="104"/>
      <c r="D414" s="104"/>
      <c r="E414" s="103"/>
      <c r="F414" s="103"/>
      <c r="G414" s="104"/>
      <c r="H414" s="104"/>
      <c r="I414" s="104"/>
      <c r="J414" s="104"/>
      <c r="K414" s="104"/>
      <c r="L414" s="104"/>
      <c r="M414" s="104"/>
      <c r="N414" s="103"/>
      <c r="O414" s="103"/>
      <c r="P414" s="106"/>
      <c r="Q414" s="106"/>
    </row>
    <row r="415">
      <c r="B415" s="147"/>
      <c r="C415" s="104"/>
      <c r="D415" s="104"/>
      <c r="E415" s="103"/>
      <c r="F415" s="103"/>
      <c r="G415" s="104"/>
      <c r="H415" s="104"/>
      <c r="I415" s="104"/>
      <c r="J415" s="104"/>
      <c r="K415" s="104"/>
      <c r="L415" s="104"/>
      <c r="M415" s="104"/>
      <c r="N415" s="103"/>
      <c r="O415" s="103"/>
      <c r="P415" s="106"/>
      <c r="Q415" s="106"/>
    </row>
    <row r="416">
      <c r="B416" s="147"/>
      <c r="C416" s="104"/>
      <c r="D416" s="104"/>
      <c r="E416" s="103"/>
      <c r="F416" s="103"/>
      <c r="G416" s="104"/>
      <c r="H416" s="104"/>
      <c r="I416" s="104"/>
      <c r="J416" s="104"/>
      <c r="K416" s="104"/>
      <c r="L416" s="104"/>
      <c r="M416" s="104"/>
      <c r="N416" s="103"/>
      <c r="O416" s="103"/>
      <c r="P416" s="106"/>
      <c r="Q416" s="106"/>
    </row>
    <row r="417">
      <c r="B417" s="147"/>
      <c r="C417" s="104"/>
      <c r="D417" s="104"/>
      <c r="E417" s="103"/>
      <c r="F417" s="103"/>
      <c r="G417" s="104"/>
      <c r="H417" s="104"/>
      <c r="I417" s="104"/>
      <c r="J417" s="104"/>
      <c r="K417" s="104"/>
      <c r="L417" s="104"/>
      <c r="M417" s="104"/>
      <c r="N417" s="103"/>
      <c r="O417" s="103"/>
      <c r="P417" s="106"/>
      <c r="Q417" s="106"/>
    </row>
    <row r="418">
      <c r="B418" s="147"/>
      <c r="C418" s="104"/>
      <c r="D418" s="104"/>
      <c r="E418" s="103"/>
      <c r="F418" s="103"/>
      <c r="G418" s="104"/>
      <c r="H418" s="104"/>
      <c r="I418" s="104"/>
      <c r="J418" s="104"/>
      <c r="K418" s="104"/>
      <c r="L418" s="104"/>
      <c r="M418" s="104"/>
      <c r="N418" s="103"/>
      <c r="O418" s="103"/>
      <c r="P418" s="106"/>
      <c r="Q418" s="106"/>
    </row>
    <row r="419">
      <c r="B419" s="147"/>
      <c r="C419" s="104"/>
      <c r="D419" s="104"/>
      <c r="E419" s="103"/>
      <c r="F419" s="103"/>
      <c r="G419" s="104"/>
      <c r="H419" s="104"/>
      <c r="I419" s="104"/>
      <c r="J419" s="104"/>
      <c r="K419" s="104"/>
      <c r="L419" s="104"/>
      <c r="M419" s="104"/>
      <c r="N419" s="103"/>
      <c r="O419" s="103"/>
      <c r="P419" s="106"/>
      <c r="Q419" s="106"/>
    </row>
    <row r="420">
      <c r="B420" s="147"/>
      <c r="C420" s="104"/>
      <c r="D420" s="104"/>
      <c r="E420" s="103"/>
      <c r="F420" s="103"/>
      <c r="G420" s="104"/>
      <c r="H420" s="104"/>
      <c r="I420" s="104"/>
      <c r="J420" s="104"/>
      <c r="K420" s="104"/>
      <c r="L420" s="104"/>
      <c r="M420" s="104"/>
      <c r="N420" s="103"/>
      <c r="O420" s="103"/>
      <c r="P420" s="106"/>
      <c r="Q420" s="106"/>
    </row>
    <row r="421">
      <c r="B421" s="147"/>
      <c r="C421" s="104"/>
      <c r="D421" s="104"/>
      <c r="E421" s="103"/>
      <c r="F421" s="103"/>
      <c r="G421" s="104"/>
      <c r="H421" s="104"/>
      <c r="I421" s="104"/>
      <c r="J421" s="104"/>
      <c r="K421" s="104"/>
      <c r="L421" s="104"/>
      <c r="M421" s="104"/>
      <c r="N421" s="103"/>
      <c r="O421" s="103"/>
      <c r="P421" s="106"/>
      <c r="Q421" s="106"/>
    </row>
    <row r="422">
      <c r="B422" s="147"/>
      <c r="C422" s="104"/>
      <c r="D422" s="104"/>
      <c r="E422" s="103"/>
      <c r="F422" s="103"/>
      <c r="G422" s="104"/>
      <c r="H422" s="104"/>
      <c r="I422" s="104"/>
      <c r="J422" s="104"/>
      <c r="K422" s="104"/>
      <c r="L422" s="104"/>
      <c r="M422" s="104"/>
      <c r="N422" s="103"/>
      <c r="O422" s="103"/>
      <c r="P422" s="106"/>
      <c r="Q422" s="106"/>
    </row>
    <row r="423">
      <c r="B423" s="147"/>
      <c r="C423" s="104"/>
      <c r="D423" s="104"/>
      <c r="E423" s="103"/>
      <c r="F423" s="103"/>
      <c r="G423" s="104"/>
      <c r="H423" s="104"/>
      <c r="I423" s="104"/>
      <c r="J423" s="104"/>
      <c r="K423" s="104"/>
      <c r="L423" s="104"/>
      <c r="M423" s="104"/>
      <c r="N423" s="103"/>
      <c r="O423" s="103"/>
      <c r="P423" s="106"/>
      <c r="Q423" s="106"/>
    </row>
    <row r="424">
      <c r="B424" s="147"/>
      <c r="C424" s="104"/>
      <c r="D424" s="104"/>
      <c r="E424" s="103"/>
      <c r="F424" s="103"/>
      <c r="G424" s="104"/>
      <c r="H424" s="104"/>
      <c r="I424" s="104"/>
      <c r="J424" s="104"/>
      <c r="K424" s="104"/>
      <c r="L424" s="104"/>
      <c r="M424" s="104"/>
      <c r="N424" s="103"/>
      <c r="O424" s="103"/>
      <c r="P424" s="106"/>
      <c r="Q424" s="106"/>
    </row>
    <row r="425">
      <c r="B425" s="147"/>
      <c r="C425" s="104"/>
      <c r="D425" s="104"/>
      <c r="E425" s="103"/>
      <c r="F425" s="103"/>
      <c r="G425" s="104"/>
      <c r="H425" s="104"/>
      <c r="I425" s="104"/>
      <c r="J425" s="104"/>
      <c r="K425" s="104"/>
      <c r="L425" s="104"/>
      <c r="M425" s="104"/>
      <c r="N425" s="103"/>
      <c r="O425" s="103"/>
      <c r="P425" s="106"/>
      <c r="Q425" s="106"/>
    </row>
    <row r="426">
      <c r="B426" s="147"/>
      <c r="C426" s="104"/>
      <c r="D426" s="104"/>
      <c r="E426" s="103"/>
      <c r="F426" s="103"/>
      <c r="G426" s="104"/>
      <c r="H426" s="104"/>
      <c r="I426" s="104"/>
      <c r="J426" s="104"/>
      <c r="K426" s="104"/>
      <c r="L426" s="104"/>
      <c r="M426" s="104"/>
      <c r="N426" s="103"/>
      <c r="O426" s="103"/>
      <c r="P426" s="106"/>
      <c r="Q426" s="106"/>
    </row>
    <row r="427">
      <c r="B427" s="147"/>
      <c r="C427" s="104"/>
      <c r="D427" s="104"/>
      <c r="E427" s="103"/>
      <c r="F427" s="103"/>
      <c r="G427" s="104"/>
      <c r="H427" s="104"/>
      <c r="I427" s="104"/>
      <c r="J427" s="104"/>
      <c r="K427" s="104"/>
      <c r="L427" s="104"/>
      <c r="M427" s="104"/>
      <c r="N427" s="103"/>
      <c r="O427" s="103"/>
      <c r="P427" s="106"/>
      <c r="Q427" s="106"/>
    </row>
    <row r="428">
      <c r="B428" s="147"/>
      <c r="C428" s="104"/>
      <c r="D428" s="104"/>
      <c r="E428" s="103"/>
      <c r="F428" s="103"/>
      <c r="G428" s="104"/>
      <c r="H428" s="104"/>
      <c r="I428" s="104"/>
      <c r="J428" s="104"/>
      <c r="K428" s="104"/>
      <c r="L428" s="104"/>
      <c r="M428" s="104"/>
      <c r="N428" s="103"/>
      <c r="O428" s="103"/>
      <c r="P428" s="106"/>
      <c r="Q428" s="106"/>
    </row>
    <row r="429">
      <c r="B429" s="147"/>
      <c r="C429" s="104"/>
      <c r="D429" s="104"/>
      <c r="E429" s="103"/>
      <c r="F429" s="103"/>
      <c r="G429" s="104"/>
      <c r="H429" s="104"/>
      <c r="I429" s="104"/>
      <c r="J429" s="104"/>
      <c r="K429" s="104"/>
      <c r="L429" s="104"/>
      <c r="M429" s="104"/>
      <c r="N429" s="103"/>
      <c r="O429" s="103"/>
      <c r="P429" s="106"/>
      <c r="Q429" s="106"/>
    </row>
    <row r="430">
      <c r="B430" s="147"/>
      <c r="C430" s="104"/>
      <c r="D430" s="104"/>
      <c r="E430" s="103"/>
      <c r="F430" s="103"/>
      <c r="G430" s="104"/>
      <c r="H430" s="104"/>
      <c r="I430" s="104"/>
      <c r="J430" s="104"/>
      <c r="K430" s="104"/>
      <c r="L430" s="104"/>
      <c r="M430" s="104"/>
      <c r="N430" s="103"/>
      <c r="O430" s="103"/>
      <c r="P430" s="106"/>
      <c r="Q430" s="106"/>
    </row>
    <row r="431">
      <c r="B431" s="147"/>
      <c r="C431" s="104"/>
      <c r="D431" s="104"/>
      <c r="E431" s="103"/>
      <c r="F431" s="103"/>
      <c r="G431" s="104"/>
      <c r="H431" s="104"/>
      <c r="I431" s="104"/>
      <c r="J431" s="104"/>
      <c r="K431" s="104"/>
      <c r="L431" s="104"/>
      <c r="M431" s="104"/>
      <c r="N431" s="103"/>
      <c r="O431" s="103"/>
      <c r="P431" s="106"/>
      <c r="Q431" s="106"/>
    </row>
    <row r="432">
      <c r="B432" s="147"/>
      <c r="C432" s="104"/>
      <c r="D432" s="104"/>
      <c r="E432" s="103"/>
      <c r="F432" s="103"/>
      <c r="G432" s="104"/>
      <c r="H432" s="104"/>
      <c r="I432" s="104"/>
      <c r="J432" s="104"/>
      <c r="K432" s="104"/>
      <c r="L432" s="104"/>
      <c r="M432" s="104"/>
      <c r="N432" s="103"/>
      <c r="O432" s="103"/>
      <c r="P432" s="106"/>
      <c r="Q432" s="106"/>
    </row>
    <row r="433">
      <c r="B433" s="147"/>
      <c r="C433" s="104"/>
      <c r="D433" s="104"/>
      <c r="E433" s="103"/>
      <c r="F433" s="103"/>
      <c r="G433" s="104"/>
      <c r="H433" s="104"/>
      <c r="I433" s="104"/>
      <c r="J433" s="104"/>
      <c r="K433" s="104"/>
      <c r="L433" s="104"/>
      <c r="M433" s="104"/>
      <c r="N433" s="103"/>
      <c r="O433" s="103"/>
      <c r="P433" s="106"/>
      <c r="Q433" s="106"/>
    </row>
    <row r="434">
      <c r="B434" s="147"/>
      <c r="C434" s="104"/>
      <c r="D434" s="104"/>
      <c r="E434" s="103"/>
      <c r="F434" s="103"/>
      <c r="G434" s="104"/>
      <c r="H434" s="104"/>
      <c r="I434" s="104"/>
      <c r="J434" s="104"/>
      <c r="K434" s="104"/>
      <c r="L434" s="104"/>
      <c r="M434" s="104"/>
      <c r="N434" s="103"/>
      <c r="O434" s="103"/>
      <c r="P434" s="106"/>
      <c r="Q434" s="106"/>
    </row>
    <row r="435">
      <c r="B435" s="147"/>
      <c r="C435" s="104"/>
      <c r="D435" s="104"/>
      <c r="E435" s="103"/>
      <c r="F435" s="103"/>
      <c r="G435" s="104"/>
      <c r="H435" s="104"/>
      <c r="I435" s="104"/>
      <c r="J435" s="104"/>
      <c r="K435" s="104"/>
      <c r="L435" s="104"/>
      <c r="M435" s="104"/>
      <c r="N435" s="103"/>
      <c r="O435" s="103"/>
      <c r="P435" s="106"/>
      <c r="Q435" s="106"/>
    </row>
    <row r="436">
      <c r="B436" s="147"/>
      <c r="C436" s="104"/>
      <c r="D436" s="104"/>
      <c r="E436" s="103"/>
      <c r="F436" s="103"/>
      <c r="G436" s="104"/>
      <c r="H436" s="104"/>
      <c r="I436" s="104"/>
      <c r="J436" s="104"/>
      <c r="K436" s="104"/>
      <c r="L436" s="104"/>
      <c r="M436" s="104"/>
      <c r="N436" s="103"/>
      <c r="O436" s="103"/>
      <c r="P436" s="106"/>
      <c r="Q436" s="106"/>
    </row>
    <row r="437">
      <c r="B437" s="147"/>
      <c r="C437" s="104"/>
      <c r="D437" s="104"/>
      <c r="E437" s="103"/>
      <c r="F437" s="103"/>
      <c r="G437" s="104"/>
      <c r="H437" s="104"/>
      <c r="I437" s="104"/>
      <c r="J437" s="104"/>
      <c r="K437" s="104"/>
      <c r="L437" s="104"/>
      <c r="M437" s="104"/>
      <c r="N437" s="103"/>
      <c r="O437" s="103"/>
      <c r="P437" s="106"/>
      <c r="Q437" s="106"/>
    </row>
    <row r="438">
      <c r="B438" s="147"/>
      <c r="C438" s="104"/>
      <c r="D438" s="104"/>
      <c r="E438" s="103"/>
      <c r="F438" s="103"/>
      <c r="G438" s="104"/>
      <c r="H438" s="104"/>
      <c r="I438" s="104"/>
      <c r="J438" s="104"/>
      <c r="K438" s="104"/>
      <c r="L438" s="104"/>
      <c r="M438" s="104"/>
      <c r="N438" s="103"/>
      <c r="O438" s="103"/>
      <c r="P438" s="106"/>
      <c r="Q438" s="106"/>
    </row>
    <row r="439">
      <c r="B439" s="147"/>
      <c r="C439" s="104"/>
      <c r="D439" s="104"/>
      <c r="E439" s="103"/>
      <c r="F439" s="103"/>
      <c r="G439" s="104"/>
      <c r="H439" s="104"/>
      <c r="I439" s="104"/>
      <c r="J439" s="104"/>
      <c r="K439" s="104"/>
      <c r="L439" s="104"/>
      <c r="M439" s="104"/>
      <c r="N439" s="103"/>
      <c r="O439" s="103"/>
      <c r="P439" s="106"/>
      <c r="Q439" s="106"/>
    </row>
    <row r="440">
      <c r="B440" s="147"/>
      <c r="C440" s="104"/>
      <c r="D440" s="104"/>
      <c r="E440" s="103"/>
      <c r="F440" s="103"/>
      <c r="G440" s="104"/>
      <c r="H440" s="104"/>
      <c r="I440" s="104"/>
      <c r="J440" s="104"/>
      <c r="K440" s="104"/>
      <c r="L440" s="104"/>
      <c r="M440" s="104"/>
      <c r="N440" s="103"/>
      <c r="O440" s="103"/>
      <c r="P440" s="106"/>
      <c r="Q440" s="106"/>
    </row>
    <row r="441">
      <c r="B441" s="147"/>
      <c r="C441" s="104"/>
      <c r="D441" s="104"/>
      <c r="E441" s="103"/>
      <c r="F441" s="103"/>
      <c r="G441" s="104"/>
      <c r="H441" s="104"/>
      <c r="I441" s="104"/>
      <c r="J441" s="104"/>
      <c r="K441" s="104"/>
      <c r="L441" s="104"/>
      <c r="M441" s="104"/>
      <c r="N441" s="103"/>
      <c r="O441" s="103"/>
      <c r="P441" s="106"/>
      <c r="Q441" s="106"/>
    </row>
    <row r="442">
      <c r="B442" s="147"/>
      <c r="C442" s="104"/>
      <c r="D442" s="104"/>
      <c r="E442" s="103"/>
      <c r="F442" s="103"/>
      <c r="G442" s="104"/>
      <c r="H442" s="104"/>
      <c r="I442" s="104"/>
      <c r="J442" s="104"/>
      <c r="K442" s="104"/>
      <c r="L442" s="104"/>
      <c r="M442" s="104"/>
      <c r="N442" s="103"/>
      <c r="O442" s="103"/>
      <c r="P442" s="106"/>
      <c r="Q442" s="106"/>
    </row>
    <row r="443">
      <c r="B443" s="147"/>
      <c r="C443" s="104"/>
      <c r="D443" s="104"/>
      <c r="E443" s="103"/>
      <c r="F443" s="103"/>
      <c r="G443" s="104"/>
      <c r="H443" s="104"/>
      <c r="I443" s="104"/>
      <c r="J443" s="104"/>
      <c r="K443" s="104"/>
      <c r="L443" s="104"/>
      <c r="M443" s="104"/>
      <c r="N443" s="103"/>
      <c r="O443" s="103"/>
      <c r="P443" s="106"/>
      <c r="Q443" s="106"/>
    </row>
    <row r="444">
      <c r="B444" s="147"/>
      <c r="C444" s="104"/>
      <c r="D444" s="104"/>
      <c r="E444" s="103"/>
      <c r="F444" s="103"/>
      <c r="G444" s="104"/>
      <c r="H444" s="104"/>
      <c r="I444" s="104"/>
      <c r="J444" s="104"/>
      <c r="K444" s="104"/>
      <c r="L444" s="104"/>
      <c r="M444" s="104"/>
      <c r="N444" s="103"/>
      <c r="O444" s="103"/>
      <c r="P444" s="106"/>
      <c r="Q444" s="106"/>
    </row>
    <row r="445">
      <c r="B445" s="147"/>
      <c r="C445" s="104"/>
      <c r="D445" s="104"/>
      <c r="E445" s="103"/>
      <c r="F445" s="103"/>
      <c r="G445" s="104"/>
      <c r="H445" s="104"/>
      <c r="I445" s="104"/>
      <c r="J445" s="104"/>
      <c r="K445" s="104"/>
      <c r="L445" s="104"/>
      <c r="M445" s="104"/>
      <c r="N445" s="103"/>
      <c r="O445" s="103"/>
      <c r="P445" s="106"/>
      <c r="Q445" s="106"/>
    </row>
    <row r="446">
      <c r="B446" s="147"/>
      <c r="C446" s="104"/>
      <c r="D446" s="104"/>
      <c r="E446" s="103"/>
      <c r="F446" s="103"/>
      <c r="G446" s="104"/>
      <c r="H446" s="104"/>
      <c r="I446" s="104"/>
      <c r="J446" s="104"/>
      <c r="K446" s="104"/>
      <c r="L446" s="104"/>
      <c r="M446" s="104"/>
      <c r="N446" s="103"/>
      <c r="O446" s="103"/>
      <c r="P446" s="106"/>
      <c r="Q446" s="106"/>
    </row>
    <row r="447">
      <c r="B447" s="147"/>
      <c r="C447" s="104"/>
      <c r="D447" s="104"/>
      <c r="E447" s="103"/>
      <c r="F447" s="103"/>
      <c r="G447" s="104"/>
      <c r="H447" s="104"/>
      <c r="I447" s="104"/>
      <c r="J447" s="104"/>
      <c r="K447" s="104"/>
      <c r="L447" s="104"/>
      <c r="M447" s="104"/>
      <c r="N447" s="103"/>
      <c r="O447" s="103"/>
      <c r="P447" s="106"/>
      <c r="Q447" s="106"/>
    </row>
    <row r="448">
      <c r="B448" s="147"/>
      <c r="C448" s="104"/>
      <c r="D448" s="104"/>
      <c r="E448" s="103"/>
      <c r="F448" s="103"/>
      <c r="G448" s="104"/>
      <c r="H448" s="104"/>
      <c r="I448" s="104"/>
      <c r="J448" s="104"/>
      <c r="K448" s="104"/>
      <c r="L448" s="104"/>
      <c r="M448" s="104"/>
      <c r="N448" s="103"/>
      <c r="O448" s="103"/>
      <c r="P448" s="106"/>
      <c r="Q448" s="106"/>
    </row>
    <row r="449">
      <c r="B449" s="147"/>
      <c r="C449" s="104"/>
      <c r="D449" s="104"/>
      <c r="E449" s="103"/>
      <c r="F449" s="103"/>
      <c r="G449" s="104"/>
      <c r="H449" s="104"/>
      <c r="I449" s="104"/>
      <c r="J449" s="104"/>
      <c r="K449" s="104"/>
      <c r="L449" s="104"/>
      <c r="M449" s="104"/>
      <c r="N449" s="103"/>
      <c r="O449" s="103"/>
      <c r="P449" s="106"/>
      <c r="Q449" s="106"/>
    </row>
    <row r="450">
      <c r="B450" s="147"/>
      <c r="C450" s="104"/>
      <c r="D450" s="104"/>
      <c r="E450" s="103"/>
      <c r="F450" s="103"/>
      <c r="G450" s="104"/>
      <c r="H450" s="104"/>
      <c r="I450" s="104"/>
      <c r="J450" s="104"/>
      <c r="K450" s="104"/>
      <c r="L450" s="104"/>
      <c r="M450" s="104"/>
      <c r="N450" s="103"/>
      <c r="O450" s="103"/>
      <c r="P450" s="106"/>
      <c r="Q450" s="106"/>
    </row>
    <row r="451">
      <c r="B451" s="147"/>
      <c r="C451" s="104"/>
      <c r="D451" s="104"/>
      <c r="E451" s="103"/>
      <c r="F451" s="103"/>
      <c r="G451" s="104"/>
      <c r="H451" s="104"/>
      <c r="I451" s="104"/>
      <c r="J451" s="104"/>
      <c r="K451" s="104"/>
      <c r="L451" s="104"/>
      <c r="M451" s="104"/>
      <c r="N451" s="103"/>
      <c r="O451" s="103"/>
      <c r="P451" s="106"/>
      <c r="Q451" s="106"/>
    </row>
    <row r="452">
      <c r="B452" s="147"/>
      <c r="C452" s="104"/>
      <c r="D452" s="104"/>
      <c r="E452" s="103"/>
      <c r="F452" s="103"/>
      <c r="G452" s="104"/>
      <c r="H452" s="104"/>
      <c r="I452" s="104"/>
      <c r="J452" s="104"/>
      <c r="K452" s="104"/>
      <c r="L452" s="104"/>
      <c r="M452" s="104"/>
      <c r="N452" s="103"/>
      <c r="O452" s="103"/>
      <c r="P452" s="106"/>
      <c r="Q452" s="106"/>
    </row>
    <row r="453">
      <c r="B453" s="147"/>
      <c r="C453" s="104"/>
      <c r="D453" s="104"/>
      <c r="E453" s="103"/>
      <c r="F453" s="103"/>
      <c r="G453" s="104"/>
      <c r="H453" s="104"/>
      <c r="I453" s="104"/>
      <c r="J453" s="104"/>
      <c r="K453" s="104"/>
      <c r="L453" s="104"/>
      <c r="M453" s="104"/>
      <c r="N453" s="103"/>
      <c r="O453" s="103"/>
      <c r="P453" s="106"/>
      <c r="Q453" s="106"/>
    </row>
    <row r="454">
      <c r="B454" s="147"/>
      <c r="C454" s="104"/>
      <c r="D454" s="104"/>
      <c r="E454" s="103"/>
      <c r="F454" s="103"/>
      <c r="G454" s="104"/>
      <c r="H454" s="104"/>
      <c r="I454" s="104"/>
      <c r="J454" s="104"/>
      <c r="K454" s="104"/>
      <c r="L454" s="104"/>
      <c r="M454" s="104"/>
      <c r="N454" s="103"/>
      <c r="O454" s="103"/>
      <c r="P454" s="106"/>
      <c r="Q454" s="106"/>
    </row>
    <row r="455">
      <c r="B455" s="147"/>
      <c r="C455" s="104"/>
      <c r="D455" s="104"/>
      <c r="E455" s="103"/>
      <c r="F455" s="103"/>
      <c r="G455" s="104"/>
      <c r="H455" s="104"/>
      <c r="I455" s="104"/>
      <c r="J455" s="104"/>
      <c r="K455" s="104"/>
      <c r="L455" s="104"/>
      <c r="M455" s="104"/>
      <c r="N455" s="103"/>
      <c r="O455" s="103"/>
      <c r="P455" s="106"/>
      <c r="Q455" s="106"/>
    </row>
    <row r="456">
      <c r="B456" s="147"/>
      <c r="C456" s="104"/>
      <c r="D456" s="104"/>
      <c r="E456" s="103"/>
      <c r="F456" s="103"/>
      <c r="G456" s="104"/>
      <c r="H456" s="104"/>
      <c r="I456" s="104"/>
      <c r="J456" s="104"/>
      <c r="K456" s="104"/>
      <c r="L456" s="104"/>
      <c r="M456" s="104"/>
      <c r="N456" s="103"/>
      <c r="O456" s="103"/>
      <c r="P456" s="106"/>
      <c r="Q456" s="106"/>
    </row>
    <row r="457">
      <c r="B457" s="147"/>
      <c r="C457" s="104"/>
      <c r="D457" s="104"/>
      <c r="E457" s="103"/>
      <c r="F457" s="103"/>
      <c r="G457" s="104"/>
      <c r="H457" s="104"/>
      <c r="I457" s="104"/>
      <c r="J457" s="104"/>
      <c r="K457" s="104"/>
      <c r="L457" s="104"/>
      <c r="M457" s="104"/>
      <c r="N457" s="103"/>
      <c r="O457" s="103"/>
      <c r="P457" s="106"/>
      <c r="Q457" s="106"/>
    </row>
    <row r="458">
      <c r="B458" s="147"/>
      <c r="C458" s="104"/>
      <c r="D458" s="104"/>
      <c r="E458" s="103"/>
      <c r="F458" s="103"/>
      <c r="G458" s="104"/>
      <c r="H458" s="104"/>
      <c r="I458" s="104"/>
      <c r="J458" s="104"/>
      <c r="K458" s="104"/>
      <c r="L458" s="104"/>
      <c r="M458" s="104"/>
      <c r="N458" s="103"/>
      <c r="O458" s="103"/>
      <c r="P458" s="106"/>
      <c r="Q458" s="106"/>
    </row>
    <row r="459">
      <c r="B459" s="147"/>
      <c r="C459" s="104"/>
      <c r="D459" s="104"/>
      <c r="E459" s="103"/>
      <c r="F459" s="103"/>
      <c r="G459" s="104"/>
      <c r="H459" s="104"/>
      <c r="I459" s="104"/>
      <c r="J459" s="104"/>
      <c r="K459" s="104"/>
      <c r="L459" s="104"/>
      <c r="M459" s="104"/>
      <c r="N459" s="103"/>
      <c r="O459" s="103"/>
      <c r="P459" s="106"/>
      <c r="Q459" s="106"/>
    </row>
    <row r="460">
      <c r="B460" s="147"/>
      <c r="C460" s="104"/>
      <c r="D460" s="104"/>
      <c r="E460" s="103"/>
      <c r="F460" s="103"/>
      <c r="G460" s="104"/>
      <c r="H460" s="104"/>
      <c r="I460" s="104"/>
      <c r="J460" s="104"/>
      <c r="K460" s="104"/>
      <c r="L460" s="104"/>
      <c r="M460" s="104"/>
      <c r="N460" s="103"/>
      <c r="O460" s="103"/>
      <c r="P460" s="106"/>
      <c r="Q460" s="106"/>
    </row>
    <row r="461">
      <c r="B461" s="147"/>
      <c r="C461" s="104"/>
      <c r="D461" s="104"/>
      <c r="E461" s="103"/>
      <c r="F461" s="103"/>
      <c r="G461" s="104"/>
      <c r="H461" s="104"/>
      <c r="I461" s="104"/>
      <c r="J461" s="104"/>
      <c r="K461" s="104"/>
      <c r="L461" s="104"/>
      <c r="M461" s="104"/>
      <c r="N461" s="103"/>
      <c r="O461" s="103"/>
      <c r="P461" s="106"/>
      <c r="Q461" s="106"/>
    </row>
    <row r="462">
      <c r="B462" s="147"/>
      <c r="C462" s="104"/>
      <c r="D462" s="104"/>
      <c r="E462" s="103"/>
      <c r="F462" s="103"/>
      <c r="G462" s="104"/>
      <c r="H462" s="104"/>
      <c r="I462" s="104"/>
      <c r="J462" s="104"/>
      <c r="K462" s="104"/>
      <c r="L462" s="104"/>
      <c r="M462" s="104"/>
      <c r="N462" s="103"/>
      <c r="O462" s="103"/>
      <c r="P462" s="106"/>
      <c r="Q462" s="106"/>
    </row>
    <row r="463">
      <c r="B463" s="147"/>
      <c r="C463" s="104"/>
      <c r="D463" s="104"/>
      <c r="E463" s="103"/>
      <c r="F463" s="103"/>
      <c r="G463" s="104"/>
      <c r="H463" s="104"/>
      <c r="I463" s="104"/>
      <c r="J463" s="104"/>
      <c r="K463" s="104"/>
      <c r="L463" s="104"/>
      <c r="M463" s="104"/>
      <c r="N463" s="103"/>
      <c r="O463" s="103"/>
      <c r="P463" s="106"/>
      <c r="Q463" s="106"/>
    </row>
    <row r="464">
      <c r="B464" s="147"/>
      <c r="C464" s="104"/>
      <c r="D464" s="104"/>
      <c r="E464" s="103"/>
      <c r="F464" s="103"/>
      <c r="G464" s="104"/>
      <c r="H464" s="104"/>
      <c r="I464" s="104"/>
      <c r="J464" s="104"/>
      <c r="K464" s="104"/>
      <c r="L464" s="104"/>
      <c r="M464" s="104"/>
      <c r="N464" s="103"/>
      <c r="O464" s="103"/>
      <c r="P464" s="106"/>
      <c r="Q464" s="106"/>
    </row>
    <row r="465">
      <c r="B465" s="147"/>
      <c r="C465" s="104"/>
      <c r="D465" s="104"/>
      <c r="E465" s="103"/>
      <c r="F465" s="103"/>
      <c r="G465" s="104"/>
      <c r="H465" s="104"/>
      <c r="I465" s="104"/>
      <c r="J465" s="104"/>
      <c r="K465" s="104"/>
      <c r="L465" s="104"/>
      <c r="M465" s="104"/>
      <c r="N465" s="103"/>
      <c r="O465" s="103"/>
      <c r="P465" s="106"/>
      <c r="Q465" s="106"/>
    </row>
    <row r="466">
      <c r="B466" s="147"/>
      <c r="C466" s="104"/>
      <c r="D466" s="104"/>
      <c r="E466" s="103"/>
      <c r="F466" s="103"/>
      <c r="G466" s="104"/>
      <c r="H466" s="104"/>
      <c r="I466" s="104"/>
      <c r="J466" s="104"/>
      <c r="K466" s="104"/>
      <c r="L466" s="104"/>
      <c r="M466" s="104"/>
      <c r="N466" s="103"/>
      <c r="O466" s="103"/>
      <c r="P466" s="106"/>
      <c r="Q466" s="106"/>
    </row>
    <row r="467">
      <c r="B467" s="147"/>
      <c r="C467" s="104"/>
      <c r="D467" s="104"/>
      <c r="E467" s="103"/>
      <c r="F467" s="103"/>
      <c r="G467" s="104"/>
      <c r="H467" s="104"/>
      <c r="I467" s="104"/>
      <c r="J467" s="104"/>
      <c r="K467" s="104"/>
      <c r="L467" s="104"/>
      <c r="M467" s="104"/>
      <c r="N467" s="103"/>
      <c r="O467" s="103"/>
      <c r="P467" s="106"/>
      <c r="Q467" s="106"/>
    </row>
    <row r="468">
      <c r="B468" s="147"/>
      <c r="C468" s="104"/>
      <c r="D468" s="104"/>
      <c r="E468" s="103"/>
      <c r="F468" s="103"/>
      <c r="G468" s="104"/>
      <c r="H468" s="104"/>
      <c r="I468" s="104"/>
      <c r="J468" s="104"/>
      <c r="K468" s="104"/>
      <c r="L468" s="104"/>
      <c r="M468" s="104"/>
      <c r="N468" s="103"/>
      <c r="O468" s="103"/>
      <c r="P468" s="106"/>
      <c r="Q468" s="106"/>
    </row>
    <row r="469">
      <c r="B469" s="147"/>
      <c r="C469" s="104"/>
      <c r="D469" s="104"/>
      <c r="E469" s="103"/>
      <c r="F469" s="103"/>
      <c r="G469" s="104"/>
      <c r="H469" s="104"/>
      <c r="I469" s="104"/>
      <c r="J469" s="104"/>
      <c r="K469" s="104"/>
      <c r="L469" s="104"/>
      <c r="M469" s="104"/>
      <c r="N469" s="103"/>
      <c r="O469" s="103"/>
      <c r="P469" s="106"/>
      <c r="Q469" s="106"/>
    </row>
    <row r="470">
      <c r="B470" s="147"/>
      <c r="C470" s="104"/>
      <c r="D470" s="104"/>
      <c r="E470" s="103"/>
      <c r="F470" s="103"/>
      <c r="G470" s="104"/>
      <c r="H470" s="104"/>
      <c r="I470" s="104"/>
      <c r="J470" s="104"/>
      <c r="K470" s="104"/>
      <c r="L470" s="104"/>
      <c r="M470" s="104"/>
      <c r="N470" s="103"/>
      <c r="O470" s="103"/>
      <c r="P470" s="106"/>
      <c r="Q470" s="106"/>
    </row>
    <row r="471">
      <c r="B471" s="147"/>
      <c r="C471" s="104"/>
      <c r="D471" s="104"/>
      <c r="E471" s="103"/>
      <c r="F471" s="103"/>
      <c r="G471" s="104"/>
      <c r="H471" s="104"/>
      <c r="I471" s="104"/>
      <c r="J471" s="104"/>
      <c r="K471" s="104"/>
      <c r="L471" s="104"/>
      <c r="M471" s="104"/>
      <c r="N471" s="103"/>
      <c r="O471" s="103"/>
      <c r="P471" s="106"/>
      <c r="Q471" s="106"/>
    </row>
    <row r="472">
      <c r="B472" s="147"/>
      <c r="C472" s="104"/>
      <c r="D472" s="104"/>
      <c r="E472" s="103"/>
      <c r="F472" s="103"/>
      <c r="G472" s="104"/>
      <c r="H472" s="104"/>
      <c r="I472" s="104"/>
      <c r="J472" s="104"/>
      <c r="K472" s="104"/>
      <c r="L472" s="104"/>
      <c r="M472" s="104"/>
      <c r="N472" s="103"/>
      <c r="O472" s="103"/>
      <c r="P472" s="106"/>
      <c r="Q472" s="106"/>
    </row>
    <row r="473">
      <c r="B473" s="147"/>
      <c r="C473" s="104"/>
      <c r="D473" s="104"/>
      <c r="E473" s="103"/>
      <c r="F473" s="103"/>
      <c r="G473" s="104"/>
      <c r="H473" s="104"/>
      <c r="I473" s="104"/>
      <c r="J473" s="104"/>
      <c r="K473" s="104"/>
      <c r="L473" s="104"/>
      <c r="M473" s="104"/>
      <c r="N473" s="103"/>
      <c r="O473" s="103"/>
      <c r="P473" s="106"/>
      <c r="Q473" s="106"/>
    </row>
    <row r="474">
      <c r="B474" s="147"/>
      <c r="C474" s="104"/>
      <c r="D474" s="104"/>
      <c r="E474" s="103"/>
      <c r="F474" s="103"/>
      <c r="G474" s="104"/>
      <c r="H474" s="104"/>
      <c r="I474" s="104"/>
      <c r="J474" s="104"/>
      <c r="K474" s="104"/>
      <c r="L474" s="104"/>
      <c r="M474" s="104"/>
      <c r="N474" s="103"/>
      <c r="O474" s="103"/>
      <c r="P474" s="106"/>
      <c r="Q474" s="106"/>
    </row>
    <row r="475">
      <c r="B475" s="147"/>
      <c r="C475" s="104"/>
      <c r="D475" s="104"/>
      <c r="E475" s="103"/>
      <c r="F475" s="103"/>
      <c r="G475" s="104"/>
      <c r="H475" s="104"/>
      <c r="I475" s="104"/>
      <c r="J475" s="104"/>
      <c r="K475" s="104"/>
      <c r="L475" s="104"/>
      <c r="M475" s="104"/>
      <c r="N475" s="103"/>
      <c r="O475" s="103"/>
      <c r="P475" s="106"/>
      <c r="Q475" s="106"/>
    </row>
    <row r="476">
      <c r="B476" s="147"/>
      <c r="C476" s="104"/>
      <c r="D476" s="104"/>
      <c r="E476" s="103"/>
      <c r="F476" s="103"/>
      <c r="G476" s="104"/>
      <c r="H476" s="104"/>
      <c r="I476" s="104"/>
      <c r="J476" s="104"/>
      <c r="K476" s="104"/>
      <c r="L476" s="104"/>
      <c r="M476" s="104"/>
      <c r="N476" s="103"/>
      <c r="O476" s="103"/>
      <c r="P476" s="106"/>
      <c r="Q476" s="106"/>
    </row>
    <row r="477">
      <c r="B477" s="147"/>
      <c r="C477" s="104"/>
      <c r="D477" s="104"/>
      <c r="E477" s="103"/>
      <c r="F477" s="103"/>
      <c r="G477" s="104"/>
      <c r="H477" s="104"/>
      <c r="I477" s="104"/>
      <c r="J477" s="104"/>
      <c r="K477" s="104"/>
      <c r="L477" s="104"/>
      <c r="M477" s="104"/>
      <c r="N477" s="103"/>
      <c r="O477" s="103"/>
      <c r="P477" s="106"/>
      <c r="Q477" s="106"/>
    </row>
    <row r="478">
      <c r="B478" s="147"/>
      <c r="C478" s="104"/>
      <c r="D478" s="104"/>
      <c r="E478" s="103"/>
      <c r="F478" s="103"/>
      <c r="G478" s="104"/>
      <c r="H478" s="104"/>
      <c r="I478" s="104"/>
      <c r="J478" s="104"/>
      <c r="K478" s="104"/>
      <c r="L478" s="104"/>
      <c r="M478" s="104"/>
      <c r="N478" s="103"/>
      <c r="O478" s="103"/>
      <c r="P478" s="106"/>
      <c r="Q478" s="106"/>
    </row>
    <row r="479">
      <c r="B479" s="147"/>
      <c r="C479" s="104"/>
      <c r="D479" s="104"/>
      <c r="E479" s="103"/>
      <c r="F479" s="103"/>
      <c r="G479" s="104"/>
      <c r="H479" s="104"/>
      <c r="I479" s="104"/>
      <c r="J479" s="104"/>
      <c r="K479" s="104"/>
      <c r="L479" s="104"/>
      <c r="M479" s="104"/>
      <c r="N479" s="103"/>
      <c r="O479" s="103"/>
      <c r="P479" s="106"/>
      <c r="Q479" s="106"/>
    </row>
    <row r="480">
      <c r="B480" s="147"/>
      <c r="C480" s="104"/>
      <c r="D480" s="104"/>
      <c r="E480" s="103"/>
      <c r="F480" s="103"/>
      <c r="G480" s="104"/>
      <c r="H480" s="104"/>
      <c r="I480" s="104"/>
      <c r="J480" s="104"/>
      <c r="K480" s="104"/>
      <c r="L480" s="104"/>
      <c r="M480" s="104"/>
      <c r="N480" s="103"/>
      <c r="O480" s="103"/>
      <c r="P480" s="106"/>
      <c r="Q480" s="106"/>
    </row>
    <row r="481">
      <c r="B481" s="147"/>
      <c r="C481" s="104"/>
      <c r="D481" s="104"/>
      <c r="E481" s="103"/>
      <c r="F481" s="103"/>
      <c r="G481" s="104"/>
      <c r="H481" s="104"/>
      <c r="I481" s="104"/>
      <c r="J481" s="104"/>
      <c r="K481" s="104"/>
      <c r="L481" s="104"/>
      <c r="M481" s="104"/>
      <c r="N481" s="103"/>
      <c r="O481" s="103"/>
      <c r="P481" s="106"/>
      <c r="Q481" s="106"/>
    </row>
    <row r="482">
      <c r="B482" s="147"/>
      <c r="C482" s="104"/>
      <c r="D482" s="104"/>
      <c r="E482" s="103"/>
      <c r="F482" s="103"/>
      <c r="G482" s="104"/>
      <c r="H482" s="104"/>
      <c r="I482" s="104"/>
      <c r="J482" s="104"/>
      <c r="K482" s="104"/>
      <c r="L482" s="104"/>
      <c r="M482" s="104"/>
      <c r="N482" s="103"/>
      <c r="O482" s="103"/>
      <c r="P482" s="106"/>
      <c r="Q482" s="106"/>
    </row>
    <row r="483">
      <c r="B483" s="147"/>
      <c r="C483" s="104"/>
      <c r="D483" s="104"/>
      <c r="E483" s="103"/>
      <c r="F483" s="103"/>
      <c r="G483" s="104"/>
      <c r="H483" s="104"/>
      <c r="I483" s="104"/>
      <c r="J483" s="104"/>
      <c r="K483" s="104"/>
      <c r="L483" s="104"/>
      <c r="M483" s="104"/>
      <c r="N483" s="103"/>
      <c r="O483" s="103"/>
      <c r="P483" s="106"/>
      <c r="Q483" s="106"/>
    </row>
    <row r="484">
      <c r="B484" s="147"/>
      <c r="C484" s="104"/>
      <c r="D484" s="104"/>
      <c r="E484" s="103"/>
      <c r="F484" s="103"/>
      <c r="G484" s="104"/>
      <c r="H484" s="104"/>
      <c r="I484" s="104"/>
      <c r="J484" s="104"/>
      <c r="K484" s="104"/>
      <c r="L484" s="104"/>
      <c r="M484" s="104"/>
      <c r="N484" s="103"/>
      <c r="O484" s="103"/>
      <c r="P484" s="106"/>
      <c r="Q484" s="106"/>
    </row>
    <row r="485">
      <c r="B485" s="147"/>
      <c r="C485" s="104"/>
      <c r="D485" s="104"/>
      <c r="E485" s="103"/>
      <c r="F485" s="103"/>
      <c r="G485" s="104"/>
      <c r="H485" s="104"/>
      <c r="I485" s="104"/>
      <c r="J485" s="104"/>
      <c r="K485" s="104"/>
      <c r="L485" s="104"/>
      <c r="M485" s="104"/>
      <c r="N485" s="103"/>
      <c r="O485" s="103"/>
      <c r="P485" s="106"/>
      <c r="Q485" s="106"/>
    </row>
    <row r="486">
      <c r="B486" s="147"/>
      <c r="C486" s="104"/>
      <c r="D486" s="104"/>
      <c r="E486" s="103"/>
      <c r="F486" s="103"/>
      <c r="G486" s="104"/>
      <c r="H486" s="104"/>
      <c r="I486" s="104"/>
      <c r="J486" s="104"/>
      <c r="K486" s="104"/>
      <c r="L486" s="104"/>
      <c r="M486" s="104"/>
      <c r="N486" s="103"/>
      <c r="O486" s="103"/>
      <c r="P486" s="106"/>
      <c r="Q486" s="106"/>
    </row>
    <row r="487">
      <c r="B487" s="147"/>
      <c r="C487" s="104"/>
      <c r="D487" s="104"/>
      <c r="E487" s="103"/>
      <c r="F487" s="103"/>
      <c r="G487" s="104"/>
      <c r="H487" s="104"/>
      <c r="I487" s="104"/>
      <c r="J487" s="104"/>
      <c r="K487" s="104"/>
      <c r="L487" s="104"/>
      <c r="M487" s="104"/>
      <c r="N487" s="103"/>
      <c r="O487" s="103"/>
      <c r="P487" s="106"/>
      <c r="Q487" s="106"/>
    </row>
    <row r="488">
      <c r="B488" s="147"/>
      <c r="C488" s="104"/>
      <c r="D488" s="104"/>
      <c r="E488" s="103"/>
      <c r="F488" s="103"/>
      <c r="G488" s="104"/>
      <c r="H488" s="104"/>
      <c r="I488" s="104"/>
      <c r="J488" s="104"/>
      <c r="K488" s="104"/>
      <c r="L488" s="104"/>
      <c r="M488" s="104"/>
      <c r="N488" s="103"/>
      <c r="O488" s="103"/>
      <c r="P488" s="106"/>
      <c r="Q488" s="106"/>
    </row>
    <row r="489">
      <c r="B489" s="147"/>
      <c r="C489" s="104"/>
      <c r="D489" s="104"/>
      <c r="E489" s="103"/>
      <c r="F489" s="103"/>
      <c r="G489" s="104"/>
      <c r="H489" s="104"/>
      <c r="I489" s="104"/>
      <c r="J489" s="104"/>
      <c r="K489" s="104"/>
      <c r="L489" s="104"/>
      <c r="M489" s="104"/>
      <c r="N489" s="103"/>
      <c r="O489" s="103"/>
      <c r="P489" s="106"/>
      <c r="Q489" s="106"/>
    </row>
    <row r="490">
      <c r="B490" s="147"/>
      <c r="C490" s="104"/>
      <c r="D490" s="104"/>
      <c r="E490" s="103"/>
      <c r="F490" s="103"/>
      <c r="G490" s="104"/>
      <c r="H490" s="104"/>
      <c r="I490" s="104"/>
      <c r="J490" s="104"/>
      <c r="K490" s="104"/>
      <c r="L490" s="104"/>
      <c r="M490" s="104"/>
      <c r="N490" s="103"/>
      <c r="O490" s="103"/>
      <c r="P490" s="106"/>
      <c r="Q490" s="106"/>
    </row>
    <row r="491">
      <c r="B491" s="147"/>
      <c r="C491" s="104"/>
      <c r="D491" s="104"/>
      <c r="E491" s="103"/>
      <c r="F491" s="103"/>
      <c r="G491" s="104"/>
      <c r="H491" s="104"/>
      <c r="I491" s="104"/>
      <c r="J491" s="104"/>
      <c r="K491" s="104"/>
      <c r="L491" s="104"/>
      <c r="M491" s="104"/>
      <c r="N491" s="103"/>
      <c r="O491" s="103"/>
      <c r="P491" s="106"/>
      <c r="Q491" s="106"/>
    </row>
    <row r="492">
      <c r="B492" s="147"/>
      <c r="C492" s="104"/>
      <c r="D492" s="104"/>
      <c r="E492" s="103"/>
      <c r="F492" s="103"/>
      <c r="G492" s="104"/>
      <c r="H492" s="104"/>
      <c r="I492" s="104"/>
      <c r="J492" s="104"/>
      <c r="K492" s="104"/>
      <c r="L492" s="104"/>
      <c r="M492" s="104"/>
      <c r="N492" s="103"/>
      <c r="O492" s="103"/>
      <c r="P492" s="106"/>
      <c r="Q492" s="106"/>
    </row>
    <row r="493">
      <c r="B493" s="147"/>
      <c r="C493" s="104"/>
      <c r="D493" s="104"/>
      <c r="E493" s="103"/>
      <c r="F493" s="103"/>
      <c r="G493" s="104"/>
      <c r="H493" s="104"/>
      <c r="I493" s="104"/>
      <c r="J493" s="104"/>
      <c r="K493" s="104"/>
      <c r="L493" s="104"/>
      <c r="M493" s="104"/>
      <c r="N493" s="103"/>
      <c r="O493" s="103"/>
      <c r="P493" s="106"/>
      <c r="Q493" s="106"/>
    </row>
    <row r="494">
      <c r="B494" s="147"/>
      <c r="C494" s="104"/>
      <c r="D494" s="104"/>
      <c r="E494" s="103"/>
      <c r="F494" s="103"/>
      <c r="G494" s="104"/>
      <c r="H494" s="104"/>
      <c r="I494" s="104"/>
      <c r="J494" s="104"/>
      <c r="K494" s="104"/>
      <c r="L494" s="104"/>
      <c r="M494" s="104"/>
      <c r="N494" s="103"/>
      <c r="O494" s="103"/>
      <c r="P494" s="106"/>
      <c r="Q494" s="106"/>
    </row>
    <row r="495">
      <c r="B495" s="147"/>
      <c r="C495" s="104"/>
      <c r="D495" s="104"/>
      <c r="E495" s="103"/>
      <c r="F495" s="103"/>
      <c r="G495" s="104"/>
      <c r="H495" s="104"/>
      <c r="I495" s="104"/>
      <c r="J495" s="104"/>
      <c r="K495" s="104"/>
      <c r="L495" s="104"/>
      <c r="M495" s="104"/>
      <c r="N495" s="103"/>
      <c r="O495" s="103"/>
      <c r="P495" s="106"/>
      <c r="Q495" s="106"/>
    </row>
    <row r="496">
      <c r="B496" s="147"/>
      <c r="C496" s="104"/>
      <c r="D496" s="104"/>
      <c r="E496" s="103"/>
      <c r="F496" s="103"/>
      <c r="G496" s="104"/>
      <c r="H496" s="104"/>
      <c r="I496" s="104"/>
      <c r="J496" s="104"/>
      <c r="K496" s="104"/>
      <c r="L496" s="104"/>
      <c r="M496" s="104"/>
      <c r="N496" s="103"/>
      <c r="O496" s="103"/>
      <c r="P496" s="106"/>
      <c r="Q496" s="106"/>
    </row>
    <row r="497">
      <c r="B497" s="147"/>
      <c r="C497" s="104"/>
      <c r="D497" s="104"/>
      <c r="E497" s="103"/>
      <c r="F497" s="103"/>
      <c r="G497" s="104"/>
      <c r="H497" s="104"/>
      <c r="I497" s="104"/>
      <c r="J497" s="104"/>
      <c r="K497" s="104"/>
      <c r="L497" s="104"/>
      <c r="M497" s="104"/>
      <c r="N497" s="103"/>
      <c r="O497" s="103"/>
      <c r="P497" s="106"/>
      <c r="Q497" s="106"/>
    </row>
    <row r="498">
      <c r="B498" s="147"/>
      <c r="C498" s="104"/>
      <c r="D498" s="104"/>
      <c r="E498" s="103"/>
      <c r="F498" s="103"/>
      <c r="G498" s="104"/>
      <c r="H498" s="104"/>
      <c r="I498" s="104"/>
      <c r="J498" s="104"/>
      <c r="K498" s="104"/>
      <c r="L498" s="104"/>
      <c r="M498" s="104"/>
      <c r="N498" s="103"/>
      <c r="O498" s="103"/>
      <c r="P498" s="106"/>
      <c r="Q498" s="106"/>
    </row>
    <row r="499">
      <c r="B499" s="147"/>
      <c r="C499" s="104"/>
      <c r="D499" s="104"/>
      <c r="E499" s="103"/>
      <c r="F499" s="103"/>
      <c r="G499" s="104"/>
      <c r="H499" s="104"/>
      <c r="I499" s="104"/>
      <c r="J499" s="104"/>
      <c r="K499" s="104"/>
      <c r="L499" s="104"/>
      <c r="M499" s="104"/>
      <c r="N499" s="103"/>
      <c r="O499" s="103"/>
      <c r="P499" s="106"/>
      <c r="Q499" s="106"/>
    </row>
    <row r="500">
      <c r="B500" s="147"/>
      <c r="C500" s="104"/>
      <c r="D500" s="104"/>
      <c r="E500" s="103"/>
      <c r="F500" s="103"/>
      <c r="G500" s="104"/>
      <c r="H500" s="104"/>
      <c r="I500" s="104"/>
      <c r="J500" s="104"/>
      <c r="K500" s="104"/>
      <c r="L500" s="104"/>
      <c r="M500" s="104"/>
      <c r="N500" s="103"/>
      <c r="O500" s="103"/>
      <c r="P500" s="106"/>
      <c r="Q500" s="106"/>
    </row>
    <row r="501">
      <c r="B501" s="147"/>
      <c r="C501" s="104"/>
      <c r="D501" s="104"/>
      <c r="E501" s="103"/>
      <c r="F501" s="103"/>
      <c r="G501" s="104"/>
      <c r="H501" s="104"/>
      <c r="I501" s="104"/>
      <c r="J501" s="104"/>
      <c r="K501" s="104"/>
      <c r="L501" s="104"/>
      <c r="M501" s="104"/>
      <c r="N501" s="103"/>
      <c r="O501" s="103"/>
      <c r="P501" s="106"/>
      <c r="Q501" s="106"/>
    </row>
    <row r="502">
      <c r="B502" s="147"/>
      <c r="C502" s="104"/>
      <c r="D502" s="104"/>
      <c r="E502" s="103"/>
      <c r="F502" s="103"/>
      <c r="G502" s="104"/>
      <c r="H502" s="104"/>
      <c r="I502" s="104"/>
      <c r="J502" s="104"/>
      <c r="K502" s="104"/>
      <c r="L502" s="104"/>
      <c r="M502" s="104"/>
      <c r="N502" s="103"/>
      <c r="O502" s="103"/>
      <c r="P502" s="106"/>
      <c r="Q502" s="106"/>
    </row>
    <row r="503">
      <c r="B503" s="147"/>
      <c r="C503" s="104"/>
      <c r="D503" s="104"/>
      <c r="E503" s="103"/>
      <c r="F503" s="103"/>
      <c r="G503" s="104"/>
      <c r="H503" s="104"/>
      <c r="I503" s="104"/>
      <c r="J503" s="104"/>
      <c r="K503" s="104"/>
      <c r="L503" s="104"/>
      <c r="M503" s="104"/>
      <c r="N503" s="103"/>
      <c r="O503" s="103"/>
      <c r="P503" s="106"/>
      <c r="Q503" s="106"/>
    </row>
    <row r="504">
      <c r="B504" s="147"/>
      <c r="C504" s="104"/>
      <c r="D504" s="104"/>
      <c r="E504" s="103"/>
      <c r="F504" s="103"/>
      <c r="G504" s="104"/>
      <c r="H504" s="104"/>
      <c r="I504" s="104"/>
      <c r="J504" s="104"/>
      <c r="K504" s="104"/>
      <c r="L504" s="104"/>
      <c r="M504" s="104"/>
      <c r="N504" s="103"/>
      <c r="O504" s="103"/>
      <c r="P504" s="106"/>
      <c r="Q504" s="106"/>
    </row>
    <row r="505">
      <c r="B505" s="147"/>
      <c r="C505" s="104"/>
      <c r="D505" s="104"/>
      <c r="E505" s="103"/>
      <c r="F505" s="103"/>
      <c r="G505" s="104"/>
      <c r="H505" s="104"/>
      <c r="I505" s="104"/>
      <c r="J505" s="104"/>
      <c r="K505" s="104"/>
      <c r="L505" s="104"/>
      <c r="M505" s="104"/>
      <c r="N505" s="103"/>
      <c r="O505" s="103"/>
      <c r="P505" s="106"/>
      <c r="Q505" s="106"/>
    </row>
    <row r="506">
      <c r="B506" s="147"/>
      <c r="C506" s="104"/>
      <c r="D506" s="104"/>
      <c r="E506" s="103"/>
      <c r="F506" s="103"/>
      <c r="G506" s="104"/>
      <c r="H506" s="104"/>
      <c r="I506" s="104"/>
      <c r="J506" s="104"/>
      <c r="K506" s="104"/>
      <c r="L506" s="104"/>
      <c r="M506" s="104"/>
      <c r="N506" s="103"/>
      <c r="O506" s="103"/>
      <c r="P506" s="106"/>
      <c r="Q506" s="106"/>
    </row>
    <row r="507">
      <c r="B507" s="147"/>
      <c r="C507" s="104"/>
      <c r="D507" s="104"/>
      <c r="E507" s="103"/>
      <c r="F507" s="103"/>
      <c r="G507" s="104"/>
      <c r="H507" s="104"/>
      <c r="I507" s="104"/>
      <c r="J507" s="104"/>
      <c r="K507" s="104"/>
      <c r="L507" s="104"/>
      <c r="M507" s="104"/>
      <c r="N507" s="103"/>
      <c r="O507" s="103"/>
      <c r="P507" s="106"/>
      <c r="Q507" s="106"/>
    </row>
    <row r="508">
      <c r="B508" s="147"/>
      <c r="C508" s="104"/>
      <c r="D508" s="104"/>
      <c r="E508" s="103"/>
      <c r="F508" s="103"/>
      <c r="G508" s="104"/>
      <c r="H508" s="104"/>
      <c r="I508" s="104"/>
      <c r="J508" s="104"/>
      <c r="K508" s="104"/>
      <c r="L508" s="104"/>
      <c r="M508" s="104"/>
      <c r="N508" s="103"/>
      <c r="O508" s="103"/>
      <c r="P508" s="106"/>
      <c r="Q508" s="106"/>
    </row>
    <row r="509">
      <c r="B509" s="147"/>
      <c r="C509" s="104"/>
      <c r="D509" s="104"/>
      <c r="E509" s="103"/>
      <c r="F509" s="103"/>
      <c r="G509" s="104"/>
      <c r="H509" s="104"/>
      <c r="I509" s="104"/>
      <c r="J509" s="104"/>
      <c r="K509" s="104"/>
      <c r="L509" s="104"/>
      <c r="M509" s="104"/>
      <c r="N509" s="103"/>
      <c r="O509" s="103"/>
      <c r="P509" s="106"/>
      <c r="Q509" s="106"/>
    </row>
    <row r="510">
      <c r="B510" s="147"/>
      <c r="C510" s="104"/>
      <c r="D510" s="104"/>
      <c r="E510" s="103"/>
      <c r="F510" s="103"/>
      <c r="G510" s="104"/>
      <c r="H510" s="104"/>
      <c r="I510" s="104"/>
      <c r="J510" s="104"/>
      <c r="K510" s="104"/>
      <c r="L510" s="104"/>
      <c r="M510" s="104"/>
      <c r="N510" s="103"/>
      <c r="O510" s="103"/>
      <c r="P510" s="106"/>
      <c r="Q510" s="106"/>
    </row>
    <row r="511">
      <c r="B511" s="147"/>
      <c r="C511" s="104"/>
      <c r="D511" s="104"/>
      <c r="E511" s="103"/>
      <c r="F511" s="103"/>
      <c r="G511" s="104"/>
      <c r="H511" s="104"/>
      <c r="I511" s="104"/>
      <c r="J511" s="104"/>
      <c r="K511" s="104"/>
      <c r="L511" s="104"/>
      <c r="M511" s="104"/>
      <c r="N511" s="103"/>
      <c r="O511" s="103"/>
      <c r="P511" s="106"/>
      <c r="Q511" s="106"/>
    </row>
    <row r="512">
      <c r="B512" s="147"/>
      <c r="C512" s="104"/>
      <c r="D512" s="104"/>
      <c r="E512" s="103"/>
      <c r="F512" s="103"/>
      <c r="G512" s="104"/>
      <c r="H512" s="104"/>
      <c r="I512" s="104"/>
      <c r="J512" s="104"/>
      <c r="K512" s="104"/>
      <c r="L512" s="104"/>
      <c r="M512" s="104"/>
      <c r="N512" s="103"/>
      <c r="O512" s="103"/>
      <c r="P512" s="106"/>
      <c r="Q512" s="106"/>
    </row>
    <row r="513">
      <c r="B513" s="147"/>
      <c r="C513" s="104"/>
      <c r="D513" s="104"/>
      <c r="E513" s="103"/>
      <c r="F513" s="103"/>
      <c r="G513" s="104"/>
      <c r="H513" s="104"/>
      <c r="I513" s="104"/>
      <c r="J513" s="104"/>
      <c r="K513" s="104"/>
      <c r="L513" s="104"/>
      <c r="M513" s="104"/>
      <c r="N513" s="103"/>
      <c r="O513" s="103"/>
      <c r="P513" s="106"/>
      <c r="Q513" s="106"/>
    </row>
    <row r="514">
      <c r="B514" s="147"/>
      <c r="C514" s="104"/>
      <c r="D514" s="104"/>
      <c r="E514" s="103"/>
      <c r="F514" s="103"/>
      <c r="G514" s="104"/>
      <c r="H514" s="104"/>
      <c r="I514" s="104"/>
      <c r="J514" s="104"/>
      <c r="K514" s="104"/>
      <c r="L514" s="104"/>
      <c r="M514" s="104"/>
      <c r="N514" s="103"/>
      <c r="O514" s="103"/>
      <c r="P514" s="106"/>
      <c r="Q514" s="106"/>
    </row>
    <row r="515">
      <c r="B515" s="147"/>
      <c r="C515" s="104"/>
      <c r="D515" s="104"/>
      <c r="E515" s="103"/>
      <c r="F515" s="103"/>
      <c r="G515" s="104"/>
      <c r="H515" s="104"/>
      <c r="I515" s="104"/>
      <c r="J515" s="104"/>
      <c r="K515" s="104"/>
      <c r="L515" s="104"/>
      <c r="M515" s="104"/>
      <c r="N515" s="103"/>
      <c r="O515" s="103"/>
      <c r="P515" s="106"/>
      <c r="Q515" s="106"/>
    </row>
    <row r="516">
      <c r="B516" s="147"/>
      <c r="C516" s="104"/>
      <c r="D516" s="104"/>
      <c r="E516" s="103"/>
      <c r="F516" s="103"/>
      <c r="G516" s="104"/>
      <c r="H516" s="104"/>
      <c r="I516" s="104"/>
      <c r="J516" s="104"/>
      <c r="K516" s="104"/>
      <c r="L516" s="104"/>
      <c r="M516" s="104"/>
      <c r="N516" s="103"/>
      <c r="O516" s="103"/>
      <c r="P516" s="106"/>
      <c r="Q516" s="106"/>
    </row>
    <row r="517">
      <c r="B517" s="147"/>
      <c r="C517" s="104"/>
      <c r="D517" s="104"/>
      <c r="E517" s="103"/>
      <c r="F517" s="103"/>
      <c r="G517" s="104"/>
      <c r="H517" s="104"/>
      <c r="I517" s="104"/>
      <c r="J517" s="104"/>
      <c r="K517" s="104"/>
      <c r="L517" s="104"/>
      <c r="M517" s="104"/>
      <c r="N517" s="103"/>
      <c r="O517" s="103"/>
      <c r="P517" s="106"/>
      <c r="Q517" s="106"/>
    </row>
    <row r="518">
      <c r="B518" s="147"/>
      <c r="C518" s="104"/>
      <c r="D518" s="104"/>
      <c r="E518" s="103"/>
      <c r="F518" s="103"/>
      <c r="G518" s="104"/>
      <c r="H518" s="104"/>
      <c r="I518" s="104"/>
      <c r="J518" s="104"/>
      <c r="K518" s="104"/>
      <c r="L518" s="104"/>
      <c r="M518" s="104"/>
      <c r="N518" s="103"/>
      <c r="O518" s="103"/>
      <c r="P518" s="106"/>
      <c r="Q518" s="106"/>
    </row>
    <row r="519">
      <c r="B519" s="147"/>
      <c r="C519" s="104"/>
      <c r="D519" s="104"/>
      <c r="E519" s="103"/>
      <c r="F519" s="103"/>
      <c r="G519" s="104"/>
      <c r="H519" s="104"/>
      <c r="I519" s="104"/>
      <c r="J519" s="104"/>
      <c r="K519" s="104"/>
      <c r="L519" s="104"/>
      <c r="M519" s="104"/>
      <c r="N519" s="103"/>
      <c r="O519" s="103"/>
      <c r="P519" s="106"/>
      <c r="Q519" s="106"/>
    </row>
    <row r="520">
      <c r="B520" s="147"/>
      <c r="C520" s="104"/>
      <c r="D520" s="104"/>
      <c r="E520" s="103"/>
      <c r="F520" s="103"/>
      <c r="G520" s="104"/>
      <c r="H520" s="104"/>
      <c r="I520" s="104"/>
      <c r="J520" s="104"/>
      <c r="K520" s="104"/>
      <c r="L520" s="104"/>
      <c r="M520" s="104"/>
      <c r="N520" s="103"/>
      <c r="O520" s="103"/>
      <c r="P520" s="106"/>
      <c r="Q520" s="106"/>
    </row>
    <row r="521">
      <c r="B521" s="147"/>
      <c r="C521" s="104"/>
      <c r="D521" s="104"/>
      <c r="E521" s="103"/>
      <c r="F521" s="103"/>
      <c r="G521" s="104"/>
      <c r="H521" s="104"/>
      <c r="I521" s="104"/>
      <c r="J521" s="104"/>
      <c r="K521" s="104"/>
      <c r="L521" s="104"/>
      <c r="M521" s="104"/>
      <c r="N521" s="103"/>
      <c r="O521" s="103"/>
      <c r="P521" s="106"/>
      <c r="Q521" s="106"/>
    </row>
    <row r="522">
      <c r="B522" s="147"/>
      <c r="C522" s="104"/>
      <c r="D522" s="104"/>
      <c r="E522" s="103"/>
      <c r="F522" s="103"/>
      <c r="G522" s="104"/>
      <c r="H522" s="104"/>
      <c r="I522" s="104"/>
      <c r="J522" s="104"/>
      <c r="K522" s="104"/>
      <c r="L522" s="104"/>
      <c r="M522" s="104"/>
      <c r="N522" s="103"/>
      <c r="O522" s="103"/>
      <c r="P522" s="106"/>
      <c r="Q522" s="106"/>
    </row>
    <row r="523">
      <c r="B523" s="147"/>
      <c r="C523" s="104"/>
      <c r="D523" s="104"/>
      <c r="E523" s="103"/>
      <c r="F523" s="103"/>
      <c r="G523" s="104"/>
      <c r="H523" s="104"/>
      <c r="I523" s="104"/>
      <c r="J523" s="104"/>
      <c r="K523" s="104"/>
      <c r="L523" s="104"/>
      <c r="M523" s="104"/>
      <c r="N523" s="103"/>
      <c r="O523" s="103"/>
      <c r="P523" s="106"/>
      <c r="Q523" s="106"/>
    </row>
    <row r="524">
      <c r="B524" s="147"/>
      <c r="C524" s="104"/>
      <c r="D524" s="104"/>
      <c r="E524" s="103"/>
      <c r="F524" s="103"/>
      <c r="G524" s="104"/>
      <c r="H524" s="104"/>
      <c r="I524" s="104"/>
      <c r="J524" s="104"/>
      <c r="K524" s="104"/>
      <c r="L524" s="104"/>
      <c r="M524" s="104"/>
      <c r="N524" s="103"/>
      <c r="O524" s="103"/>
      <c r="P524" s="106"/>
      <c r="Q524" s="106"/>
    </row>
    <row r="525">
      <c r="B525" s="147"/>
      <c r="C525" s="104"/>
      <c r="D525" s="104"/>
      <c r="E525" s="103"/>
      <c r="F525" s="103"/>
      <c r="G525" s="104"/>
      <c r="H525" s="104"/>
      <c r="I525" s="104"/>
      <c r="J525" s="104"/>
      <c r="K525" s="104"/>
      <c r="L525" s="104"/>
      <c r="M525" s="104"/>
      <c r="N525" s="103"/>
      <c r="O525" s="103"/>
      <c r="P525" s="106"/>
      <c r="Q525" s="106"/>
    </row>
    <row r="526">
      <c r="B526" s="147"/>
      <c r="C526" s="104"/>
      <c r="D526" s="104"/>
      <c r="E526" s="103"/>
      <c r="F526" s="103"/>
      <c r="G526" s="104"/>
      <c r="H526" s="104"/>
      <c r="I526" s="104"/>
      <c r="J526" s="104"/>
      <c r="K526" s="104"/>
      <c r="L526" s="104"/>
      <c r="M526" s="104"/>
      <c r="N526" s="103"/>
      <c r="O526" s="103"/>
      <c r="P526" s="106"/>
      <c r="Q526" s="106"/>
    </row>
    <row r="527">
      <c r="B527" s="147"/>
      <c r="C527" s="104"/>
      <c r="D527" s="104"/>
      <c r="E527" s="103"/>
      <c r="F527" s="103"/>
      <c r="G527" s="104"/>
      <c r="H527" s="104"/>
      <c r="I527" s="104"/>
      <c r="J527" s="104"/>
      <c r="K527" s="104"/>
      <c r="L527" s="104"/>
      <c r="M527" s="104"/>
      <c r="N527" s="103"/>
      <c r="O527" s="103"/>
      <c r="P527" s="106"/>
      <c r="Q527" s="106"/>
    </row>
    <row r="528">
      <c r="B528" s="147"/>
      <c r="C528" s="104"/>
      <c r="D528" s="104"/>
      <c r="E528" s="103"/>
      <c r="F528" s="103"/>
      <c r="G528" s="104"/>
      <c r="H528" s="104"/>
      <c r="I528" s="104"/>
      <c r="J528" s="104"/>
      <c r="K528" s="104"/>
      <c r="L528" s="104"/>
      <c r="M528" s="104"/>
      <c r="N528" s="103"/>
      <c r="O528" s="103"/>
      <c r="P528" s="106"/>
      <c r="Q528" s="106"/>
    </row>
    <row r="529">
      <c r="B529" s="147"/>
      <c r="C529" s="104"/>
      <c r="D529" s="104"/>
      <c r="E529" s="103"/>
      <c r="F529" s="103"/>
      <c r="G529" s="104"/>
      <c r="H529" s="104"/>
      <c r="I529" s="104"/>
      <c r="J529" s="104"/>
      <c r="K529" s="104"/>
      <c r="L529" s="104"/>
      <c r="M529" s="104"/>
      <c r="N529" s="103"/>
      <c r="O529" s="103"/>
      <c r="P529" s="106"/>
      <c r="Q529" s="106"/>
    </row>
    <row r="530">
      <c r="B530" s="147"/>
      <c r="C530" s="104"/>
      <c r="D530" s="104"/>
      <c r="E530" s="103"/>
      <c r="F530" s="103"/>
      <c r="G530" s="104"/>
      <c r="H530" s="104"/>
      <c r="I530" s="104"/>
      <c r="J530" s="104"/>
      <c r="K530" s="104"/>
      <c r="L530" s="104"/>
      <c r="M530" s="104"/>
      <c r="N530" s="103"/>
      <c r="O530" s="103"/>
      <c r="P530" s="106"/>
      <c r="Q530" s="106"/>
    </row>
    <row r="531">
      <c r="B531" s="147"/>
      <c r="C531" s="104"/>
      <c r="D531" s="104"/>
      <c r="E531" s="103"/>
      <c r="F531" s="103"/>
      <c r="G531" s="104"/>
      <c r="H531" s="104"/>
      <c r="I531" s="104"/>
      <c r="J531" s="104"/>
      <c r="K531" s="104"/>
      <c r="L531" s="104"/>
      <c r="M531" s="104"/>
      <c r="N531" s="103"/>
      <c r="O531" s="103"/>
      <c r="P531" s="106"/>
      <c r="Q531" s="106"/>
    </row>
    <row r="532">
      <c r="B532" s="147"/>
      <c r="C532" s="104"/>
      <c r="D532" s="104"/>
      <c r="E532" s="103"/>
      <c r="F532" s="103"/>
      <c r="G532" s="104"/>
      <c r="H532" s="104"/>
      <c r="I532" s="104"/>
      <c r="J532" s="104"/>
      <c r="K532" s="104"/>
      <c r="L532" s="104"/>
      <c r="M532" s="104"/>
      <c r="N532" s="103"/>
      <c r="O532" s="103"/>
      <c r="P532" s="106"/>
      <c r="Q532" s="106"/>
    </row>
    <row r="533">
      <c r="B533" s="147"/>
      <c r="C533" s="104"/>
      <c r="D533" s="104"/>
      <c r="E533" s="103"/>
      <c r="F533" s="103"/>
      <c r="G533" s="104"/>
      <c r="H533" s="104"/>
      <c r="I533" s="104"/>
      <c r="J533" s="104"/>
      <c r="K533" s="104"/>
      <c r="L533" s="104"/>
      <c r="M533" s="104"/>
      <c r="N533" s="103"/>
      <c r="O533" s="103"/>
      <c r="P533" s="106"/>
      <c r="Q533" s="106"/>
    </row>
    <row r="534">
      <c r="B534" s="147"/>
      <c r="C534" s="104"/>
      <c r="D534" s="104"/>
      <c r="E534" s="103"/>
      <c r="F534" s="103"/>
      <c r="G534" s="104"/>
      <c r="H534" s="104"/>
      <c r="I534" s="104"/>
      <c r="J534" s="104"/>
      <c r="K534" s="104"/>
      <c r="L534" s="104"/>
      <c r="M534" s="104"/>
      <c r="N534" s="103"/>
      <c r="O534" s="103"/>
      <c r="P534" s="106"/>
      <c r="Q534" s="106"/>
    </row>
    <row r="535">
      <c r="B535" s="147"/>
      <c r="C535" s="104"/>
      <c r="D535" s="104"/>
      <c r="E535" s="103"/>
      <c r="F535" s="103"/>
      <c r="G535" s="104"/>
      <c r="H535" s="104"/>
      <c r="I535" s="104"/>
      <c r="J535" s="104"/>
      <c r="K535" s="104"/>
      <c r="L535" s="104"/>
      <c r="M535" s="104"/>
      <c r="N535" s="103"/>
      <c r="O535" s="103"/>
      <c r="P535" s="106"/>
      <c r="Q535" s="106"/>
    </row>
    <row r="536">
      <c r="B536" s="147"/>
      <c r="C536" s="104"/>
      <c r="D536" s="104"/>
      <c r="E536" s="103"/>
      <c r="F536" s="103"/>
      <c r="G536" s="104"/>
      <c r="H536" s="104"/>
      <c r="I536" s="104"/>
      <c r="J536" s="104"/>
      <c r="K536" s="104"/>
      <c r="L536" s="104"/>
      <c r="M536" s="104"/>
      <c r="N536" s="103"/>
      <c r="O536" s="103"/>
      <c r="P536" s="106"/>
      <c r="Q536" s="106"/>
    </row>
    <row r="537">
      <c r="B537" s="147"/>
      <c r="C537" s="104"/>
      <c r="D537" s="104"/>
      <c r="E537" s="103"/>
      <c r="F537" s="103"/>
      <c r="G537" s="104"/>
      <c r="H537" s="104"/>
      <c r="I537" s="104"/>
      <c r="J537" s="104"/>
      <c r="K537" s="104"/>
      <c r="L537" s="104"/>
      <c r="M537" s="104"/>
      <c r="N537" s="103"/>
      <c r="O537" s="103"/>
      <c r="P537" s="106"/>
      <c r="Q537" s="106"/>
    </row>
    <row r="538">
      <c r="B538" s="147"/>
      <c r="C538" s="104"/>
      <c r="D538" s="104"/>
      <c r="E538" s="103"/>
      <c r="F538" s="103"/>
      <c r="G538" s="104"/>
      <c r="H538" s="104"/>
      <c r="I538" s="104"/>
      <c r="J538" s="104"/>
      <c r="K538" s="104"/>
      <c r="L538" s="104"/>
      <c r="M538" s="104"/>
      <c r="N538" s="103"/>
      <c r="O538" s="103"/>
      <c r="P538" s="106"/>
      <c r="Q538" s="106"/>
    </row>
    <row r="539">
      <c r="B539" s="147"/>
      <c r="C539" s="104"/>
      <c r="D539" s="104"/>
      <c r="E539" s="103"/>
      <c r="F539" s="103"/>
      <c r="G539" s="104"/>
      <c r="H539" s="104"/>
      <c r="I539" s="104"/>
      <c r="J539" s="104"/>
      <c r="K539" s="104"/>
      <c r="L539" s="104"/>
      <c r="M539" s="104"/>
      <c r="N539" s="103"/>
      <c r="O539" s="103"/>
      <c r="P539" s="106"/>
      <c r="Q539" s="106"/>
    </row>
    <row r="540">
      <c r="B540" s="147"/>
      <c r="C540" s="104"/>
      <c r="D540" s="104"/>
      <c r="E540" s="103"/>
      <c r="F540" s="103"/>
      <c r="G540" s="104"/>
      <c r="H540" s="104"/>
      <c r="I540" s="104"/>
      <c r="J540" s="104"/>
      <c r="K540" s="104"/>
      <c r="L540" s="104"/>
      <c r="M540" s="104"/>
      <c r="N540" s="103"/>
      <c r="O540" s="103"/>
      <c r="P540" s="106"/>
      <c r="Q540" s="106"/>
    </row>
    <row r="541">
      <c r="B541" s="147"/>
      <c r="C541" s="104"/>
      <c r="D541" s="104"/>
      <c r="E541" s="103"/>
      <c r="F541" s="103"/>
      <c r="G541" s="104"/>
      <c r="H541" s="104"/>
      <c r="I541" s="104"/>
      <c r="J541" s="104"/>
      <c r="K541" s="104"/>
      <c r="L541" s="104"/>
      <c r="M541" s="104"/>
      <c r="N541" s="103"/>
      <c r="O541" s="103"/>
      <c r="P541" s="106"/>
      <c r="Q541" s="106"/>
    </row>
    <row r="542">
      <c r="B542" s="147"/>
      <c r="C542" s="104"/>
      <c r="D542" s="104"/>
      <c r="E542" s="103"/>
      <c r="F542" s="103"/>
      <c r="G542" s="104"/>
      <c r="H542" s="104"/>
      <c r="I542" s="104"/>
      <c r="J542" s="104"/>
      <c r="K542" s="104"/>
      <c r="L542" s="104"/>
      <c r="M542" s="104"/>
      <c r="N542" s="103"/>
      <c r="O542" s="103"/>
      <c r="P542" s="106"/>
      <c r="Q542" s="106"/>
    </row>
    <row r="543">
      <c r="B543" s="147"/>
      <c r="C543" s="104"/>
      <c r="D543" s="104"/>
      <c r="E543" s="103"/>
      <c r="F543" s="103"/>
      <c r="G543" s="104"/>
      <c r="H543" s="104"/>
      <c r="I543" s="104"/>
      <c r="J543" s="104"/>
      <c r="K543" s="104"/>
      <c r="L543" s="104"/>
      <c r="M543" s="104"/>
      <c r="N543" s="103"/>
      <c r="O543" s="103"/>
      <c r="P543" s="106"/>
      <c r="Q543" s="106"/>
    </row>
    <row r="544">
      <c r="B544" s="147"/>
      <c r="C544" s="104"/>
      <c r="D544" s="104"/>
      <c r="E544" s="103"/>
      <c r="F544" s="103"/>
      <c r="G544" s="104"/>
      <c r="H544" s="104"/>
      <c r="I544" s="104"/>
      <c r="J544" s="104"/>
      <c r="K544" s="104"/>
      <c r="L544" s="104"/>
      <c r="M544" s="104"/>
      <c r="N544" s="103"/>
      <c r="O544" s="103"/>
      <c r="P544" s="106"/>
      <c r="Q544" s="106"/>
    </row>
    <row r="545">
      <c r="B545" s="147"/>
      <c r="C545" s="104"/>
      <c r="D545" s="104"/>
      <c r="E545" s="103"/>
      <c r="F545" s="103"/>
      <c r="G545" s="104"/>
      <c r="H545" s="104"/>
      <c r="I545" s="104"/>
      <c r="J545" s="104"/>
      <c r="K545" s="104"/>
      <c r="L545" s="104"/>
      <c r="M545" s="104"/>
      <c r="N545" s="103"/>
      <c r="O545" s="103"/>
      <c r="P545" s="106"/>
      <c r="Q545" s="106"/>
    </row>
    <row r="546">
      <c r="B546" s="147"/>
      <c r="C546" s="104"/>
      <c r="D546" s="104"/>
      <c r="E546" s="103"/>
      <c r="F546" s="103"/>
      <c r="G546" s="104"/>
      <c r="H546" s="104"/>
      <c r="I546" s="104"/>
      <c r="J546" s="104"/>
      <c r="K546" s="104"/>
      <c r="L546" s="104"/>
      <c r="M546" s="104"/>
      <c r="N546" s="103"/>
      <c r="O546" s="103"/>
      <c r="P546" s="106"/>
      <c r="Q546" s="106"/>
    </row>
    <row r="547">
      <c r="B547" s="147"/>
      <c r="C547" s="104"/>
      <c r="D547" s="104"/>
      <c r="E547" s="103"/>
      <c r="F547" s="103"/>
      <c r="G547" s="104"/>
      <c r="H547" s="104"/>
      <c r="I547" s="104"/>
      <c r="J547" s="104"/>
      <c r="K547" s="104"/>
      <c r="L547" s="104"/>
      <c r="M547" s="104"/>
      <c r="N547" s="103"/>
      <c r="O547" s="103"/>
      <c r="P547" s="106"/>
      <c r="Q547" s="106"/>
    </row>
    <row r="548">
      <c r="B548" s="147"/>
      <c r="C548" s="104"/>
      <c r="D548" s="104"/>
      <c r="E548" s="103"/>
      <c r="F548" s="103"/>
      <c r="G548" s="104"/>
      <c r="H548" s="104"/>
      <c r="I548" s="104"/>
      <c r="J548" s="104"/>
      <c r="K548" s="104"/>
      <c r="L548" s="104"/>
      <c r="M548" s="104"/>
      <c r="N548" s="103"/>
      <c r="O548" s="103"/>
      <c r="P548" s="106"/>
      <c r="Q548" s="106"/>
    </row>
    <row r="549">
      <c r="B549" s="147"/>
      <c r="C549" s="104"/>
      <c r="D549" s="104"/>
      <c r="E549" s="103"/>
      <c r="F549" s="103"/>
      <c r="G549" s="104"/>
      <c r="H549" s="104"/>
      <c r="I549" s="104"/>
      <c r="J549" s="104"/>
      <c r="K549" s="104"/>
      <c r="L549" s="104"/>
      <c r="M549" s="104"/>
      <c r="N549" s="103"/>
      <c r="O549" s="103"/>
      <c r="P549" s="106"/>
      <c r="Q549" s="106"/>
    </row>
    <row r="550">
      <c r="B550" s="147"/>
      <c r="C550" s="104"/>
      <c r="D550" s="104"/>
      <c r="E550" s="103"/>
      <c r="F550" s="103"/>
      <c r="G550" s="104"/>
      <c r="H550" s="104"/>
      <c r="I550" s="104"/>
      <c r="J550" s="104"/>
      <c r="K550" s="104"/>
      <c r="L550" s="104"/>
      <c r="M550" s="104"/>
      <c r="N550" s="103"/>
      <c r="O550" s="103"/>
      <c r="P550" s="106"/>
      <c r="Q550" s="106"/>
    </row>
    <row r="551">
      <c r="B551" s="147"/>
      <c r="C551" s="104"/>
      <c r="D551" s="104"/>
      <c r="E551" s="103"/>
      <c r="F551" s="103"/>
      <c r="G551" s="104"/>
      <c r="H551" s="104"/>
      <c r="I551" s="104"/>
      <c r="J551" s="104"/>
      <c r="K551" s="104"/>
      <c r="L551" s="104"/>
      <c r="M551" s="104"/>
      <c r="N551" s="103"/>
      <c r="O551" s="103"/>
      <c r="P551" s="106"/>
      <c r="Q551" s="106"/>
    </row>
    <row r="552">
      <c r="B552" s="147"/>
      <c r="C552" s="104"/>
      <c r="D552" s="104"/>
      <c r="E552" s="103"/>
      <c r="F552" s="103"/>
      <c r="G552" s="104"/>
      <c r="H552" s="104"/>
      <c r="I552" s="104"/>
      <c r="J552" s="104"/>
      <c r="K552" s="104"/>
      <c r="L552" s="104"/>
      <c r="M552" s="104"/>
      <c r="N552" s="103"/>
      <c r="O552" s="103"/>
      <c r="P552" s="106"/>
      <c r="Q552" s="106"/>
    </row>
    <row r="553">
      <c r="B553" s="147"/>
      <c r="C553" s="104"/>
      <c r="D553" s="104"/>
      <c r="E553" s="103"/>
      <c r="F553" s="103"/>
      <c r="G553" s="104"/>
      <c r="H553" s="104"/>
      <c r="I553" s="104"/>
      <c r="J553" s="104"/>
      <c r="K553" s="104"/>
      <c r="L553" s="104"/>
      <c r="M553" s="104"/>
      <c r="N553" s="103"/>
      <c r="O553" s="103"/>
      <c r="P553" s="106"/>
      <c r="Q553" s="106"/>
    </row>
    <row r="554">
      <c r="B554" s="147"/>
      <c r="C554" s="104"/>
      <c r="D554" s="104"/>
      <c r="E554" s="103"/>
      <c r="F554" s="103"/>
      <c r="G554" s="104"/>
      <c r="H554" s="104"/>
      <c r="I554" s="104"/>
      <c r="J554" s="104"/>
      <c r="K554" s="104"/>
      <c r="L554" s="104"/>
      <c r="M554" s="104"/>
      <c r="N554" s="103"/>
      <c r="O554" s="103"/>
      <c r="P554" s="106"/>
      <c r="Q554" s="106"/>
    </row>
    <row r="555">
      <c r="B555" s="147"/>
      <c r="C555" s="104"/>
      <c r="D555" s="104"/>
      <c r="E555" s="103"/>
      <c r="F555" s="103"/>
      <c r="G555" s="104"/>
      <c r="H555" s="104"/>
      <c r="I555" s="104"/>
      <c r="J555" s="104"/>
      <c r="K555" s="104"/>
      <c r="L555" s="104"/>
      <c r="M555" s="104"/>
      <c r="N555" s="103"/>
      <c r="O555" s="103"/>
      <c r="P555" s="106"/>
      <c r="Q555" s="106"/>
    </row>
    <row r="556">
      <c r="B556" s="147"/>
      <c r="C556" s="104"/>
      <c r="D556" s="104"/>
      <c r="E556" s="103"/>
      <c r="F556" s="103"/>
      <c r="G556" s="104"/>
      <c r="H556" s="104"/>
      <c r="I556" s="104"/>
      <c r="J556" s="104"/>
      <c r="K556" s="104"/>
      <c r="L556" s="104"/>
      <c r="M556" s="104"/>
      <c r="N556" s="103"/>
      <c r="O556" s="103"/>
      <c r="P556" s="106"/>
      <c r="Q556" s="106"/>
    </row>
    <row r="557">
      <c r="B557" s="147"/>
      <c r="C557" s="104"/>
      <c r="D557" s="104"/>
      <c r="E557" s="103"/>
      <c r="F557" s="103"/>
      <c r="G557" s="104"/>
      <c r="H557" s="104"/>
      <c r="I557" s="104"/>
      <c r="J557" s="104"/>
      <c r="K557" s="104"/>
      <c r="L557" s="104"/>
      <c r="M557" s="104"/>
      <c r="N557" s="103"/>
      <c r="O557" s="103"/>
      <c r="P557" s="106"/>
      <c r="Q557" s="106"/>
    </row>
    <row r="558">
      <c r="B558" s="147"/>
      <c r="C558" s="104"/>
      <c r="D558" s="104"/>
      <c r="E558" s="103"/>
      <c r="F558" s="103"/>
      <c r="G558" s="104"/>
      <c r="H558" s="104"/>
      <c r="I558" s="104"/>
      <c r="J558" s="104"/>
      <c r="K558" s="104"/>
      <c r="L558" s="104"/>
      <c r="M558" s="104"/>
      <c r="N558" s="103"/>
      <c r="O558" s="103"/>
      <c r="P558" s="106"/>
      <c r="Q558" s="106"/>
    </row>
    <row r="559">
      <c r="B559" s="147"/>
      <c r="C559" s="104"/>
      <c r="D559" s="104"/>
      <c r="E559" s="103"/>
      <c r="F559" s="103"/>
      <c r="G559" s="104"/>
      <c r="H559" s="104"/>
      <c r="I559" s="104"/>
      <c r="J559" s="104"/>
      <c r="K559" s="104"/>
      <c r="L559" s="104"/>
      <c r="M559" s="104"/>
      <c r="N559" s="103"/>
      <c r="O559" s="103"/>
      <c r="P559" s="106"/>
      <c r="Q559" s="106"/>
    </row>
    <row r="560">
      <c r="B560" s="147"/>
      <c r="C560" s="104"/>
      <c r="D560" s="104"/>
      <c r="E560" s="103"/>
      <c r="F560" s="103"/>
      <c r="G560" s="104"/>
      <c r="H560" s="104"/>
      <c r="I560" s="104"/>
      <c r="J560" s="104"/>
      <c r="K560" s="104"/>
      <c r="L560" s="104"/>
      <c r="M560" s="104"/>
      <c r="N560" s="103"/>
      <c r="O560" s="103"/>
      <c r="P560" s="106"/>
      <c r="Q560" s="106"/>
    </row>
    <row r="561">
      <c r="B561" s="147"/>
      <c r="C561" s="104"/>
      <c r="D561" s="104"/>
      <c r="E561" s="103"/>
      <c r="F561" s="103"/>
      <c r="G561" s="104"/>
      <c r="H561" s="104"/>
      <c r="I561" s="104"/>
      <c r="J561" s="104"/>
      <c r="K561" s="104"/>
      <c r="L561" s="104"/>
      <c r="M561" s="104"/>
      <c r="N561" s="103"/>
      <c r="O561" s="103"/>
      <c r="P561" s="106"/>
      <c r="Q561" s="106"/>
    </row>
    <row r="562">
      <c r="B562" s="147"/>
      <c r="C562" s="104"/>
      <c r="D562" s="104"/>
      <c r="E562" s="103"/>
      <c r="F562" s="103"/>
      <c r="G562" s="104"/>
      <c r="H562" s="104"/>
      <c r="I562" s="104"/>
      <c r="J562" s="104"/>
      <c r="K562" s="104"/>
      <c r="L562" s="104"/>
      <c r="M562" s="104"/>
      <c r="N562" s="103"/>
      <c r="O562" s="103"/>
      <c r="P562" s="106"/>
      <c r="Q562" s="106"/>
    </row>
    <row r="563">
      <c r="B563" s="147"/>
      <c r="C563" s="104"/>
      <c r="D563" s="104"/>
      <c r="E563" s="103"/>
      <c r="F563" s="103"/>
      <c r="G563" s="104"/>
      <c r="H563" s="104"/>
      <c r="I563" s="104"/>
      <c r="J563" s="104"/>
      <c r="K563" s="104"/>
      <c r="L563" s="104"/>
      <c r="M563" s="104"/>
      <c r="N563" s="103"/>
      <c r="O563" s="103"/>
      <c r="P563" s="106"/>
      <c r="Q563" s="106"/>
    </row>
    <row r="564">
      <c r="B564" s="147"/>
      <c r="C564" s="104"/>
      <c r="D564" s="104"/>
      <c r="E564" s="103"/>
      <c r="F564" s="103"/>
      <c r="G564" s="104"/>
      <c r="H564" s="104"/>
      <c r="I564" s="104"/>
      <c r="J564" s="104"/>
      <c r="K564" s="104"/>
      <c r="L564" s="104"/>
      <c r="M564" s="104"/>
      <c r="N564" s="103"/>
      <c r="O564" s="103"/>
      <c r="P564" s="106"/>
      <c r="Q564" s="106"/>
    </row>
    <row r="565">
      <c r="B565" s="147"/>
      <c r="C565" s="104"/>
      <c r="D565" s="104"/>
      <c r="E565" s="103"/>
      <c r="F565" s="103"/>
      <c r="G565" s="104"/>
      <c r="H565" s="104"/>
      <c r="I565" s="104"/>
      <c r="J565" s="104"/>
      <c r="K565" s="104"/>
      <c r="L565" s="104"/>
      <c r="M565" s="104"/>
      <c r="N565" s="103"/>
      <c r="O565" s="103"/>
      <c r="P565" s="106"/>
      <c r="Q565" s="106"/>
    </row>
    <row r="566">
      <c r="B566" s="147"/>
      <c r="C566" s="104"/>
      <c r="D566" s="104"/>
      <c r="E566" s="103"/>
      <c r="F566" s="103"/>
      <c r="G566" s="104"/>
      <c r="H566" s="104"/>
      <c r="I566" s="104"/>
      <c r="J566" s="104"/>
      <c r="K566" s="104"/>
      <c r="L566" s="104"/>
      <c r="M566" s="104"/>
      <c r="N566" s="103"/>
      <c r="O566" s="103"/>
      <c r="P566" s="106"/>
      <c r="Q566" s="106"/>
    </row>
    <row r="567">
      <c r="B567" s="147"/>
      <c r="C567" s="104"/>
      <c r="D567" s="104"/>
      <c r="E567" s="103"/>
      <c r="F567" s="103"/>
      <c r="G567" s="104"/>
      <c r="H567" s="104"/>
      <c r="I567" s="104"/>
      <c r="J567" s="104"/>
      <c r="K567" s="104"/>
      <c r="L567" s="104"/>
      <c r="M567" s="104"/>
      <c r="N567" s="103"/>
      <c r="O567" s="103"/>
      <c r="P567" s="106"/>
      <c r="Q567" s="106"/>
    </row>
    <row r="568">
      <c r="B568" s="147"/>
      <c r="C568" s="104"/>
      <c r="D568" s="104"/>
      <c r="E568" s="103"/>
      <c r="F568" s="103"/>
      <c r="G568" s="104"/>
      <c r="H568" s="104"/>
      <c r="I568" s="104"/>
      <c r="J568" s="104"/>
      <c r="K568" s="104"/>
      <c r="L568" s="104"/>
      <c r="M568" s="104"/>
      <c r="N568" s="103"/>
      <c r="O568" s="103"/>
      <c r="P568" s="106"/>
      <c r="Q568" s="106"/>
    </row>
    <row r="569">
      <c r="B569" s="147"/>
      <c r="C569" s="104"/>
      <c r="D569" s="104"/>
      <c r="E569" s="103"/>
      <c r="F569" s="103"/>
      <c r="G569" s="104"/>
      <c r="H569" s="104"/>
      <c r="I569" s="104"/>
      <c r="J569" s="104"/>
      <c r="K569" s="104"/>
      <c r="L569" s="104"/>
      <c r="M569" s="104"/>
      <c r="N569" s="103"/>
      <c r="O569" s="103"/>
      <c r="P569" s="106"/>
      <c r="Q569" s="106"/>
    </row>
    <row r="570">
      <c r="B570" s="147"/>
      <c r="C570" s="104"/>
      <c r="D570" s="104"/>
      <c r="E570" s="103"/>
      <c r="F570" s="103"/>
      <c r="G570" s="104"/>
      <c r="H570" s="104"/>
      <c r="I570" s="104"/>
      <c r="J570" s="104"/>
      <c r="K570" s="104"/>
      <c r="L570" s="104"/>
      <c r="M570" s="104"/>
      <c r="N570" s="103"/>
      <c r="O570" s="103"/>
      <c r="P570" s="106"/>
      <c r="Q570" s="106"/>
    </row>
    <row r="571">
      <c r="B571" s="147"/>
      <c r="C571" s="104"/>
      <c r="D571" s="104"/>
      <c r="E571" s="103"/>
      <c r="F571" s="103"/>
      <c r="G571" s="104"/>
      <c r="H571" s="104"/>
      <c r="I571" s="104"/>
      <c r="J571" s="104"/>
      <c r="K571" s="104"/>
      <c r="L571" s="104"/>
      <c r="M571" s="104"/>
      <c r="N571" s="103"/>
      <c r="O571" s="103"/>
      <c r="P571" s="106"/>
      <c r="Q571" s="106"/>
    </row>
    <row r="572">
      <c r="B572" s="147"/>
      <c r="C572" s="104"/>
      <c r="D572" s="104"/>
      <c r="E572" s="103"/>
      <c r="F572" s="103"/>
      <c r="G572" s="104"/>
      <c r="H572" s="104"/>
      <c r="I572" s="104"/>
      <c r="J572" s="104"/>
      <c r="K572" s="104"/>
      <c r="L572" s="104"/>
      <c r="M572" s="104"/>
      <c r="N572" s="103"/>
      <c r="O572" s="103"/>
      <c r="P572" s="106"/>
      <c r="Q572" s="106"/>
    </row>
    <row r="573">
      <c r="B573" s="147"/>
      <c r="C573" s="104"/>
      <c r="D573" s="104"/>
      <c r="E573" s="103"/>
      <c r="F573" s="103"/>
      <c r="G573" s="104"/>
      <c r="H573" s="104"/>
      <c r="I573" s="104"/>
      <c r="J573" s="104"/>
      <c r="K573" s="104"/>
      <c r="L573" s="104"/>
      <c r="M573" s="104"/>
      <c r="N573" s="103"/>
      <c r="O573" s="103"/>
      <c r="P573" s="106"/>
      <c r="Q573" s="106"/>
    </row>
    <row r="574">
      <c r="B574" s="147"/>
      <c r="C574" s="104"/>
      <c r="D574" s="104"/>
      <c r="E574" s="103"/>
      <c r="F574" s="103"/>
      <c r="G574" s="104"/>
      <c r="H574" s="104"/>
      <c r="I574" s="104"/>
      <c r="J574" s="104"/>
      <c r="K574" s="104"/>
      <c r="L574" s="104"/>
      <c r="M574" s="104"/>
      <c r="N574" s="103"/>
      <c r="O574" s="103"/>
      <c r="P574" s="106"/>
      <c r="Q574" s="106"/>
    </row>
    <row r="575">
      <c r="B575" s="147"/>
      <c r="C575" s="104"/>
      <c r="D575" s="104"/>
      <c r="E575" s="103"/>
      <c r="F575" s="103"/>
      <c r="G575" s="104"/>
      <c r="H575" s="104"/>
      <c r="I575" s="104"/>
      <c r="J575" s="104"/>
      <c r="K575" s="104"/>
      <c r="L575" s="104"/>
      <c r="M575" s="104"/>
      <c r="N575" s="103"/>
      <c r="O575" s="103"/>
      <c r="P575" s="106"/>
      <c r="Q575" s="106"/>
    </row>
    <row r="576">
      <c r="B576" s="147"/>
      <c r="C576" s="104"/>
      <c r="D576" s="104"/>
      <c r="E576" s="103"/>
      <c r="F576" s="103"/>
      <c r="G576" s="104"/>
      <c r="H576" s="104"/>
      <c r="I576" s="104"/>
      <c r="J576" s="104"/>
      <c r="K576" s="104"/>
      <c r="L576" s="104"/>
      <c r="M576" s="104"/>
      <c r="N576" s="103"/>
      <c r="O576" s="103"/>
      <c r="P576" s="106"/>
      <c r="Q576" s="106"/>
    </row>
    <row r="577">
      <c r="B577" s="147"/>
      <c r="C577" s="104"/>
      <c r="D577" s="104"/>
      <c r="E577" s="103"/>
      <c r="F577" s="103"/>
      <c r="G577" s="104"/>
      <c r="H577" s="104"/>
      <c r="I577" s="104"/>
      <c r="J577" s="104"/>
      <c r="K577" s="104"/>
      <c r="L577" s="104"/>
      <c r="M577" s="104"/>
      <c r="N577" s="103"/>
      <c r="O577" s="103"/>
      <c r="P577" s="106"/>
      <c r="Q577" s="106"/>
    </row>
    <row r="578">
      <c r="B578" s="147"/>
      <c r="C578" s="104"/>
      <c r="D578" s="104"/>
      <c r="E578" s="103"/>
      <c r="F578" s="103"/>
      <c r="G578" s="104"/>
      <c r="H578" s="104"/>
      <c r="I578" s="104"/>
      <c r="J578" s="104"/>
      <c r="K578" s="104"/>
      <c r="L578" s="104"/>
      <c r="M578" s="104"/>
      <c r="N578" s="103"/>
      <c r="O578" s="103"/>
      <c r="P578" s="106"/>
      <c r="Q578" s="106"/>
    </row>
    <row r="579">
      <c r="B579" s="147"/>
      <c r="C579" s="104"/>
      <c r="D579" s="104"/>
      <c r="E579" s="103"/>
      <c r="F579" s="103"/>
      <c r="G579" s="104"/>
      <c r="H579" s="104"/>
      <c r="I579" s="104"/>
      <c r="J579" s="104"/>
      <c r="K579" s="104"/>
      <c r="L579" s="104"/>
      <c r="M579" s="104"/>
      <c r="N579" s="103"/>
      <c r="O579" s="103"/>
      <c r="P579" s="106"/>
      <c r="Q579" s="106"/>
    </row>
    <row r="580">
      <c r="B580" s="147"/>
      <c r="C580" s="104"/>
      <c r="D580" s="104"/>
      <c r="E580" s="103"/>
      <c r="F580" s="103"/>
      <c r="G580" s="104"/>
      <c r="H580" s="104"/>
      <c r="I580" s="104"/>
      <c r="J580" s="104"/>
      <c r="K580" s="104"/>
      <c r="L580" s="104"/>
      <c r="M580" s="104"/>
      <c r="N580" s="103"/>
      <c r="O580" s="103"/>
      <c r="P580" s="106"/>
      <c r="Q580" s="106"/>
    </row>
    <row r="581">
      <c r="B581" s="147"/>
      <c r="C581" s="104"/>
      <c r="D581" s="104"/>
      <c r="E581" s="103"/>
      <c r="F581" s="103"/>
      <c r="G581" s="104"/>
      <c r="H581" s="104"/>
      <c r="I581" s="104"/>
      <c r="J581" s="104"/>
      <c r="K581" s="104"/>
      <c r="L581" s="104"/>
      <c r="M581" s="104"/>
      <c r="N581" s="103"/>
      <c r="O581" s="103"/>
      <c r="P581" s="106"/>
      <c r="Q581" s="106"/>
    </row>
    <row r="582">
      <c r="B582" s="147"/>
      <c r="C582" s="104"/>
      <c r="D582" s="104"/>
      <c r="E582" s="103"/>
      <c r="F582" s="103"/>
      <c r="G582" s="104"/>
      <c r="H582" s="104"/>
      <c r="I582" s="104"/>
      <c r="J582" s="104"/>
      <c r="K582" s="104"/>
      <c r="L582" s="104"/>
      <c r="M582" s="104"/>
      <c r="N582" s="103"/>
      <c r="O582" s="103"/>
      <c r="P582" s="106"/>
      <c r="Q582" s="106"/>
    </row>
    <row r="583">
      <c r="B583" s="147"/>
      <c r="C583" s="104"/>
      <c r="D583" s="104"/>
      <c r="E583" s="103"/>
      <c r="F583" s="103"/>
      <c r="G583" s="104"/>
      <c r="H583" s="104"/>
      <c r="I583" s="104"/>
      <c r="J583" s="104"/>
      <c r="K583" s="104"/>
      <c r="L583" s="104"/>
      <c r="M583" s="104"/>
      <c r="N583" s="103"/>
      <c r="O583" s="103"/>
      <c r="P583" s="106"/>
      <c r="Q583" s="106"/>
    </row>
    <row r="584">
      <c r="B584" s="147"/>
      <c r="C584" s="104"/>
      <c r="D584" s="104"/>
      <c r="E584" s="103"/>
      <c r="F584" s="103"/>
      <c r="G584" s="104"/>
      <c r="H584" s="104"/>
      <c r="I584" s="104"/>
      <c r="J584" s="104"/>
      <c r="K584" s="104"/>
      <c r="L584" s="104"/>
      <c r="M584" s="104"/>
      <c r="N584" s="103"/>
      <c r="O584" s="103"/>
      <c r="P584" s="106"/>
      <c r="Q584" s="106"/>
    </row>
    <row r="585">
      <c r="B585" s="147"/>
      <c r="C585" s="104"/>
      <c r="D585" s="104"/>
      <c r="E585" s="103"/>
      <c r="F585" s="103"/>
      <c r="G585" s="104"/>
      <c r="H585" s="104"/>
      <c r="I585" s="104"/>
      <c r="J585" s="104"/>
      <c r="K585" s="104"/>
      <c r="L585" s="104"/>
      <c r="M585" s="104"/>
      <c r="N585" s="103"/>
      <c r="O585" s="103"/>
      <c r="P585" s="106"/>
      <c r="Q585" s="106"/>
    </row>
    <row r="586">
      <c r="B586" s="147"/>
      <c r="C586" s="104"/>
      <c r="D586" s="104"/>
      <c r="E586" s="103"/>
      <c r="F586" s="103"/>
      <c r="G586" s="104"/>
      <c r="H586" s="104"/>
      <c r="I586" s="104"/>
      <c r="J586" s="104"/>
      <c r="K586" s="104"/>
      <c r="L586" s="104"/>
      <c r="M586" s="104"/>
      <c r="N586" s="103"/>
      <c r="O586" s="103"/>
      <c r="P586" s="106"/>
      <c r="Q586" s="106"/>
    </row>
    <row r="587">
      <c r="B587" s="147"/>
      <c r="C587" s="104"/>
      <c r="D587" s="104"/>
      <c r="E587" s="103"/>
      <c r="F587" s="103"/>
      <c r="G587" s="104"/>
      <c r="H587" s="104"/>
      <c r="I587" s="104"/>
      <c r="J587" s="104"/>
      <c r="K587" s="104"/>
      <c r="L587" s="104"/>
      <c r="M587" s="104"/>
      <c r="N587" s="103"/>
      <c r="O587" s="103"/>
      <c r="P587" s="106"/>
      <c r="Q587" s="106"/>
    </row>
    <row r="588">
      <c r="B588" s="147"/>
      <c r="C588" s="104"/>
      <c r="D588" s="104"/>
      <c r="E588" s="103"/>
      <c r="F588" s="103"/>
      <c r="G588" s="104"/>
      <c r="H588" s="104"/>
      <c r="I588" s="104"/>
      <c r="J588" s="104"/>
      <c r="K588" s="104"/>
      <c r="L588" s="104"/>
      <c r="M588" s="104"/>
      <c r="N588" s="103"/>
      <c r="O588" s="103"/>
      <c r="P588" s="106"/>
      <c r="Q588" s="106"/>
    </row>
    <row r="589">
      <c r="B589" s="147"/>
      <c r="C589" s="104"/>
      <c r="D589" s="104"/>
      <c r="E589" s="103"/>
      <c r="F589" s="103"/>
      <c r="G589" s="104"/>
      <c r="H589" s="104"/>
      <c r="I589" s="104"/>
      <c r="J589" s="104"/>
      <c r="K589" s="104"/>
      <c r="L589" s="104"/>
      <c r="M589" s="104"/>
      <c r="N589" s="103"/>
      <c r="O589" s="103"/>
      <c r="P589" s="106"/>
      <c r="Q589" s="106"/>
    </row>
    <row r="590">
      <c r="B590" s="147"/>
      <c r="C590" s="104"/>
      <c r="D590" s="104"/>
      <c r="E590" s="103"/>
      <c r="F590" s="103"/>
      <c r="G590" s="104"/>
      <c r="H590" s="104"/>
      <c r="I590" s="104"/>
      <c r="J590" s="104"/>
      <c r="K590" s="104"/>
      <c r="L590" s="104"/>
      <c r="M590" s="104"/>
      <c r="N590" s="103"/>
      <c r="O590" s="103"/>
      <c r="P590" s="106"/>
      <c r="Q590" s="106"/>
    </row>
    <row r="591">
      <c r="B591" s="147"/>
      <c r="C591" s="104"/>
      <c r="D591" s="104"/>
      <c r="E591" s="103"/>
      <c r="F591" s="103"/>
      <c r="G591" s="104"/>
      <c r="H591" s="104"/>
      <c r="I591" s="104"/>
      <c r="J591" s="104"/>
      <c r="K591" s="104"/>
      <c r="L591" s="104"/>
      <c r="M591" s="104"/>
      <c r="N591" s="103"/>
      <c r="O591" s="103"/>
      <c r="P591" s="106"/>
      <c r="Q591" s="106"/>
    </row>
    <row r="592">
      <c r="B592" s="147"/>
      <c r="C592" s="104"/>
      <c r="D592" s="104"/>
      <c r="E592" s="103"/>
      <c r="F592" s="103"/>
      <c r="G592" s="104"/>
      <c r="H592" s="104"/>
      <c r="I592" s="104"/>
      <c r="J592" s="104"/>
      <c r="K592" s="104"/>
      <c r="L592" s="104"/>
      <c r="M592" s="104"/>
      <c r="N592" s="103"/>
      <c r="O592" s="103"/>
      <c r="P592" s="106"/>
      <c r="Q592" s="106"/>
    </row>
    <row r="593">
      <c r="B593" s="147"/>
      <c r="C593" s="104"/>
      <c r="D593" s="104"/>
      <c r="E593" s="103"/>
      <c r="F593" s="103"/>
      <c r="G593" s="104"/>
      <c r="H593" s="104"/>
      <c r="I593" s="104"/>
      <c r="J593" s="104"/>
      <c r="K593" s="104"/>
      <c r="L593" s="104"/>
      <c r="M593" s="104"/>
      <c r="N593" s="103"/>
      <c r="O593" s="103"/>
      <c r="P593" s="106"/>
      <c r="Q593" s="106"/>
    </row>
    <row r="594">
      <c r="B594" s="147"/>
      <c r="C594" s="104"/>
      <c r="D594" s="104"/>
      <c r="E594" s="103"/>
      <c r="F594" s="103"/>
      <c r="G594" s="104"/>
      <c r="H594" s="104"/>
      <c r="I594" s="104"/>
      <c r="J594" s="104"/>
      <c r="K594" s="104"/>
      <c r="L594" s="104"/>
      <c r="M594" s="104"/>
      <c r="N594" s="103"/>
      <c r="O594" s="103"/>
      <c r="P594" s="106"/>
      <c r="Q594" s="106"/>
    </row>
    <row r="595">
      <c r="B595" s="147"/>
      <c r="C595" s="104"/>
      <c r="D595" s="104"/>
      <c r="E595" s="103"/>
      <c r="F595" s="103"/>
      <c r="G595" s="104"/>
      <c r="H595" s="104"/>
      <c r="I595" s="104"/>
      <c r="J595" s="104"/>
      <c r="K595" s="104"/>
      <c r="L595" s="104"/>
      <c r="M595" s="104"/>
      <c r="N595" s="103"/>
      <c r="O595" s="103"/>
      <c r="P595" s="106"/>
      <c r="Q595" s="106"/>
    </row>
    <row r="596">
      <c r="B596" s="147"/>
      <c r="C596" s="104"/>
      <c r="D596" s="104"/>
      <c r="E596" s="103"/>
      <c r="F596" s="103"/>
      <c r="G596" s="104"/>
      <c r="H596" s="104"/>
      <c r="I596" s="104"/>
      <c r="J596" s="104"/>
      <c r="K596" s="104"/>
      <c r="L596" s="104"/>
      <c r="M596" s="104"/>
      <c r="N596" s="103"/>
      <c r="O596" s="103"/>
      <c r="P596" s="106"/>
      <c r="Q596" s="106"/>
    </row>
    <row r="597">
      <c r="B597" s="147"/>
      <c r="C597" s="104"/>
      <c r="D597" s="104"/>
      <c r="E597" s="103"/>
      <c r="F597" s="103"/>
      <c r="G597" s="104"/>
      <c r="H597" s="104"/>
      <c r="I597" s="104"/>
      <c r="J597" s="104"/>
      <c r="K597" s="104"/>
      <c r="L597" s="104"/>
      <c r="M597" s="104"/>
      <c r="N597" s="103"/>
      <c r="O597" s="103"/>
      <c r="P597" s="106"/>
      <c r="Q597" s="106"/>
    </row>
    <row r="598">
      <c r="B598" s="147"/>
      <c r="C598" s="104"/>
      <c r="D598" s="104"/>
      <c r="E598" s="103"/>
      <c r="F598" s="103"/>
      <c r="G598" s="104"/>
      <c r="H598" s="104"/>
      <c r="I598" s="104"/>
      <c r="J598" s="104"/>
      <c r="K598" s="104"/>
      <c r="L598" s="104"/>
      <c r="M598" s="104"/>
      <c r="N598" s="103"/>
      <c r="O598" s="103"/>
      <c r="P598" s="106"/>
      <c r="Q598" s="106"/>
    </row>
    <row r="599">
      <c r="B599" s="147"/>
      <c r="C599" s="104"/>
      <c r="D599" s="104"/>
      <c r="E599" s="103"/>
      <c r="F599" s="103"/>
      <c r="G599" s="104"/>
      <c r="H599" s="104"/>
      <c r="I599" s="104"/>
      <c r="J599" s="104"/>
      <c r="K599" s="104"/>
      <c r="L599" s="104"/>
      <c r="M599" s="104"/>
      <c r="N599" s="103"/>
      <c r="O599" s="103"/>
      <c r="P599" s="106"/>
      <c r="Q599" s="106"/>
    </row>
    <row r="600">
      <c r="B600" s="147"/>
      <c r="C600" s="104"/>
      <c r="D600" s="104"/>
      <c r="E600" s="103"/>
      <c r="F600" s="103"/>
      <c r="G600" s="104"/>
      <c r="H600" s="104"/>
      <c r="I600" s="104"/>
      <c r="J600" s="104"/>
      <c r="K600" s="104"/>
      <c r="L600" s="104"/>
      <c r="M600" s="104"/>
      <c r="N600" s="103"/>
      <c r="O600" s="103"/>
      <c r="P600" s="106"/>
      <c r="Q600" s="106"/>
    </row>
    <row r="601">
      <c r="B601" s="147"/>
      <c r="C601" s="104"/>
      <c r="D601" s="104"/>
      <c r="E601" s="103"/>
      <c r="F601" s="103"/>
      <c r="G601" s="104"/>
      <c r="H601" s="104"/>
      <c r="I601" s="104"/>
      <c r="J601" s="104"/>
      <c r="K601" s="104"/>
      <c r="L601" s="104"/>
      <c r="M601" s="104"/>
      <c r="N601" s="103"/>
      <c r="O601" s="103"/>
      <c r="P601" s="106"/>
      <c r="Q601" s="106"/>
    </row>
    <row r="602">
      <c r="B602" s="147"/>
      <c r="C602" s="104"/>
      <c r="D602" s="104"/>
      <c r="E602" s="103"/>
      <c r="F602" s="103"/>
      <c r="G602" s="104"/>
      <c r="H602" s="104"/>
      <c r="I602" s="104"/>
      <c r="J602" s="104"/>
      <c r="K602" s="104"/>
      <c r="L602" s="104"/>
      <c r="M602" s="104"/>
      <c r="N602" s="103"/>
      <c r="O602" s="103"/>
      <c r="P602" s="106"/>
      <c r="Q602" s="106"/>
    </row>
    <row r="603">
      <c r="B603" s="147"/>
      <c r="C603" s="104"/>
      <c r="D603" s="104"/>
      <c r="E603" s="103"/>
      <c r="F603" s="103"/>
      <c r="G603" s="104"/>
      <c r="H603" s="104"/>
      <c r="I603" s="104"/>
      <c r="J603" s="104"/>
      <c r="K603" s="104"/>
      <c r="L603" s="104"/>
      <c r="M603" s="104"/>
      <c r="N603" s="103"/>
      <c r="O603" s="103"/>
      <c r="P603" s="106"/>
      <c r="Q603" s="106"/>
    </row>
    <row r="604">
      <c r="B604" s="147"/>
      <c r="C604" s="104"/>
      <c r="D604" s="104"/>
      <c r="E604" s="103"/>
      <c r="F604" s="103"/>
      <c r="G604" s="104"/>
      <c r="H604" s="104"/>
      <c r="I604" s="104"/>
      <c r="J604" s="104"/>
      <c r="K604" s="104"/>
      <c r="L604" s="104"/>
      <c r="M604" s="104"/>
      <c r="N604" s="103"/>
      <c r="O604" s="103"/>
      <c r="P604" s="106"/>
      <c r="Q604" s="106"/>
    </row>
    <row r="605">
      <c r="B605" s="147"/>
      <c r="C605" s="104"/>
      <c r="D605" s="104"/>
      <c r="E605" s="103"/>
      <c r="F605" s="103"/>
      <c r="G605" s="104"/>
      <c r="H605" s="104"/>
      <c r="I605" s="104"/>
      <c r="J605" s="104"/>
      <c r="K605" s="104"/>
      <c r="L605" s="104"/>
      <c r="M605" s="104"/>
      <c r="N605" s="103"/>
      <c r="O605" s="103"/>
      <c r="P605" s="106"/>
      <c r="Q605" s="106"/>
    </row>
    <row r="606">
      <c r="B606" s="147"/>
      <c r="C606" s="104"/>
      <c r="D606" s="104"/>
      <c r="E606" s="103"/>
      <c r="F606" s="103"/>
      <c r="G606" s="104"/>
      <c r="H606" s="104"/>
      <c r="I606" s="104"/>
      <c r="J606" s="104"/>
      <c r="K606" s="104"/>
      <c r="L606" s="104"/>
      <c r="M606" s="104"/>
      <c r="N606" s="103"/>
      <c r="O606" s="103"/>
      <c r="P606" s="106"/>
      <c r="Q606" s="106"/>
    </row>
    <row r="607">
      <c r="B607" s="147"/>
      <c r="C607" s="104"/>
      <c r="D607" s="104"/>
      <c r="E607" s="103"/>
      <c r="F607" s="103"/>
      <c r="G607" s="104"/>
      <c r="H607" s="104"/>
      <c r="I607" s="104"/>
      <c r="J607" s="104"/>
      <c r="K607" s="104"/>
      <c r="L607" s="104"/>
      <c r="M607" s="104"/>
      <c r="N607" s="103"/>
      <c r="O607" s="103"/>
      <c r="P607" s="106"/>
      <c r="Q607" s="106"/>
    </row>
    <row r="608">
      <c r="B608" s="147"/>
      <c r="C608" s="104"/>
      <c r="D608" s="104"/>
      <c r="E608" s="103"/>
      <c r="F608" s="103"/>
      <c r="G608" s="104"/>
      <c r="H608" s="104"/>
      <c r="I608" s="104"/>
      <c r="J608" s="104"/>
      <c r="K608" s="104"/>
      <c r="L608" s="104"/>
      <c r="M608" s="104"/>
      <c r="N608" s="103"/>
      <c r="O608" s="103"/>
      <c r="P608" s="106"/>
      <c r="Q608" s="106"/>
    </row>
    <row r="609">
      <c r="B609" s="147"/>
      <c r="C609" s="104"/>
      <c r="D609" s="104"/>
      <c r="E609" s="103"/>
      <c r="F609" s="103"/>
      <c r="G609" s="104"/>
      <c r="H609" s="104"/>
      <c r="I609" s="104"/>
      <c r="J609" s="104"/>
      <c r="K609" s="104"/>
      <c r="L609" s="104"/>
      <c r="M609" s="104"/>
      <c r="N609" s="103"/>
      <c r="O609" s="103"/>
      <c r="P609" s="106"/>
      <c r="Q609" s="106"/>
    </row>
    <row r="610">
      <c r="B610" s="147"/>
      <c r="C610" s="104"/>
      <c r="D610" s="104"/>
      <c r="E610" s="103"/>
      <c r="F610" s="103"/>
      <c r="G610" s="104"/>
      <c r="H610" s="104"/>
      <c r="I610" s="104"/>
      <c r="J610" s="104"/>
      <c r="K610" s="104"/>
      <c r="L610" s="104"/>
      <c r="M610" s="104"/>
      <c r="N610" s="103"/>
      <c r="O610" s="103"/>
      <c r="P610" s="106"/>
      <c r="Q610" s="106"/>
    </row>
    <row r="611">
      <c r="B611" s="147"/>
      <c r="C611" s="104"/>
      <c r="D611" s="104"/>
      <c r="E611" s="103"/>
      <c r="F611" s="103"/>
      <c r="G611" s="104"/>
      <c r="H611" s="104"/>
      <c r="I611" s="104"/>
      <c r="J611" s="104"/>
      <c r="K611" s="104"/>
      <c r="L611" s="104"/>
      <c r="M611" s="104"/>
      <c r="N611" s="103"/>
      <c r="O611" s="103"/>
      <c r="P611" s="106"/>
      <c r="Q611" s="106"/>
    </row>
    <row r="612">
      <c r="B612" s="147"/>
      <c r="C612" s="104"/>
      <c r="D612" s="104"/>
      <c r="E612" s="103"/>
      <c r="F612" s="103"/>
      <c r="G612" s="104"/>
      <c r="H612" s="104"/>
      <c r="I612" s="104"/>
      <c r="J612" s="104"/>
      <c r="K612" s="104"/>
      <c r="L612" s="104"/>
      <c r="M612" s="104"/>
      <c r="N612" s="103"/>
      <c r="O612" s="103"/>
      <c r="P612" s="106"/>
      <c r="Q612" s="106"/>
    </row>
    <row r="613">
      <c r="B613" s="147"/>
      <c r="C613" s="104"/>
      <c r="D613" s="104"/>
      <c r="E613" s="103"/>
      <c r="F613" s="103"/>
      <c r="G613" s="104"/>
      <c r="H613" s="104"/>
      <c r="I613" s="104"/>
      <c r="J613" s="104"/>
      <c r="K613" s="104"/>
      <c r="L613" s="104"/>
      <c r="M613" s="104"/>
      <c r="N613" s="103"/>
      <c r="O613" s="103"/>
      <c r="P613" s="106"/>
      <c r="Q613" s="106"/>
    </row>
    <row r="614">
      <c r="B614" s="147"/>
      <c r="C614" s="104"/>
      <c r="D614" s="104"/>
      <c r="E614" s="103"/>
      <c r="F614" s="103"/>
      <c r="G614" s="104"/>
      <c r="H614" s="104"/>
      <c r="I614" s="104"/>
      <c r="J614" s="104"/>
      <c r="K614" s="104"/>
      <c r="L614" s="104"/>
      <c r="M614" s="104"/>
      <c r="N614" s="103"/>
      <c r="O614" s="103"/>
      <c r="P614" s="106"/>
      <c r="Q614" s="106"/>
    </row>
    <row r="615">
      <c r="B615" s="147"/>
      <c r="C615" s="104"/>
      <c r="D615" s="104"/>
      <c r="E615" s="103"/>
      <c r="F615" s="103"/>
      <c r="G615" s="104"/>
      <c r="H615" s="104"/>
      <c r="I615" s="104"/>
      <c r="J615" s="104"/>
      <c r="K615" s="104"/>
      <c r="L615" s="104"/>
      <c r="M615" s="104"/>
      <c r="N615" s="103"/>
      <c r="O615" s="103"/>
      <c r="P615" s="106"/>
      <c r="Q615" s="106"/>
    </row>
    <row r="616">
      <c r="B616" s="147"/>
      <c r="C616" s="104"/>
      <c r="D616" s="104"/>
      <c r="E616" s="103"/>
      <c r="F616" s="103"/>
      <c r="G616" s="104"/>
      <c r="H616" s="104"/>
      <c r="I616" s="104"/>
      <c r="J616" s="104"/>
      <c r="K616" s="104"/>
      <c r="L616" s="104"/>
      <c r="M616" s="104"/>
      <c r="N616" s="103"/>
      <c r="O616" s="103"/>
      <c r="P616" s="106"/>
      <c r="Q616" s="106"/>
    </row>
    <row r="617">
      <c r="B617" s="147"/>
      <c r="C617" s="104"/>
      <c r="D617" s="104"/>
      <c r="E617" s="103"/>
      <c r="F617" s="103"/>
      <c r="G617" s="104"/>
      <c r="H617" s="104"/>
      <c r="I617" s="104"/>
      <c r="J617" s="104"/>
      <c r="K617" s="104"/>
      <c r="L617" s="104"/>
      <c r="M617" s="104"/>
      <c r="N617" s="103"/>
      <c r="O617" s="103"/>
      <c r="P617" s="106"/>
      <c r="Q617" s="106"/>
    </row>
    <row r="618">
      <c r="B618" s="147"/>
      <c r="C618" s="104"/>
      <c r="D618" s="104"/>
      <c r="E618" s="103"/>
      <c r="F618" s="103"/>
      <c r="G618" s="104"/>
      <c r="H618" s="104"/>
      <c r="I618" s="104"/>
      <c r="J618" s="104"/>
      <c r="K618" s="104"/>
      <c r="L618" s="104"/>
      <c r="M618" s="104"/>
      <c r="N618" s="103"/>
      <c r="O618" s="103"/>
      <c r="P618" s="106"/>
      <c r="Q618" s="106"/>
    </row>
    <row r="619">
      <c r="B619" s="147"/>
      <c r="C619" s="104"/>
      <c r="D619" s="104"/>
      <c r="E619" s="103"/>
      <c r="F619" s="103"/>
      <c r="G619" s="104"/>
      <c r="H619" s="104"/>
      <c r="I619" s="104"/>
      <c r="J619" s="104"/>
      <c r="K619" s="104"/>
      <c r="L619" s="104"/>
      <c r="M619" s="104"/>
      <c r="N619" s="103"/>
      <c r="O619" s="103"/>
      <c r="P619" s="106"/>
      <c r="Q619" s="106"/>
    </row>
    <row r="620">
      <c r="B620" s="147"/>
      <c r="C620" s="104"/>
      <c r="D620" s="104"/>
      <c r="E620" s="103"/>
      <c r="F620" s="103"/>
      <c r="G620" s="104"/>
      <c r="H620" s="104"/>
      <c r="I620" s="104"/>
      <c r="J620" s="104"/>
      <c r="K620" s="104"/>
      <c r="L620" s="104"/>
      <c r="M620" s="104"/>
      <c r="N620" s="103"/>
      <c r="O620" s="103"/>
      <c r="P620" s="106"/>
      <c r="Q620" s="106"/>
    </row>
    <row r="621">
      <c r="B621" s="147"/>
      <c r="C621" s="104"/>
      <c r="D621" s="104"/>
      <c r="E621" s="103"/>
      <c r="F621" s="103"/>
      <c r="G621" s="104"/>
      <c r="H621" s="104"/>
      <c r="I621" s="104"/>
      <c r="J621" s="104"/>
      <c r="K621" s="104"/>
      <c r="L621" s="104"/>
      <c r="M621" s="104"/>
      <c r="N621" s="103"/>
      <c r="O621" s="103"/>
      <c r="P621" s="106"/>
      <c r="Q621" s="106"/>
    </row>
    <row r="622">
      <c r="B622" s="147"/>
      <c r="C622" s="104"/>
      <c r="D622" s="104"/>
      <c r="E622" s="103"/>
      <c r="F622" s="103"/>
      <c r="G622" s="104"/>
      <c r="H622" s="104"/>
      <c r="I622" s="104"/>
      <c r="J622" s="104"/>
      <c r="K622" s="104"/>
      <c r="L622" s="104"/>
      <c r="M622" s="104"/>
      <c r="N622" s="103"/>
      <c r="O622" s="103"/>
      <c r="P622" s="106"/>
      <c r="Q622" s="106"/>
    </row>
    <row r="623">
      <c r="B623" s="147"/>
      <c r="C623" s="104"/>
      <c r="D623" s="104"/>
      <c r="E623" s="103"/>
      <c r="F623" s="103"/>
      <c r="G623" s="104"/>
      <c r="H623" s="104"/>
      <c r="I623" s="104"/>
      <c r="J623" s="104"/>
      <c r="K623" s="104"/>
      <c r="L623" s="104"/>
      <c r="M623" s="104"/>
      <c r="N623" s="103"/>
      <c r="O623" s="103"/>
      <c r="P623" s="106"/>
      <c r="Q623" s="106"/>
    </row>
    <row r="624">
      <c r="B624" s="147"/>
      <c r="C624" s="104"/>
      <c r="D624" s="104"/>
      <c r="E624" s="103"/>
      <c r="F624" s="103"/>
      <c r="G624" s="104"/>
      <c r="H624" s="104"/>
      <c r="I624" s="104"/>
      <c r="J624" s="104"/>
      <c r="K624" s="104"/>
      <c r="L624" s="104"/>
      <c r="M624" s="104"/>
      <c r="N624" s="103"/>
      <c r="O624" s="103"/>
      <c r="P624" s="106"/>
      <c r="Q624" s="106"/>
    </row>
    <row r="625">
      <c r="B625" s="147"/>
      <c r="C625" s="104"/>
      <c r="D625" s="104"/>
      <c r="E625" s="103"/>
      <c r="F625" s="103"/>
      <c r="G625" s="104"/>
      <c r="H625" s="104"/>
      <c r="I625" s="104"/>
      <c r="J625" s="104"/>
      <c r="K625" s="104"/>
      <c r="L625" s="104"/>
      <c r="M625" s="104"/>
      <c r="N625" s="103"/>
      <c r="O625" s="103"/>
      <c r="P625" s="106"/>
      <c r="Q625" s="106"/>
    </row>
    <row r="626">
      <c r="B626" s="147"/>
      <c r="C626" s="104"/>
      <c r="D626" s="104"/>
      <c r="E626" s="103"/>
      <c r="F626" s="103"/>
      <c r="G626" s="104"/>
      <c r="H626" s="104"/>
      <c r="I626" s="104"/>
      <c r="J626" s="104"/>
      <c r="K626" s="104"/>
      <c r="L626" s="104"/>
      <c r="M626" s="104"/>
      <c r="N626" s="103"/>
      <c r="O626" s="103"/>
      <c r="P626" s="106"/>
      <c r="Q626" s="106"/>
    </row>
    <row r="627">
      <c r="B627" s="147"/>
      <c r="C627" s="104"/>
      <c r="D627" s="104"/>
      <c r="E627" s="103"/>
      <c r="F627" s="103"/>
      <c r="G627" s="104"/>
      <c r="H627" s="104"/>
      <c r="I627" s="104"/>
      <c r="J627" s="104"/>
      <c r="K627" s="104"/>
      <c r="L627" s="104"/>
      <c r="M627" s="104"/>
      <c r="N627" s="103"/>
      <c r="O627" s="103"/>
      <c r="P627" s="106"/>
      <c r="Q627" s="106"/>
    </row>
    <row r="628">
      <c r="B628" s="147"/>
      <c r="C628" s="104"/>
      <c r="D628" s="104"/>
      <c r="E628" s="103"/>
      <c r="F628" s="103"/>
      <c r="G628" s="104"/>
      <c r="H628" s="104"/>
      <c r="I628" s="104"/>
      <c r="J628" s="104"/>
      <c r="K628" s="104"/>
      <c r="L628" s="104"/>
      <c r="M628" s="104"/>
      <c r="N628" s="103"/>
      <c r="O628" s="103"/>
      <c r="P628" s="106"/>
      <c r="Q628" s="106"/>
    </row>
    <row r="629">
      <c r="B629" s="147"/>
      <c r="C629" s="104"/>
      <c r="D629" s="104"/>
      <c r="E629" s="103"/>
      <c r="F629" s="103"/>
      <c r="G629" s="104"/>
      <c r="H629" s="104"/>
      <c r="I629" s="104"/>
      <c r="J629" s="104"/>
      <c r="K629" s="104"/>
      <c r="L629" s="104"/>
      <c r="M629" s="104"/>
      <c r="N629" s="103"/>
      <c r="O629" s="103"/>
      <c r="P629" s="106"/>
      <c r="Q629" s="106"/>
    </row>
    <row r="630">
      <c r="B630" s="147"/>
      <c r="C630" s="104"/>
      <c r="D630" s="104"/>
      <c r="E630" s="103"/>
      <c r="F630" s="103"/>
      <c r="G630" s="104"/>
      <c r="H630" s="104"/>
      <c r="I630" s="104"/>
      <c r="J630" s="104"/>
      <c r="K630" s="104"/>
      <c r="L630" s="104"/>
      <c r="M630" s="104"/>
      <c r="N630" s="103"/>
      <c r="O630" s="103"/>
      <c r="P630" s="106"/>
      <c r="Q630" s="106"/>
    </row>
    <row r="631">
      <c r="B631" s="147"/>
      <c r="C631" s="104"/>
      <c r="D631" s="104"/>
      <c r="E631" s="103"/>
      <c r="F631" s="103"/>
      <c r="G631" s="104"/>
      <c r="H631" s="104"/>
      <c r="I631" s="104"/>
      <c r="J631" s="104"/>
      <c r="K631" s="104"/>
      <c r="L631" s="104"/>
      <c r="M631" s="104"/>
      <c r="N631" s="103"/>
      <c r="O631" s="103"/>
      <c r="P631" s="106"/>
      <c r="Q631" s="106"/>
    </row>
    <row r="632">
      <c r="B632" s="147"/>
      <c r="C632" s="104"/>
      <c r="D632" s="104"/>
      <c r="E632" s="103"/>
      <c r="F632" s="103"/>
      <c r="G632" s="104"/>
      <c r="H632" s="104"/>
      <c r="I632" s="104"/>
      <c r="J632" s="104"/>
      <c r="K632" s="104"/>
      <c r="L632" s="104"/>
      <c r="M632" s="104"/>
      <c r="N632" s="103"/>
      <c r="O632" s="103"/>
      <c r="P632" s="106"/>
      <c r="Q632" s="106"/>
    </row>
    <row r="633">
      <c r="B633" s="147"/>
      <c r="C633" s="104"/>
      <c r="D633" s="104"/>
      <c r="E633" s="103"/>
      <c r="F633" s="103"/>
      <c r="G633" s="104"/>
      <c r="H633" s="104"/>
      <c r="I633" s="104"/>
      <c r="J633" s="104"/>
      <c r="K633" s="104"/>
      <c r="L633" s="104"/>
      <c r="M633" s="104"/>
      <c r="N633" s="103"/>
      <c r="O633" s="103"/>
      <c r="P633" s="106"/>
      <c r="Q633" s="106"/>
    </row>
    <row r="634">
      <c r="B634" s="147"/>
      <c r="C634" s="104"/>
      <c r="D634" s="104"/>
      <c r="E634" s="103"/>
      <c r="F634" s="103"/>
      <c r="G634" s="104"/>
      <c r="H634" s="104"/>
      <c r="I634" s="104"/>
      <c r="J634" s="104"/>
      <c r="K634" s="104"/>
      <c r="L634" s="104"/>
      <c r="M634" s="104"/>
      <c r="N634" s="103"/>
      <c r="O634" s="103"/>
      <c r="P634" s="106"/>
      <c r="Q634" s="106"/>
    </row>
    <row r="635">
      <c r="B635" s="147"/>
      <c r="C635" s="104"/>
      <c r="D635" s="104"/>
      <c r="E635" s="103"/>
      <c r="F635" s="103"/>
      <c r="G635" s="104"/>
      <c r="H635" s="104"/>
      <c r="I635" s="104"/>
      <c r="J635" s="104"/>
      <c r="K635" s="104"/>
      <c r="L635" s="104"/>
      <c r="M635" s="104"/>
      <c r="N635" s="103"/>
      <c r="O635" s="103"/>
      <c r="P635" s="106"/>
      <c r="Q635" s="106"/>
    </row>
    <row r="636">
      <c r="B636" s="147"/>
      <c r="C636" s="104"/>
      <c r="D636" s="104"/>
      <c r="E636" s="103"/>
      <c r="F636" s="103"/>
      <c r="G636" s="104"/>
      <c r="H636" s="104"/>
      <c r="I636" s="104"/>
      <c r="J636" s="104"/>
      <c r="K636" s="104"/>
      <c r="L636" s="104"/>
      <c r="M636" s="104"/>
      <c r="N636" s="103"/>
      <c r="O636" s="103"/>
      <c r="P636" s="106"/>
      <c r="Q636" s="106"/>
    </row>
    <row r="637">
      <c r="B637" s="147"/>
      <c r="C637" s="104"/>
      <c r="D637" s="104"/>
      <c r="E637" s="103"/>
      <c r="F637" s="103"/>
      <c r="G637" s="104"/>
      <c r="H637" s="104"/>
      <c r="I637" s="104"/>
      <c r="J637" s="104"/>
      <c r="K637" s="104"/>
      <c r="L637" s="104"/>
      <c r="M637" s="104"/>
      <c r="N637" s="103"/>
      <c r="O637" s="103"/>
      <c r="P637" s="106"/>
      <c r="Q637" s="106"/>
    </row>
    <row r="638">
      <c r="B638" s="147"/>
      <c r="C638" s="104"/>
      <c r="D638" s="104"/>
      <c r="E638" s="103"/>
      <c r="F638" s="103"/>
      <c r="G638" s="104"/>
      <c r="H638" s="104"/>
      <c r="I638" s="104"/>
      <c r="J638" s="104"/>
      <c r="K638" s="104"/>
      <c r="L638" s="104"/>
      <c r="M638" s="104"/>
      <c r="N638" s="103"/>
      <c r="O638" s="103"/>
      <c r="P638" s="106"/>
      <c r="Q638" s="10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48" width="5.5"/>
  </cols>
  <sheetData>
    <row r="1">
      <c r="A1" s="2" t="s">
        <v>0</v>
      </c>
      <c r="B1" s="2" t="s">
        <v>4</v>
      </c>
      <c r="C1" s="5">
        <v>0.25</v>
      </c>
      <c r="D1" s="5">
        <v>0.2708333333333333</v>
      </c>
      <c r="E1" s="5">
        <v>0.2916666666666667</v>
      </c>
      <c r="F1" s="5">
        <v>0.3125</v>
      </c>
      <c r="G1" s="5">
        <v>0.3333333333333333</v>
      </c>
      <c r="H1" s="5">
        <v>0.3541666666666667</v>
      </c>
      <c r="I1" s="5">
        <v>0.375</v>
      </c>
      <c r="J1" s="5">
        <v>0.3958333333333333</v>
      </c>
      <c r="K1" s="5">
        <v>0.4166666666666667</v>
      </c>
      <c r="L1" s="5">
        <v>0.4375</v>
      </c>
      <c r="M1" s="5">
        <v>0.4583333333333333</v>
      </c>
      <c r="N1" s="5">
        <v>0.4791666666666667</v>
      </c>
      <c r="O1" s="5">
        <v>0.5</v>
      </c>
      <c r="P1" s="5">
        <v>0.5208333333333334</v>
      </c>
      <c r="Q1" s="5">
        <v>0.5416666666666666</v>
      </c>
      <c r="R1" s="5">
        <v>0.5625</v>
      </c>
      <c r="S1" s="5">
        <v>0.5833333333333334</v>
      </c>
      <c r="T1" s="5">
        <v>0.6041666666666666</v>
      </c>
      <c r="U1" s="5">
        <v>0.625</v>
      </c>
      <c r="V1" s="5">
        <v>0.6458333333333334</v>
      </c>
      <c r="W1" s="5">
        <v>0.6666666666666666</v>
      </c>
      <c r="X1" s="5">
        <v>0.6875</v>
      </c>
      <c r="Y1" s="5">
        <v>0.7083333333333334</v>
      </c>
      <c r="Z1" s="5">
        <v>0.7291666666666666</v>
      </c>
      <c r="AA1" s="5">
        <v>0.75</v>
      </c>
      <c r="AB1" s="5">
        <v>0.7708333333333334</v>
      </c>
      <c r="AC1" s="5">
        <v>0.7916666666666666</v>
      </c>
      <c r="AD1" s="5">
        <v>0.8125</v>
      </c>
      <c r="AE1" s="5">
        <v>0.8333333333333334</v>
      </c>
      <c r="AF1" s="5">
        <v>0.8541666666666666</v>
      </c>
      <c r="AG1" s="5">
        <v>0.875</v>
      </c>
      <c r="AH1" s="5">
        <v>0.8958333333333334</v>
      </c>
      <c r="AI1" s="5">
        <v>0.9166666666666666</v>
      </c>
      <c r="AJ1" s="5">
        <v>0.9375</v>
      </c>
      <c r="AK1" s="5">
        <v>0.9583333333333334</v>
      </c>
      <c r="AL1" s="5">
        <v>0.9791666666666666</v>
      </c>
      <c r="AM1" s="5">
        <v>0.0</v>
      </c>
      <c r="AN1" s="5">
        <v>0.020833333333333332</v>
      </c>
      <c r="AO1" s="5">
        <v>0.041666666666666664</v>
      </c>
      <c r="AP1" s="5">
        <v>0.0625</v>
      </c>
      <c r="AQ1" s="5">
        <v>0.08333333333333333</v>
      </c>
      <c r="AR1" s="5">
        <v>0.10416666666666667</v>
      </c>
      <c r="AS1" s="20"/>
      <c r="AT1" s="20"/>
      <c r="AU1" s="20"/>
      <c r="AV1" s="20"/>
    </row>
    <row r="2">
      <c r="A2" s="23">
        <v>1.0</v>
      </c>
      <c r="B2" s="23" t="s">
        <v>82</v>
      </c>
      <c r="AB2" s="86" t="s">
        <v>131</v>
      </c>
    </row>
    <row r="3">
      <c r="A3" s="23">
        <v>1.0</v>
      </c>
      <c r="B3" s="23" t="s">
        <v>86</v>
      </c>
      <c r="M3" s="86" t="s">
        <v>132</v>
      </c>
      <c r="T3" s="108" t="s">
        <v>134</v>
      </c>
    </row>
  </sheetData>
  <mergeCells count="3">
    <mergeCell ref="AB2:AG2"/>
    <mergeCell ref="M3:R3"/>
    <mergeCell ref="T3:Y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13"/>
    <col customWidth="1" min="2" max="2" width="14.25"/>
    <col customWidth="1" min="3" max="11" width="5.5"/>
    <col customWidth="1" min="12" max="12" width="9.25"/>
    <col customWidth="1" min="13" max="27" width="5.5"/>
    <col customWidth="1" min="28" max="28" width="7.13"/>
    <col customWidth="1" min="29" max="34" width="6.5"/>
    <col customWidth="1" min="35" max="48" width="5.5"/>
  </cols>
  <sheetData>
    <row r="1">
      <c r="A1" s="23" t="s">
        <v>0</v>
      </c>
      <c r="B1" s="23" t="s">
        <v>4</v>
      </c>
      <c r="C1" s="102">
        <v>0.25</v>
      </c>
      <c r="D1" s="102">
        <v>0.2708333333333333</v>
      </c>
      <c r="E1" s="102">
        <v>0.2916666666666667</v>
      </c>
      <c r="F1" s="102">
        <v>0.3125</v>
      </c>
      <c r="G1" s="102">
        <v>0.3333333333333333</v>
      </c>
      <c r="H1" s="102">
        <v>0.3541666666666667</v>
      </c>
      <c r="I1" s="102">
        <v>0.375</v>
      </c>
      <c r="J1" s="102">
        <v>0.3958333333333333</v>
      </c>
      <c r="K1" s="102">
        <v>0.4166666666666667</v>
      </c>
      <c r="L1" s="102">
        <v>0.4375</v>
      </c>
      <c r="M1" s="102">
        <v>0.4583333333333333</v>
      </c>
      <c r="N1" s="102">
        <v>0.4791666666666667</v>
      </c>
      <c r="O1" s="102">
        <v>0.5</v>
      </c>
      <c r="P1" s="102">
        <v>0.5208333333333334</v>
      </c>
      <c r="Q1" s="102">
        <v>0.5416666666666666</v>
      </c>
      <c r="R1" s="102">
        <v>0.5625</v>
      </c>
      <c r="S1" s="102">
        <v>0.5833333333333334</v>
      </c>
      <c r="T1" s="102">
        <v>0.6041666666666666</v>
      </c>
      <c r="U1" s="102">
        <v>0.625</v>
      </c>
      <c r="V1" s="102">
        <v>0.6458333333333334</v>
      </c>
      <c r="W1" s="102">
        <v>0.6666666666666666</v>
      </c>
      <c r="X1" s="102">
        <v>0.6875</v>
      </c>
      <c r="Y1" s="102">
        <v>0.7083333333333334</v>
      </c>
      <c r="Z1" s="102">
        <v>0.7291666666666666</v>
      </c>
      <c r="AA1" s="102">
        <v>0.75</v>
      </c>
      <c r="AB1" s="102">
        <v>0.7708333333333334</v>
      </c>
      <c r="AC1" s="102">
        <v>0.7916666666666666</v>
      </c>
      <c r="AD1" s="102">
        <v>0.8125</v>
      </c>
      <c r="AE1" s="102">
        <v>0.8333333333333334</v>
      </c>
      <c r="AF1" s="102">
        <v>0.8541666666666666</v>
      </c>
      <c r="AG1" s="102">
        <v>0.875</v>
      </c>
      <c r="AH1" s="102">
        <v>0.8958333333333334</v>
      </c>
      <c r="AI1" s="102">
        <v>0.9166666666666666</v>
      </c>
      <c r="AJ1" s="102">
        <v>0.9375</v>
      </c>
      <c r="AK1" s="102">
        <v>0.9583333333333334</v>
      </c>
      <c r="AL1" s="102">
        <v>0.9791666666666666</v>
      </c>
      <c r="AM1" s="102">
        <v>0.0</v>
      </c>
      <c r="AN1" s="102">
        <v>0.020833333333333332</v>
      </c>
      <c r="AO1" s="102">
        <v>0.041666666666666664</v>
      </c>
      <c r="AP1" s="102">
        <v>0.0625</v>
      </c>
      <c r="AQ1" s="102">
        <v>0.08333333333333333</v>
      </c>
      <c r="AR1" s="102">
        <v>0.10416666666666667</v>
      </c>
    </row>
    <row r="2">
      <c r="A2" s="23">
        <v>3.0</v>
      </c>
      <c r="B2" s="23" t="s">
        <v>76</v>
      </c>
      <c r="AA2" s="86" t="s">
        <v>136</v>
      </c>
    </row>
  </sheetData>
  <mergeCells count="1">
    <mergeCell ref="AA2:AF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0"/>
    <col customWidth="1" min="3" max="3" width="4.25"/>
    <col customWidth="1" min="4" max="4" width="10.63"/>
    <col customWidth="1" min="5" max="5" width="9.0"/>
    <col customWidth="1" min="6" max="6" width="19.88"/>
    <col customWidth="1" min="7" max="11" width="36.0"/>
    <col customWidth="1" min="12" max="12" width="4.75"/>
    <col customWidth="1" min="13" max="45" width="36.0"/>
  </cols>
  <sheetData>
    <row r="1" ht="1.5" customHeight="1">
      <c r="A1" s="109" t="s">
        <v>138</v>
      </c>
      <c r="B1" s="110" t="s">
        <v>140</v>
      </c>
      <c r="C1" s="110" t="s">
        <v>141</v>
      </c>
      <c r="D1" s="111" t="s">
        <v>142</v>
      </c>
      <c r="E1" s="110" t="s">
        <v>143</v>
      </c>
      <c r="F1" s="110" t="s">
        <v>144</v>
      </c>
      <c r="G1" s="112" t="s">
        <v>145</v>
      </c>
      <c r="H1" s="113" t="s">
        <v>146</v>
      </c>
      <c r="I1" s="113" t="s">
        <v>147</v>
      </c>
      <c r="J1" s="113" t="s">
        <v>148</v>
      </c>
      <c r="K1" s="113" t="s">
        <v>149</v>
      </c>
      <c r="L1" s="113" t="s">
        <v>150</v>
      </c>
      <c r="M1" s="113" t="s">
        <v>152</v>
      </c>
      <c r="N1" s="113" t="s">
        <v>153</v>
      </c>
      <c r="O1" s="114" t="s">
        <v>7</v>
      </c>
      <c r="P1" s="115" t="s">
        <v>8</v>
      </c>
      <c r="Q1" s="116" t="s">
        <v>10</v>
      </c>
      <c r="R1" s="117" t="s">
        <v>12</v>
      </c>
      <c r="S1" s="117" t="s">
        <v>13</v>
      </c>
      <c r="T1" s="118" t="s">
        <v>14</v>
      </c>
      <c r="U1" s="116" t="s">
        <v>154</v>
      </c>
      <c r="V1" s="117" t="s">
        <v>11</v>
      </c>
      <c r="W1" s="119" t="s">
        <v>23</v>
      </c>
      <c r="X1" s="119" t="s">
        <v>17</v>
      </c>
      <c r="Y1" s="114" t="s">
        <v>27</v>
      </c>
      <c r="Z1" s="114" t="s">
        <v>28</v>
      </c>
      <c r="AA1" s="120" t="s">
        <v>155</v>
      </c>
      <c r="AB1" s="121" t="s">
        <v>152</v>
      </c>
      <c r="AC1" s="121" t="s">
        <v>153</v>
      </c>
      <c r="AD1" s="121" t="s">
        <v>156</v>
      </c>
      <c r="AE1" s="120" t="s">
        <v>157</v>
      </c>
      <c r="AF1" s="120" t="s">
        <v>158</v>
      </c>
      <c r="AG1" s="120" t="s">
        <v>159</v>
      </c>
      <c r="AH1" s="121" t="s">
        <v>160</v>
      </c>
      <c r="AI1" s="121" t="s">
        <v>161</v>
      </c>
      <c r="AJ1" s="121" t="s">
        <v>162</v>
      </c>
      <c r="AK1" s="120" t="s">
        <v>163</v>
      </c>
      <c r="AL1" s="120" t="s">
        <v>165</v>
      </c>
      <c r="AM1" s="120" t="s">
        <v>166</v>
      </c>
      <c r="AN1" s="120" t="s">
        <v>167</v>
      </c>
      <c r="AO1" s="121" t="s">
        <v>168</v>
      </c>
      <c r="AP1" s="121" t="s">
        <v>169</v>
      </c>
      <c r="AQ1" s="121" t="s">
        <v>170</v>
      </c>
      <c r="AR1" s="120" t="s">
        <v>171</v>
      </c>
      <c r="AS1" s="120" t="s">
        <v>172</v>
      </c>
    </row>
    <row r="2">
      <c r="A2" s="122">
        <v>1.0</v>
      </c>
      <c r="B2" s="122">
        <v>1.0</v>
      </c>
      <c r="C2" s="122">
        <v>1.0</v>
      </c>
      <c r="D2" s="123" t="str">
        <f t="array" ref="D2:D14">index(sort('Draft Order'!$A$2:$B$14,1,1),0,2)</f>
        <v>Nick G.</v>
      </c>
      <c r="E2" s="124" t="str">
        <f>if(F2&lt;&gt;"",VLOOKUP(F2,offset('Teams-Conference'!A:B,0,(counta('Draft Order'!B$2:B134)-10)*2),2,0),"")</f>
        <v>SEC</v>
      </c>
      <c r="F2" s="125" t="s">
        <v>63</v>
      </c>
      <c r="G2" s="126" t="str">
        <f t="shared" ref="G2:G131" si="1">if(F2&lt;&gt;"",if(match(F2,F:F,0)&lt;ROW(F2),"ERROR: Team already selected in row " &amp; ROW(F2)&amp;".  ","")&amp;if(COUNTIFS(E:E,"="&amp;E2,D:D,"="&amp;D2)&gt;1,"ERROR: Player picked from conference more than once.",if(F1="","ERROR: Previous pick is blank","")),"")</f>
        <v/>
      </c>
      <c r="H2" s="127">
        <f t="shared" ref="H2:H121" si="2">countif(E3:E12,E2)</f>
        <v>2</v>
      </c>
      <c r="I2" s="127">
        <f t="shared" ref="I2:I109" si="3">countif(E3:E24,E2)</f>
        <v>3</v>
      </c>
      <c r="J2" s="128"/>
      <c r="K2" s="128"/>
      <c r="L2" s="127">
        <f t="array" ref="L2:L134">iferror(VLOOKUP(F2:F134,'Current Week'!C:D,2,0),"")</f>
        <v>12</v>
      </c>
      <c r="M2" s="127">
        <f>IFERROR(__xludf.DUMMYFUNCTION("counta(iferror(filter(L1:L$2,E1:E$2=E2,L1:L$2&lt;L2)))"),0.0)</f>
        <v>0</v>
      </c>
      <c r="N2" s="127">
        <f>IFERROR(__xludf.DUMMYFUNCTION("counta(iferror(filter(L3:L$131,E3:E$131=E2,L3:L$136&gt;L2)))"),0.0)</f>
        <v>0</v>
      </c>
      <c r="O2" s="129">
        <f t="array" ref="O2:Z2">XLOOKUP(F2,'Current Week'!C:C,'Current Week'!D:O)</f>
        <v>12</v>
      </c>
      <c r="P2" s="127">
        <v>0.0</v>
      </c>
      <c r="Q2" s="128" t="s">
        <v>65</v>
      </c>
      <c r="R2" s="130">
        <v>45262.666666666664</v>
      </c>
      <c r="S2" s="128" t="s">
        <v>60</v>
      </c>
      <c r="T2" s="128"/>
      <c r="U2" s="128">
        <v>-4.5</v>
      </c>
      <c r="V2" s="131">
        <v>-6.5</v>
      </c>
      <c r="W2" s="128">
        <v>-220.0</v>
      </c>
      <c r="X2" s="131" t="s">
        <v>68</v>
      </c>
      <c r="Y2" s="131">
        <v>475.0</v>
      </c>
      <c r="Z2" s="131">
        <v>189.0</v>
      </c>
      <c r="AA2" s="132">
        <f t="shared" ref="AA2:AA134" si="4">$O2-max($O2:$O$397)</f>
        <v>0</v>
      </c>
      <c r="AB2" s="131">
        <f t="shared" ref="AB2:AB134" si="5">countif($O1:$O$2,"&lt;"&amp;$O2)</f>
        <v>0</v>
      </c>
      <c r="AC2" s="131">
        <f>IFERROR(__xludf.DUMMYFUNCTION("iferror(COUNT(filter($O3:$O$397,$O3:$O$397&gt;$O2)))"),0.0)</f>
        <v>0</v>
      </c>
      <c r="AD2" s="133">
        <f t="shared" ref="AD2:AD134" si="6">if(AA2=0,1,0)</f>
        <v>1</v>
      </c>
      <c r="AE2" s="134">
        <f t="shared" ref="AE2:AE134" si="7">$O2-min($O$2:$O2)</f>
        <v>0</v>
      </c>
      <c r="AF2" s="128" t="str">
        <f>IFERROR(__xludf.DUMMYFUNCTION("iferror(join("","",index(sort(filter($F3:$F$397,$O3:$O$397&gt;$O2),2,false),0,1)))"),"")</f>
        <v/>
      </c>
      <c r="AG2" s="132">
        <f>IFERROR(__xludf.DUMMYFUNCTION("iferror($O2-max(filter($O2:$O$397,$E2:$E$397=$E$2)))"),0.0)</f>
        <v>0</v>
      </c>
      <c r="AH2" s="131">
        <f t="shared" ref="AH2:AH134" si="8">countifs($O1:$O$2,"&lt;"&amp;$O2,$E1:$E$2,$E$2)</f>
        <v>0</v>
      </c>
      <c r="AI2" s="131">
        <f>IFERROR(__xludf.DUMMYFUNCTION("iferror(COUNT(filter($O3:$O$397,$O3:$O$397&gt;$O2,$E2:$E$397=$E$2)))"),0.0)</f>
        <v>0</v>
      </c>
      <c r="AJ2" s="133">
        <f t="shared" ref="AJ2:AJ134" si="9">if(AG2=0,1,0)</f>
        <v>1</v>
      </c>
      <c r="AK2" s="134">
        <f>IFERROR(__xludf.DUMMYFUNCTION("iferror($O2-min(filter($O2:$O$397,$E2:$E$397=$E$2)))"),10.0)</f>
        <v>10</v>
      </c>
      <c r="AL2" s="128" t="str">
        <f>IFERROR(__xludf.DUMMYFUNCTION("iferror(join("","",index(sort(filter($F3:$F$397,$O3:$O$397&gt;$O2,$E3:$E$397=$E$2),2,false),0,1)))"),"")</f>
        <v/>
      </c>
      <c r="AM2" s="128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2" s="132">
        <f>IFERROR(__xludf.DUMMYFUNCTION("iferror($O2-max(filter($O2:$O$397,arrayformula(isnumber(FIND($E2:$E$397,AM2))))))"),0.0)</f>
        <v>0</v>
      </c>
      <c r="AO2" s="131">
        <f t="array" ref="AO2">countifs($O1:$O$2,"&lt;"&amp;$O2,isnumber(FIND($E1:$E$2,AM2)),TRUE)</f>
        <v>0</v>
      </c>
      <c r="AP2" s="131">
        <f>IFERROR(__xludf.DUMMYFUNCTION("iferror(COUNT(filter($O3:$O$397,$O3:$O$397&gt;$O2,arrayformula(isnumber(FIND($E3:$E$397,AM2))))))"),0.0)</f>
        <v>0</v>
      </c>
      <c r="AQ2" s="133">
        <f t="shared" ref="AQ2:AQ134" si="10">if(AN2=0,1,0)</f>
        <v>1</v>
      </c>
      <c r="AR2" s="134">
        <f>IFERROR(__xludf.DUMMYFUNCTION("$O2-min(filter($O2:$O$397,arrayformula(isnumber(FIND($E2:$E$397,AM2)))))"),11.0)</f>
        <v>11</v>
      </c>
      <c r="AS2" s="128" t="str">
        <f>IFERROR(__xludf.DUMMYFUNCTION("iferror(join("","",index(sort(filter($F3:$F$397,$O3:$O$397&gt;$O2,arrayformula(isnumber(FIND($E3:$E$397,AM2)))),2,false),0,1)))"),"")</f>
        <v/>
      </c>
    </row>
    <row r="3">
      <c r="A3" s="23">
        <v>2.0</v>
      </c>
      <c r="B3" s="23">
        <v>1.0</v>
      </c>
      <c r="C3" s="23">
        <v>2.0</v>
      </c>
      <c r="D3" s="135" t="s">
        <v>58</v>
      </c>
      <c r="E3" s="136" t="str">
        <f>if(F3&lt;&gt;"",VLOOKUP(F3,offset('Teams-Conference'!A:B,0,(counta('Draft Order'!B$2:B134)-10)*2),2,0),"")</f>
        <v>CUSA</v>
      </c>
      <c r="F3" s="137" t="s">
        <v>102</v>
      </c>
      <c r="G3" s="138" t="str">
        <f t="shared" si="1"/>
        <v/>
      </c>
      <c r="H3" s="127">
        <f t="shared" si="2"/>
        <v>1</v>
      </c>
      <c r="I3" s="127">
        <f t="shared" si="3"/>
        <v>2</v>
      </c>
      <c r="J3" s="128"/>
      <c r="K3" s="128"/>
      <c r="L3" s="127">
        <v>12.0</v>
      </c>
      <c r="M3" s="127">
        <f>IFERROR(__xludf.DUMMYFUNCTION("counta(iferror(filter(L2:L$2,E2:E$2=E3,L2:L$2&lt;L3)))"),0.0)</f>
        <v>0</v>
      </c>
      <c r="N3" s="127">
        <f>IFERROR(__xludf.DUMMYFUNCTION("counta(iferror(filter(L4:L$131,E4:E$131=E3,L4:L$136&gt;L3)))"),0.0)</f>
        <v>0</v>
      </c>
      <c r="O3" s="129">
        <f t="array" ref="O3:Z3">XLOOKUP(F3,'Current Week'!C:C,'Current Week'!D:O)</f>
        <v>12</v>
      </c>
      <c r="P3" s="127">
        <v>0.0</v>
      </c>
      <c r="Q3" s="128" t="s">
        <v>103</v>
      </c>
      <c r="R3" s="130">
        <v>45261.791666666664</v>
      </c>
      <c r="S3" s="128" t="s">
        <v>57</v>
      </c>
      <c r="T3" s="128" t="s">
        <v>99</v>
      </c>
      <c r="U3" s="128">
        <v>-13.5</v>
      </c>
      <c r="V3" s="131">
        <v>-10.5</v>
      </c>
      <c r="W3" s="128">
        <v>340.0</v>
      </c>
      <c r="X3" s="131" t="s">
        <v>104</v>
      </c>
      <c r="Y3" s="131">
        <v>481.0</v>
      </c>
      <c r="Z3" s="131">
        <v>260.0</v>
      </c>
      <c r="AA3" s="132">
        <f t="shared" si="4"/>
        <v>0</v>
      </c>
      <c r="AB3" s="131">
        <f t="shared" si="5"/>
        <v>0</v>
      </c>
      <c r="AC3" s="131">
        <f>IFERROR(__xludf.DUMMYFUNCTION("iferror(COUNT(filter($O4:$O$397,$O4:$O$397&gt;$O3)))"),0.0)</f>
        <v>0</v>
      </c>
      <c r="AD3" s="133">
        <f t="shared" si="6"/>
        <v>1</v>
      </c>
      <c r="AE3" s="134">
        <f t="shared" si="7"/>
        <v>0</v>
      </c>
      <c r="AF3" s="128" t="str">
        <f>IFERROR(__xludf.DUMMYFUNCTION("iferror(join("","",index(sort(filter($F4:$F$398,$O4:$O$398&gt;$O3),2,false),0,1)))"),"")</f>
        <v/>
      </c>
      <c r="AG3" s="132">
        <f>IFERROR(__xludf.DUMMYFUNCTION("iferror($O3-max(filter($O3:$O$397,$E3:$E$397=$E$2)))"),1.0)</f>
        <v>1</v>
      </c>
      <c r="AH3" s="131">
        <f t="shared" si="8"/>
        <v>0</v>
      </c>
      <c r="AI3" s="131">
        <f>IFERROR(__xludf.DUMMYFUNCTION("iferror(COUNT(filter($O4:$O$397,$O4:$O$397&gt;$O3,$E3:$E$397=$E$2)))"),0.0)</f>
        <v>0</v>
      </c>
      <c r="AJ3" s="133">
        <f t="shared" si="9"/>
        <v>0</v>
      </c>
      <c r="AK3" s="134">
        <f>IFERROR(__xludf.DUMMYFUNCTION("iferror($O3-min(filter($O3:$O$397,$E3:$E$397=$E$2)))"),10.0)</f>
        <v>10</v>
      </c>
      <c r="AL3" s="128" t="str">
        <f>IFERROR(__xludf.DUMMYFUNCTION("iferror(join("","",index(sort(filter($F4:$F$397,$O4:$O$397&gt;$O3,$E4:$E$397=$E$2),2,false),0,1)))"),"")</f>
        <v/>
      </c>
      <c r="AM3" s="128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3" s="132">
        <f>IFERROR(__xludf.DUMMYFUNCTION("iferror($O3-max(filter($O3:$O$397,arrayformula(isnumber(FIND($E3:$E$397,AM3))))))"),0.0)</f>
        <v>0</v>
      </c>
      <c r="AO3" s="131">
        <f t="array" ref="AO3">countifs($O2:$O$2,"&lt;"&amp;$O3,isnumber(FIND($E2:$E$2,AM3)),TRUE)</f>
        <v>0</v>
      </c>
      <c r="AP3" s="131">
        <f>IFERROR(__xludf.DUMMYFUNCTION("iferror(COUNT(filter($O4:$O$397,$O4:$O$397&gt;$O3,arrayformula(isnumber(FIND($E4:$E$397,AM3))))))"),0.0)</f>
        <v>0</v>
      </c>
      <c r="AQ3" s="133">
        <f t="shared" si="10"/>
        <v>1</v>
      </c>
      <c r="AR3" s="134">
        <f>IFERROR(__xludf.DUMMYFUNCTION("$O3-min(filter($O3:$O$397,arrayformula(isnumber(FIND($E3:$E$397,AM3)))))"),11.0)</f>
        <v>11</v>
      </c>
      <c r="AS3" s="128" t="str">
        <f>IFERROR(__xludf.DUMMYFUNCTION("iferror(join("","",index(sort(filter($F4:$F$397,$O4:$O$397&gt;$O3,arrayformula(isnumber(FIND($E4:$E$397,AM3)))),2,false),0,1)))"),"")</f>
        <v/>
      </c>
    </row>
    <row r="4">
      <c r="A4" s="23">
        <v>3.0</v>
      </c>
      <c r="B4" s="23">
        <v>1.0</v>
      </c>
      <c r="C4" s="23">
        <v>3.0</v>
      </c>
      <c r="D4" s="139" t="s">
        <v>56</v>
      </c>
      <c r="E4" s="136" t="str">
        <f>if(F4&lt;&gt;"",VLOOKUP(F4,offset('Teams-Conference'!A:B,0,(counta('Draft Order'!B$2:B134)-10)*2),2,0),"")</f>
        <v>MAC</v>
      </c>
      <c r="F4" s="137" t="s">
        <v>120</v>
      </c>
      <c r="G4" s="138" t="str">
        <f t="shared" si="1"/>
        <v/>
      </c>
      <c r="H4" s="127">
        <f t="shared" si="2"/>
        <v>0</v>
      </c>
      <c r="I4" s="127">
        <f t="shared" si="3"/>
        <v>0</v>
      </c>
      <c r="J4" s="128"/>
      <c r="K4" s="128"/>
      <c r="L4" s="127">
        <v>11.0</v>
      </c>
      <c r="M4" s="127">
        <f>IFERROR(__xludf.DUMMYFUNCTION("counta(iferror(filter(L$2:L3,E$2:E3=E4,L$2:L3&lt;L4)))"),0.0)</f>
        <v>0</v>
      </c>
      <c r="N4" s="127">
        <f>IFERROR(__xludf.DUMMYFUNCTION("counta(iferror(filter(L5:L$131,E5:E$131=E4,L5:L$136&gt;L4)))"),0.0)</f>
        <v>0</v>
      </c>
      <c r="O4" s="129">
        <f t="array" ref="O4:Z4">XLOOKUP(F4,'Current Week'!C:C,'Current Week'!D:O)</f>
        <v>11</v>
      </c>
      <c r="P4" s="127">
        <v>1.0</v>
      </c>
      <c r="Q4" s="128" t="s">
        <v>121</v>
      </c>
      <c r="R4" s="130">
        <v>45262.5</v>
      </c>
      <c r="S4" s="128" t="s">
        <v>62</v>
      </c>
      <c r="T4" s="128" t="s">
        <v>76</v>
      </c>
      <c r="U4" s="128">
        <v>-9.0</v>
      </c>
      <c r="V4" s="131">
        <v>-7.5</v>
      </c>
      <c r="W4" s="128">
        <v>255.0</v>
      </c>
      <c r="X4" s="131" t="s">
        <v>122</v>
      </c>
      <c r="Y4" s="131">
        <v>423.0</v>
      </c>
      <c r="Z4" s="131">
        <v>245.0</v>
      </c>
      <c r="AA4" s="132">
        <f t="shared" si="4"/>
        <v>-1</v>
      </c>
      <c r="AB4" s="131">
        <f t="shared" si="5"/>
        <v>0</v>
      </c>
      <c r="AC4" s="131">
        <f>IFERROR(__xludf.DUMMYFUNCTION("iferror(COUNT(filter($O5:$O$397,$O5:$O$397&gt;$O4)))"),3.0)</f>
        <v>3</v>
      </c>
      <c r="AD4" s="133">
        <f t="shared" si="6"/>
        <v>0</v>
      </c>
      <c r="AE4" s="134">
        <f t="shared" si="7"/>
        <v>0</v>
      </c>
      <c r="AF4" s="128" t="str">
        <f>IFERROR(__xludf.DUMMYFUNCTION("iferror(join("","",index(sort(filter($F5:$F$398,$O5:$O$398&gt;$O4),2,false),0,1)))"),"Michigan,Florida State,Washington")</f>
        <v>Michigan,Florida State,Washington</v>
      </c>
      <c r="AG4" s="132">
        <f>IFERROR(__xludf.DUMMYFUNCTION("iferror($O4-max(filter($O4:$O$397,$E4:$E$397=$E$2)))"),0.0)</f>
        <v>0</v>
      </c>
      <c r="AH4" s="131">
        <f t="shared" si="8"/>
        <v>0</v>
      </c>
      <c r="AI4" s="131">
        <f>IFERROR(__xludf.DUMMYFUNCTION("iferror(COUNT(filter($O5:$O$397,$O5:$O$397&gt;$O4,$E4:$E$397=$E$2)))"),0.0)</f>
        <v>0</v>
      </c>
      <c r="AJ4" s="133">
        <f t="shared" si="9"/>
        <v>1</v>
      </c>
      <c r="AK4" s="134">
        <f>IFERROR(__xludf.DUMMYFUNCTION("iferror($O4-min(filter($O4:$O$397,$E4:$E$397=$E$2)))"),9.0)</f>
        <v>9</v>
      </c>
      <c r="AL4" s="128" t="str">
        <f>IFERROR(__xludf.DUMMYFUNCTION("iferror(join("","",index(sort(filter($F5:$F$397,$O5:$O$397&gt;$O4,$E5:$E$397=$E$2),2,false),0,1)))"),"")</f>
        <v/>
      </c>
      <c r="AM4" s="128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4" s="132">
        <f>IFERROR(__xludf.DUMMYFUNCTION("iferror($O4-max(filter($O4:$O$397,arrayformula(isnumber(FIND($E4:$E$397,AM4))))))"),-1.0)</f>
        <v>-1</v>
      </c>
      <c r="AO4" s="131">
        <f t="array" ref="AO4">countifs($O$2:$O3,"&lt;"&amp;$O4,isnumber(FIND($E$2:$E3,AM4)),TRUE)</f>
        <v>0</v>
      </c>
      <c r="AP4" s="131">
        <f>IFERROR(__xludf.DUMMYFUNCTION("iferror(COUNT(filter($O5:$O$397,$O5:$O$397&gt;$O4,arrayformula(isnumber(FIND($E5:$E$397,AM4))))))"),3.0)</f>
        <v>3</v>
      </c>
      <c r="AQ4" s="133">
        <f t="shared" si="10"/>
        <v>0</v>
      </c>
      <c r="AR4" s="134">
        <f>IFERROR(__xludf.DUMMYFUNCTION("$O4-min(filter($O4:$O$397,arrayformula(isnumber(FIND($E4:$E$397,AM4)))))"),10.0)</f>
        <v>10</v>
      </c>
      <c r="AS4" s="128" t="str">
        <f>IFERROR(__xludf.DUMMYFUNCTION("iferror(join("","",index(sort(filter($F5:$F$397,$O5:$O$397&gt;$O4,arrayformula(isnumber(FIND($E5:$E$397,AM4)))),2,false),0,1)))"),"Michigan,Florida State,Washington")</f>
        <v>Michigan,Florida State,Washington</v>
      </c>
    </row>
    <row r="5">
      <c r="A5" s="23">
        <v>4.0</v>
      </c>
      <c r="B5" s="23">
        <v>1.0</v>
      </c>
      <c r="C5" s="23">
        <v>4.0</v>
      </c>
      <c r="D5" s="135" t="s">
        <v>60</v>
      </c>
      <c r="E5" s="136" t="str">
        <f>if(F5&lt;&gt;"",VLOOKUP(F5,offset('Teams-Conference'!A:B,0,(counta('Draft Order'!B$2:B134)-10)*2),2,0),"")</f>
        <v>SEC</v>
      </c>
      <c r="F5" s="137" t="s">
        <v>137</v>
      </c>
      <c r="G5" s="138" t="str">
        <f t="shared" si="1"/>
        <v/>
      </c>
      <c r="H5" s="127">
        <f t="shared" si="2"/>
        <v>2</v>
      </c>
      <c r="I5" s="127">
        <f t="shared" si="3"/>
        <v>2</v>
      </c>
      <c r="J5" s="128"/>
      <c r="K5" s="128"/>
      <c r="L5" s="127">
        <v>11.0</v>
      </c>
      <c r="M5" s="127">
        <f>IFERROR(__xludf.DUMMYFUNCTION("counta(iferror(filter(L$2:L4,E$2:E4=E5,L$2:L4&lt;L5)))"),0.0)</f>
        <v>0</v>
      </c>
      <c r="N5" s="127">
        <f>IFERROR(__xludf.DUMMYFUNCTION("counta(iferror(filter(L6:L$131,E6:E$131=E5,L6:L$136&gt;L5)))"),0.0)</f>
        <v>0</v>
      </c>
      <c r="O5" s="129">
        <f t="array" ref="O5:Z5">XLOOKUP(F5,'Current Week'!C:C,'Current Week'!D:O)</f>
        <v>11</v>
      </c>
      <c r="P5" s="127">
        <v>1.0</v>
      </c>
      <c r="Q5" s="128" t="s">
        <v>65</v>
      </c>
      <c r="R5" s="130">
        <v>45262.666666666664</v>
      </c>
      <c r="S5" s="128" t="s">
        <v>35</v>
      </c>
      <c r="T5" s="128"/>
      <c r="U5" s="128">
        <v>4.5</v>
      </c>
      <c r="V5" s="131">
        <v>6.5</v>
      </c>
      <c r="W5" s="128">
        <v>-220.0</v>
      </c>
      <c r="X5" s="131" t="s">
        <v>68</v>
      </c>
      <c r="Y5" s="131">
        <v>429.0</v>
      </c>
      <c r="Z5" s="131">
        <v>215.0</v>
      </c>
      <c r="AA5" s="132">
        <f t="shared" si="4"/>
        <v>-1</v>
      </c>
      <c r="AB5" s="131">
        <f t="shared" si="5"/>
        <v>0</v>
      </c>
      <c r="AC5" s="131">
        <f>IFERROR(__xludf.DUMMYFUNCTION("iferror(COUNT(filter($O6:$O$397,$O6:$O$397&gt;$O5)))"),3.0)</f>
        <v>3</v>
      </c>
      <c r="AD5" s="133">
        <f t="shared" si="6"/>
        <v>0</v>
      </c>
      <c r="AE5" s="134">
        <f t="shared" si="7"/>
        <v>0</v>
      </c>
      <c r="AF5" s="128" t="str">
        <f>IFERROR(__xludf.DUMMYFUNCTION("iferror(join("","",index(sort(filter($F6:$F$398,$O6:$O$398&gt;$O5),2,false),0,1)))"),"Michigan,Florida State,Washington")</f>
        <v>Michigan,Florida State,Washington</v>
      </c>
      <c r="AG5" s="132">
        <f>IFERROR(__xludf.DUMMYFUNCTION("iferror($O5-max(filter($O5:$O$397,$E5:$E$397=$E$2)))"),0.0)</f>
        <v>0</v>
      </c>
      <c r="AH5" s="131">
        <f t="shared" si="8"/>
        <v>0</v>
      </c>
      <c r="AI5" s="131">
        <f>IFERROR(__xludf.DUMMYFUNCTION("iferror(COUNT(filter($O6:$O$397,$O6:$O$397&gt;$O5,$E5:$E$397=$E$2)))"),0.0)</f>
        <v>0</v>
      </c>
      <c r="AJ5" s="133">
        <f t="shared" si="9"/>
        <v>1</v>
      </c>
      <c r="AK5" s="134">
        <f>IFERROR(__xludf.DUMMYFUNCTION("iferror($O5-min(filter($O5:$O$397,$E5:$E$397=$E$2)))"),9.0)</f>
        <v>9</v>
      </c>
      <c r="AL5" s="128" t="str">
        <f>IFERROR(__xludf.DUMMYFUNCTION("iferror(join("","",index(sort(filter($F6:$F$397,$O6:$O$397&gt;$O5,$E6:$E$397=$E$2),2,false),0,1)))"),"")</f>
        <v/>
      </c>
      <c r="AM5" s="128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5" s="132">
        <f>IFERROR(__xludf.DUMMYFUNCTION("iferror($O5-max(filter($O5:$O$397,arrayformula(isnumber(FIND($E5:$E$397,AM5))))))"),-1.0)</f>
        <v>-1</v>
      </c>
      <c r="AO5" s="131">
        <f t="array" ref="AO5">countifs($O$2:$O4,"&lt;"&amp;$O5,isnumber(FIND($E$2:$E4,AM5)),TRUE)</f>
        <v>0</v>
      </c>
      <c r="AP5" s="131">
        <f>IFERROR(__xludf.DUMMYFUNCTION("iferror(COUNT(filter($O6:$O$397,$O6:$O$397&gt;$O5,arrayformula(isnumber(FIND($E6:$E$397,AM5))))))"),3.0)</f>
        <v>3</v>
      </c>
      <c r="AQ5" s="133">
        <f t="shared" si="10"/>
        <v>0</v>
      </c>
      <c r="AR5" s="134">
        <f>IFERROR(__xludf.DUMMYFUNCTION("$O5-min(filter($O5:$O$397,arrayformula(isnumber(FIND($E5:$E$397,AM5)))))"),10.0)</f>
        <v>10</v>
      </c>
      <c r="AS5" s="128" t="str">
        <f>IFERROR(__xludf.DUMMYFUNCTION("iferror(join("","",index(sort(filter($F6:$F$397,$O6:$O$397&gt;$O5,arrayformula(isnumber(FIND($E6:$E$397,AM5)))),2,false),0,1)))"),"Michigan,Florida State,Washington")</f>
        <v>Michigan,Florida State,Washington</v>
      </c>
    </row>
    <row r="6">
      <c r="A6" s="23">
        <v>5.0</v>
      </c>
      <c r="B6" s="23">
        <v>1.0</v>
      </c>
      <c r="C6" s="23">
        <v>5.0</v>
      </c>
      <c r="D6" s="135" t="s">
        <v>46</v>
      </c>
      <c r="E6" s="136" t="str">
        <f>if(F6&lt;&gt;"",VLOOKUP(F6,offset('Teams-Conference'!A:B,0,(counta('Draft Order'!B$2:B134)-10)*2),2,0),"")</f>
        <v>AAC</v>
      </c>
      <c r="F6" s="140" t="s">
        <v>182</v>
      </c>
      <c r="G6" s="138" t="str">
        <f t="shared" si="1"/>
        <v/>
      </c>
      <c r="H6" s="127">
        <f t="shared" si="2"/>
        <v>0</v>
      </c>
      <c r="I6" s="127">
        <f t="shared" si="3"/>
        <v>1</v>
      </c>
      <c r="J6" s="128"/>
      <c r="K6" s="128"/>
      <c r="L6" s="127">
        <v>11.0</v>
      </c>
      <c r="M6" s="127">
        <f>IFERROR(__xludf.DUMMYFUNCTION("counta(iferror(filter(L$2:L5,E$2:E5=E6,L$2:L5&lt;L6)))"),0.0)</f>
        <v>0</v>
      </c>
      <c r="N6" s="127">
        <f>IFERROR(__xludf.DUMMYFUNCTION("counta(iferror(filter(L7:L$131,E7:E$131=E6,L7:L$136&gt;L6)))"),0.0)</f>
        <v>0</v>
      </c>
      <c r="O6" s="129">
        <f t="array" ref="O6:Z6">XLOOKUP(F6,'Current Week'!C:C,'Current Week'!D:O)</f>
        <v>11</v>
      </c>
      <c r="P6" s="127">
        <v>1.0</v>
      </c>
      <c r="Q6" s="128" t="s">
        <v>107</v>
      </c>
      <c r="R6" s="130">
        <v>45262.666666666664</v>
      </c>
      <c r="S6" s="128" t="s">
        <v>60</v>
      </c>
      <c r="T6" s="128" t="s">
        <v>82</v>
      </c>
      <c r="U6" s="128">
        <v>-6.0</v>
      </c>
      <c r="V6" s="131">
        <v>-3.5</v>
      </c>
      <c r="W6" s="128">
        <v>132.0</v>
      </c>
      <c r="X6" s="131" t="s">
        <v>151</v>
      </c>
      <c r="Y6" s="131">
        <v>335.0</v>
      </c>
      <c r="Z6" s="131">
        <v>220.0</v>
      </c>
      <c r="AA6" s="132">
        <f t="shared" si="4"/>
        <v>-1</v>
      </c>
      <c r="AB6" s="131">
        <f t="shared" si="5"/>
        <v>0</v>
      </c>
      <c r="AC6" s="131">
        <f>IFERROR(__xludf.DUMMYFUNCTION("iferror(COUNT(filter($O7:$O$397,$O7:$O$397&gt;$O6)))"),3.0)</f>
        <v>3</v>
      </c>
      <c r="AD6" s="133">
        <f t="shared" si="6"/>
        <v>0</v>
      </c>
      <c r="AE6" s="134">
        <f t="shared" si="7"/>
        <v>0</v>
      </c>
      <c r="AF6" s="128" t="str">
        <f>IFERROR(__xludf.DUMMYFUNCTION("iferror(join("","",index(sort(filter($F7:$F$398,$O7:$O$398&gt;$O6),2,false),0,1)))"),"Michigan,Florida State,Washington")</f>
        <v>Michigan,Florida State,Washington</v>
      </c>
      <c r="AG6" s="132">
        <f>IFERROR(__xludf.DUMMYFUNCTION("iferror($O6-max(filter($O6:$O$397,$E6:$E$397=$E$2)))"),1.0)</f>
        <v>1</v>
      </c>
      <c r="AH6" s="131">
        <f t="shared" si="8"/>
        <v>0</v>
      </c>
      <c r="AI6" s="131">
        <f>IFERROR(__xludf.DUMMYFUNCTION("iferror(COUNT(filter($O7:$O$397,$O7:$O$397&gt;$O6,$E6:$E$397=$E$2)))"),0.0)</f>
        <v>0</v>
      </c>
      <c r="AJ6" s="133">
        <f t="shared" si="9"/>
        <v>0</v>
      </c>
      <c r="AK6" s="134">
        <f>IFERROR(__xludf.DUMMYFUNCTION("iferror($O6-min(filter($O6:$O$397,$E6:$E$397=$E$2)))"),9.0)</f>
        <v>9</v>
      </c>
      <c r="AL6" s="128" t="str">
        <f>IFERROR(__xludf.DUMMYFUNCTION("iferror(join("","",index(sort(filter($F7:$F$397,$O7:$O$397&gt;$O6,$E7:$E$397=$E$2),2,false),0,1)))"),"")</f>
        <v/>
      </c>
      <c r="AM6" s="128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6" s="132">
        <f>IFERROR(__xludf.DUMMYFUNCTION("iferror($O6-max(filter($O6:$O$397,arrayformula(isnumber(FIND($E6:$E$397,AM6))))))"),-1.0)</f>
        <v>-1</v>
      </c>
      <c r="AO6" s="131">
        <f t="array" ref="AO6">countifs($O$2:$O5,"&lt;"&amp;$O6,isnumber(FIND($E$2:$E5,AM6)),TRUE)</f>
        <v>0</v>
      </c>
      <c r="AP6" s="131">
        <f>IFERROR(__xludf.DUMMYFUNCTION("iferror(COUNT(filter($O7:$O$397,$O7:$O$397&gt;$O6,arrayformula(isnumber(FIND($E7:$E$397,AM6))))))"),3.0)</f>
        <v>3</v>
      </c>
      <c r="AQ6" s="133">
        <f t="shared" si="10"/>
        <v>0</v>
      </c>
      <c r="AR6" s="134">
        <f>IFERROR(__xludf.DUMMYFUNCTION("$O6-min(filter($O6:$O$397,arrayformula(isnumber(FIND($E6:$E$397,AM6)))))"),10.0)</f>
        <v>10</v>
      </c>
      <c r="AS6" s="128" t="str">
        <f>IFERROR(__xludf.DUMMYFUNCTION("iferror(join("","",index(sort(filter($F7:$F$397,$O7:$O$397&gt;$O6,arrayformula(isnumber(FIND($E7:$E$397,AM6)))),2,false),0,1)))"),"Michigan,Florida State,Washington")</f>
        <v>Michigan,Florida State,Washington</v>
      </c>
    </row>
    <row r="7">
      <c r="A7" s="23">
        <v>6.0</v>
      </c>
      <c r="B7" s="23">
        <v>1.0</v>
      </c>
      <c r="C7" s="23">
        <v>6.0</v>
      </c>
      <c r="D7" s="135" t="s">
        <v>70</v>
      </c>
      <c r="E7" s="136" t="str">
        <f>if(F7&lt;&gt;"",VLOOKUP(F7,offset('Teams-Conference'!A:B,0,(counta('Draft Order'!B$2:B134)-10)*2),2,0),"")</f>
        <v>ACC</v>
      </c>
      <c r="F7" s="137" t="s">
        <v>191</v>
      </c>
      <c r="G7" s="138" t="str">
        <f t="shared" si="1"/>
        <v/>
      </c>
      <c r="H7" s="127">
        <f t="shared" si="2"/>
        <v>1</v>
      </c>
      <c r="I7" s="127">
        <f t="shared" si="3"/>
        <v>2</v>
      </c>
      <c r="J7" s="128"/>
      <c r="K7" s="128"/>
      <c r="L7" s="127">
        <v>8.0</v>
      </c>
      <c r="M7" s="127">
        <f>IFERROR(__xludf.DUMMYFUNCTION("counta(iferror(filter(L$2:L6,E$2:E6=E7,L$2:L6&lt;L7)))"),0.0)</f>
        <v>0</v>
      </c>
      <c r="N7" s="127">
        <f>IFERROR(__xludf.DUMMYFUNCTION("counta(iferror(filter(L8:L$131,E8:E$131=E7,L8:L$136&gt;L7)))"),0.0)</f>
        <v>0</v>
      </c>
      <c r="O7" s="129">
        <f t="array" ref="O7:Z7">XLOOKUP(F7,'Current Week'!C:C,'Current Week'!D:O)</f>
        <v>8</v>
      </c>
      <c r="P7" s="127">
        <v>4.0</v>
      </c>
      <c r="Q7" s="128"/>
      <c r="R7" s="128"/>
      <c r="S7" s="128"/>
      <c r="T7" s="128"/>
      <c r="U7" s="128"/>
      <c r="V7" s="131"/>
      <c r="W7" s="128"/>
      <c r="X7" s="131"/>
      <c r="Y7" s="131">
        <v>350.0</v>
      </c>
      <c r="Z7" s="131">
        <v>239.0</v>
      </c>
      <c r="AA7" s="132">
        <f t="shared" si="4"/>
        <v>-4</v>
      </c>
      <c r="AB7" s="131">
        <f t="shared" si="5"/>
        <v>0</v>
      </c>
      <c r="AC7" s="131">
        <f>IFERROR(__xludf.DUMMYFUNCTION("iferror(COUNT(filter($O8:$O$397,$O8:$O$397&gt;$O7)))"),26.0)</f>
        <v>26</v>
      </c>
      <c r="AD7" s="133">
        <f t="shared" si="6"/>
        <v>0</v>
      </c>
      <c r="AE7" s="134">
        <f t="shared" si="7"/>
        <v>0</v>
      </c>
      <c r="AF7" s="128" t="str">
        <f>IFERROR(__xludf.DUMMYFUNCTION("iferror(join("","",index(sort(filter($F8:$F$398,$O8:$O$398&gt;$O7),2,false),0,1)))"),"Ohio State,Michigan,LSU,Florida State,Texas,Troy,Oklahoma,Penn State,Memphis,Oregon,Notre Dame,SMU,Washington,Ohio,Oklahoma State,Iowa,James Madison,Miami-OH,Ole Miss,Louisville,New Mexico State,NC State,UNLV,Arizona,Missouri,West Virginia")</f>
        <v>Ohio State,Michigan,LSU,Florida State,Texas,Troy,Oklahoma,Penn State,Memphis,Oregon,Notre Dame,SMU,Washington,Ohio,Oklahoma State,Iowa,James Madison,Miami-OH,Ole Miss,Louisville,New Mexico State,NC State,UNLV,Arizona,Missouri,West Virginia</v>
      </c>
      <c r="AG7" s="132">
        <f>IFERROR(__xludf.DUMMYFUNCTION("iferror($O7-max(filter($O7:$O$397,$E7:$E$397=$E$2)))"),-2.0)</f>
        <v>-2</v>
      </c>
      <c r="AH7" s="131">
        <f t="shared" si="8"/>
        <v>0</v>
      </c>
      <c r="AI7" s="131">
        <f>IFERROR(__xludf.DUMMYFUNCTION("iferror(COUNT(filter($O8:$O$397,$O8:$O$397&gt;$O7,$E7:$E$397=$E$2)))"),0.0)</f>
        <v>0</v>
      </c>
      <c r="AJ7" s="133">
        <f t="shared" si="9"/>
        <v>0</v>
      </c>
      <c r="AK7" s="134">
        <f>IFERROR(__xludf.DUMMYFUNCTION("iferror($O7-min(filter($O7:$O$397,$E7:$E$397=$E$2)))"),6.0)</f>
        <v>6</v>
      </c>
      <c r="AL7" s="128" t="str">
        <f>IFERROR(__xludf.DUMMYFUNCTION("iferror(join("","",index(sort(filter($F8:$F$397,$O8:$O$397&gt;$O7,$E8:$E$397=$E$2),2,false),0,1)))"),"LSU,Ole Miss,Missouri")</f>
        <v>LSU,Ole Miss,Missouri</v>
      </c>
      <c r="AM7" s="128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7" s="132">
        <f>IFERROR(__xludf.DUMMYFUNCTION("iferror($O7-max(filter($O7:$O$397,arrayformula(isnumber(FIND($E7:$E$397,AM7))))))"),-4.0)</f>
        <v>-4</v>
      </c>
      <c r="AO7" s="131">
        <f t="array" ref="AO7">countifs($O$2:$O6,"&lt;"&amp;$O7,isnumber(FIND($E$2:$E6,AM7)),TRUE)</f>
        <v>0</v>
      </c>
      <c r="AP7" s="131">
        <f>IFERROR(__xludf.DUMMYFUNCTION("iferror(COUNT(filter($O8:$O$397,$O8:$O$397&gt;$O7,arrayformula(isnumber(FIND($E8:$E$397,AM7))))))"),26.0)</f>
        <v>26</v>
      </c>
      <c r="AQ7" s="133">
        <f t="shared" si="10"/>
        <v>0</v>
      </c>
      <c r="AR7" s="134">
        <f>IFERROR(__xludf.DUMMYFUNCTION("$O7-min(filter($O7:$O$397,arrayformula(isnumber(FIND($E7:$E$397,AM7)))))"),7.0)</f>
        <v>7</v>
      </c>
      <c r="AS7" s="128" t="str">
        <f>IFERROR(__xludf.DUMMYFUNCTION("iferror(join("","",index(sort(filter($F8:$F$397,$O8:$O$397&gt;$O7,arrayformula(isnumber(FIND($E8:$E$397,AM7)))),2,false),0,1)))"),"Ohio State,Michigan,LSU,Florida State,Texas,Troy,Oklahoma,Penn State,Memphis,Oregon,Notre Dame,SMU,Washington,Ohio,Oklahoma State,Iowa,James Madison,Miami-OH,Ole Miss,Louisville,New Mexico State,NC State,UNLV,Arizona,Missouri,West Virginia")</f>
        <v>Ohio State,Michigan,LSU,Florida State,Texas,Troy,Oklahoma,Penn State,Memphis,Oregon,Notre Dame,SMU,Washington,Ohio,Oklahoma State,Iowa,James Madison,Miami-OH,Ole Miss,Louisville,New Mexico State,NC State,UNLV,Arizona,Missouri,West Virginia</v>
      </c>
    </row>
    <row r="8">
      <c r="A8" s="23">
        <v>7.0</v>
      </c>
      <c r="B8" s="23">
        <v>1.0</v>
      </c>
      <c r="C8" s="23">
        <v>7.0</v>
      </c>
      <c r="D8" s="135" t="s">
        <v>57</v>
      </c>
      <c r="E8" s="136" t="str">
        <f>if(F8&lt;&gt;"",VLOOKUP(F8,offset('Teams-Conference'!A:B,0,(counta('Draft Order'!B$2:B134)-10)*2),2,0),"")</f>
        <v>Big Ten</v>
      </c>
      <c r="F8" s="140" t="s">
        <v>200</v>
      </c>
      <c r="G8" s="138" t="str">
        <f t="shared" si="1"/>
        <v/>
      </c>
      <c r="H8" s="127">
        <f t="shared" si="2"/>
        <v>1</v>
      </c>
      <c r="I8" s="127">
        <f t="shared" si="3"/>
        <v>2</v>
      </c>
      <c r="J8" s="128"/>
      <c r="K8" s="128"/>
      <c r="L8" s="127">
        <v>11.0</v>
      </c>
      <c r="M8" s="127">
        <f>IFERROR(__xludf.DUMMYFUNCTION("counta(iferror(filter(L$2:L7,E$2:E7=E8,L$2:L7&lt;L8)))"),0.0)</f>
        <v>0</v>
      </c>
      <c r="N8" s="127">
        <f>IFERROR(__xludf.DUMMYFUNCTION("counta(iferror(filter(L9:L$131,E9:E$131=E8,L9:L$136&gt;L8)))"),0.0)</f>
        <v>0</v>
      </c>
      <c r="O8" s="129">
        <f t="array" ref="O8:Z8">XLOOKUP(F8,'Current Week'!C:C,'Current Week'!D:O)</f>
        <v>11</v>
      </c>
      <c r="P8" s="127">
        <v>1.0</v>
      </c>
      <c r="Q8" s="128"/>
      <c r="R8" s="128"/>
      <c r="S8" s="128"/>
      <c r="T8" s="128"/>
      <c r="U8" s="128"/>
      <c r="V8" s="131"/>
      <c r="W8" s="128"/>
      <c r="X8" s="131"/>
      <c r="Y8" s="131">
        <v>394.0</v>
      </c>
      <c r="Z8" s="131">
        <v>132.0</v>
      </c>
      <c r="AA8" s="132">
        <f t="shared" si="4"/>
        <v>-1</v>
      </c>
      <c r="AB8" s="131">
        <f t="shared" si="5"/>
        <v>1</v>
      </c>
      <c r="AC8" s="131">
        <f>IFERROR(__xludf.DUMMYFUNCTION("iferror(COUNT(filter($O9:$O$397,$O9:$O$397&gt;$O8)))"),3.0)</f>
        <v>3</v>
      </c>
      <c r="AD8" s="133">
        <f t="shared" si="6"/>
        <v>0</v>
      </c>
      <c r="AE8" s="134">
        <f t="shared" si="7"/>
        <v>3</v>
      </c>
      <c r="AF8" s="128" t="str">
        <f>IFERROR(__xludf.DUMMYFUNCTION("iferror(join("","",index(sort(filter($F9:$F$398,$O9:$O$398&gt;$O8),2,false),0,1)))"),"Michigan,Florida State,Washington")</f>
        <v>Michigan,Florida State,Washington</v>
      </c>
      <c r="AG8" s="132">
        <f>IFERROR(__xludf.DUMMYFUNCTION("iferror($O8-max(filter($O8:$O$397,$E8:$E$397=$E$2)))"),1.0)</f>
        <v>1</v>
      </c>
      <c r="AH8" s="131">
        <f t="shared" si="8"/>
        <v>0</v>
      </c>
      <c r="AI8" s="131">
        <f>IFERROR(__xludf.DUMMYFUNCTION("iferror(COUNT(filter($O9:$O$397,$O9:$O$397&gt;$O8,$E8:$E$397=$E$2)))"),0.0)</f>
        <v>0</v>
      </c>
      <c r="AJ8" s="133">
        <f t="shared" si="9"/>
        <v>0</v>
      </c>
      <c r="AK8" s="134">
        <f>IFERROR(__xludf.DUMMYFUNCTION("iferror($O8-min(filter($O8:$O$397,$E8:$E$397=$E$2)))"),9.0)</f>
        <v>9</v>
      </c>
      <c r="AL8" s="128" t="str">
        <f>IFERROR(__xludf.DUMMYFUNCTION("iferror(join("","",index(sort(filter($F9:$F$397,$O9:$O$397&gt;$O8,$E9:$E$397=$E$2),2,false),0,1)))"),"")</f>
        <v/>
      </c>
      <c r="AM8" s="128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8" s="132">
        <f>IFERROR(__xludf.DUMMYFUNCTION("iferror($O8-max(filter($O8:$O$397,arrayformula(isnumber(FIND($E8:$E$397,AM8))))))"),-1.0)</f>
        <v>-1</v>
      </c>
      <c r="AO8" s="131">
        <f t="array" ref="AO8">countifs($O$2:$O7,"&lt;"&amp;$O8,isnumber(FIND($E$2:$E7,AM8)),TRUE)</f>
        <v>1</v>
      </c>
      <c r="AP8" s="131">
        <f>IFERROR(__xludf.DUMMYFUNCTION("iferror(COUNT(filter($O9:$O$397,$O9:$O$397&gt;$O8,arrayformula(isnumber(FIND($E9:$E$397,AM8))))))"),3.0)</f>
        <v>3</v>
      </c>
      <c r="AQ8" s="133">
        <f t="shared" si="10"/>
        <v>0</v>
      </c>
      <c r="AR8" s="134">
        <f>IFERROR(__xludf.DUMMYFUNCTION("$O8-min(filter($O8:$O$397,arrayformula(isnumber(FIND($E8:$E$397,AM8)))))"),10.0)</f>
        <v>10</v>
      </c>
      <c r="AS8" s="128" t="str">
        <f>IFERROR(__xludf.DUMMYFUNCTION("iferror(join("","",index(sort(filter($F9:$F$397,$O9:$O$397&gt;$O8,arrayformula(isnumber(FIND($E9:$E$397,AM8)))),2,false),0,1)))"),"Michigan,Florida State,Washington")</f>
        <v>Michigan,Florida State,Washington</v>
      </c>
    </row>
    <row r="9" ht="18.0" customHeight="1">
      <c r="A9" s="23">
        <v>8.0</v>
      </c>
      <c r="B9" s="23">
        <v>1.0</v>
      </c>
      <c r="C9" s="23">
        <v>8.0</v>
      </c>
      <c r="D9" s="135" t="s">
        <v>67</v>
      </c>
      <c r="E9" s="136" t="str">
        <f>if(F9&lt;&gt;"",VLOOKUP(F9,offset('Teams-Conference'!A:B,0,(counta('Draft Order'!B$2:B134)-10)*2),2,0),"")</f>
        <v>Sun Belt</v>
      </c>
      <c r="F9" s="140" t="s">
        <v>205</v>
      </c>
      <c r="G9" s="138" t="str">
        <f t="shared" si="1"/>
        <v/>
      </c>
      <c r="H9" s="127">
        <f t="shared" si="2"/>
        <v>0</v>
      </c>
      <c r="I9" s="127">
        <f t="shared" si="3"/>
        <v>1</v>
      </c>
      <c r="J9" s="128"/>
      <c r="K9" s="128"/>
      <c r="L9" s="127">
        <v>6.0</v>
      </c>
      <c r="M9" s="127">
        <f>IFERROR(__xludf.DUMMYFUNCTION("counta(iferror(filter(L$2:L8,E$2:E8=E9,L$2:L8&lt;L9)))"),0.0)</f>
        <v>0</v>
      </c>
      <c r="N9" s="127">
        <f>IFERROR(__xludf.DUMMYFUNCTION("counta(iferror(filter(L10:L$131,E10:E$131=E9,L10:L$136&gt;L9)))"),0.0)</f>
        <v>0</v>
      </c>
      <c r="O9" s="129">
        <f t="array" ref="O9:Z9">XLOOKUP(F9,'Current Week'!C:C,'Current Week'!D:O)</f>
        <v>6</v>
      </c>
      <c r="P9" s="127">
        <v>6.0</v>
      </c>
      <c r="Q9" s="128"/>
      <c r="R9" s="128"/>
      <c r="S9" s="128"/>
      <c r="T9" s="128"/>
      <c r="U9" s="128"/>
      <c r="V9" s="131"/>
      <c r="W9" s="128"/>
      <c r="X9" s="131"/>
      <c r="Y9" s="131">
        <v>371.0</v>
      </c>
      <c r="Z9" s="131">
        <v>263.0</v>
      </c>
      <c r="AA9" s="132">
        <f t="shared" si="4"/>
        <v>-6</v>
      </c>
      <c r="AB9" s="131">
        <f t="shared" si="5"/>
        <v>0</v>
      </c>
      <c r="AC9" s="131">
        <f>IFERROR(__xludf.DUMMYFUNCTION("iferror(COUNT(filter($O10:$O$397,$O10:$O$397&gt;$O9)))"),53.0)</f>
        <v>53</v>
      </c>
      <c r="AD9" s="133">
        <f t="shared" si="6"/>
        <v>0</v>
      </c>
      <c r="AE9" s="134">
        <f t="shared" si="7"/>
        <v>0</v>
      </c>
      <c r="AF9" s="128" t="str">
        <f>IFERROR(__xludf.DUMMYFUNCTION("iferror(join("","",index(sort(filter($F10:$F$398,$O10:$O$398&gt;$O9),2,false),0,1)))"),"Michigan,Western Kentucky,LSU,Florida State,Tennessee,Texas,Air Force,Fresno State,Boise State,North Carolina,USC,Troy,Oklahoma,Penn State,Memphis,Oregon,Kansas State,UCLA,Notre Dame,SMU,Washington,UTSA,Ohio,Utah,Oregon State,Wisconsin,Oklahoma State,Iowa"&amp;",James Madison,Miami-OH,Ole Miss,Coastal Carolina,Louisville,Miami,Appalachian State,Wyoming,New Mexico State,Maryland,NC State,Jacksonville State,UNLV,San José State,Duke,Kansas,Bowling Green,Texas A&amp;M,Arizona,Kentucky,Iowa State,Texas State,Missouri,Nor"&amp;"thwestern,West Virginia")</f>
        <v>Michigan,Western Kentucky,LSU,Florida State,Tennessee,Texas,Air Force,Fresno State,Boise State,North Carolina,USC,Troy,Oklahoma,Penn State,Memphis,Oregon,Kansas State,UCLA,Notre Dame,SMU,Washington,UTSA,Ohio,Utah,Oregon State,Wisconsin,Oklahoma State,Iowa,James Madison,Miami-OH,Ole Miss,Coastal Carolina,Louisville,Miami,Appalachian State,Wyoming,New Mexico State,Maryland,NC State,Jacksonville State,UNLV,San José State,Duke,Kansas,Bowling Green,Texas A&amp;M,Arizona,Kentucky,Iowa State,Texas State,Missouri,Northwestern,West Virginia</v>
      </c>
      <c r="AG9" s="132">
        <f>IFERROR(__xludf.DUMMYFUNCTION("iferror($O9-max(filter($O9:$O$397,$E9:$E$397=$E$2)))"),-4.0)</f>
        <v>-4</v>
      </c>
      <c r="AH9" s="131">
        <f t="shared" si="8"/>
        <v>0</v>
      </c>
      <c r="AI9" s="131">
        <f>IFERROR(__xludf.DUMMYFUNCTION("iferror(COUNT(filter($O10:$O$397,$O10:$O$397&gt;$O9,$E9:$E$397=$E$2)))"),0.0)</f>
        <v>0</v>
      </c>
      <c r="AJ9" s="133">
        <f t="shared" si="9"/>
        <v>0</v>
      </c>
      <c r="AK9" s="134">
        <f>IFERROR(__xludf.DUMMYFUNCTION("iferror($O9-min(filter($O9:$O$397,$E9:$E$397=$E$2)))"),4.0)</f>
        <v>4</v>
      </c>
      <c r="AL9" s="128" t="str">
        <f>IFERROR(__xludf.DUMMYFUNCTION("iferror(join("","",index(sort(filter($F10:$F$397,$O10:$O$397&gt;$O9,$E10:$E$397=$E$2),2,false),0,1)))"),"LSU,Tennessee,Ole Miss,Texas A&amp;M,Kentucky,Missouri")</f>
        <v>LSU,Tennessee,Ole Miss,Texas A&amp;M,Kentucky,Missouri</v>
      </c>
      <c r="AM9" s="128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9" s="132">
        <f>IFERROR(__xludf.DUMMYFUNCTION("iferror($O9-max(filter($O9:$O$397,arrayformula(isnumber(FIND($E9:$E$397,AM9))))))"),-6.0)</f>
        <v>-6</v>
      </c>
      <c r="AO9" s="131">
        <f t="array" ref="AO9">countifs($O$2:$O8,"&lt;"&amp;$O9,isnumber(FIND($E$2:$E8,AM9)),TRUE)</f>
        <v>0</v>
      </c>
      <c r="AP9" s="131">
        <f>IFERROR(__xludf.DUMMYFUNCTION("iferror(COUNT(filter($O10:$O$397,$O10:$O$397&gt;$O9,arrayformula(isnumber(FIND($E10:$E$397,AM9))))))"),53.0)</f>
        <v>53</v>
      </c>
      <c r="AQ9" s="133">
        <f t="shared" si="10"/>
        <v>0</v>
      </c>
      <c r="AR9" s="134">
        <f>IFERROR(__xludf.DUMMYFUNCTION("$O9-min(filter($O9:$O$397,arrayformula(isnumber(FIND($E9:$E$397,AM9)))))"),5.0)</f>
        <v>5</v>
      </c>
      <c r="AS9" s="128" t="str">
        <f>IFERROR(__xludf.DUMMYFUNCTION("iferror(join("","",index(sort(filter($F10:$F$397,$O10:$O$397&gt;$O9,arrayformula(isnumber(FIND($E10:$E$397,AM9)))),2,false),0,1)))"),"Michigan,Western Kentucky,LSU,Florida State,Tennessee,Texas,Air Force,Fresno State,Boise State,North Carolina,USC,Troy,Oklahoma,Penn State,Memphis,Oregon,Kansas State,UCLA,Notre Dame,SMU,Washington,UTSA,Ohio,Utah,Oregon State,Wisconsin,Oklahoma State,Iowa"&amp;",James Madison,Miami-OH,Ole Miss,Coastal Carolina,Louisville,Miami,Appalachian State,Wyoming,New Mexico State,Maryland,NC State,Jacksonville State,UNLV,San José State,Duke,Kansas,Bowling Green,Texas A&amp;M,Arizona,Kentucky,Iowa State,Texas State,Missouri,Nor"&amp;"thwestern,West Virginia")</f>
        <v>Michigan,Western Kentucky,LSU,Florida State,Tennessee,Texas,Air Force,Fresno State,Boise State,North Carolina,USC,Troy,Oklahoma,Penn State,Memphis,Oregon,Kansas State,UCLA,Notre Dame,SMU,Washington,UTSA,Ohio,Utah,Oregon State,Wisconsin,Oklahoma State,Iowa,James Madison,Miami-OH,Ole Miss,Coastal Carolina,Louisville,Miami,Appalachian State,Wyoming,New Mexico State,Maryland,NC State,Jacksonville State,UNLV,San José State,Duke,Kansas,Bowling Green,Texas A&amp;M,Arizona,Kentucky,Iowa State,Texas State,Missouri,Northwestern,West Virginia</v>
      </c>
    </row>
    <row r="10" ht="18.0" customHeight="1">
      <c r="A10" s="23">
        <v>9.0</v>
      </c>
      <c r="B10" s="23">
        <v>1.0</v>
      </c>
      <c r="C10" s="23">
        <v>9.0</v>
      </c>
      <c r="D10" s="135" t="s">
        <v>59</v>
      </c>
      <c r="E10" s="136" t="str">
        <f>if(F10&lt;&gt;"",VLOOKUP(F10,offset('Teams-Conference'!A:B,0,(counta('Draft Order'!B$2:B134)-10)*2),2,0),"")</f>
        <v>Big Ten</v>
      </c>
      <c r="F10" s="140" t="s">
        <v>209</v>
      </c>
      <c r="G10" s="138" t="str">
        <f t="shared" si="1"/>
        <v/>
      </c>
      <c r="H10" s="127">
        <f t="shared" si="2"/>
        <v>0</v>
      </c>
      <c r="I10" s="127">
        <f t="shared" si="3"/>
        <v>1</v>
      </c>
      <c r="J10" s="128"/>
      <c r="K10" s="128"/>
      <c r="L10" s="127">
        <v>12.0</v>
      </c>
      <c r="M10" s="127">
        <f>IFERROR(__xludf.DUMMYFUNCTION("counta(iferror(filter(L$2:L10,E$2:E10=E10,L$2:L10&lt;L10)))"),1.0)</f>
        <v>1</v>
      </c>
      <c r="N10" s="127">
        <f>IFERROR(__xludf.DUMMYFUNCTION("counta(iferror(filter(L11:L$131,E11:E$131=E10,L11:L$136&gt;L10)))"),0.0)</f>
        <v>0</v>
      </c>
      <c r="O10" s="129">
        <f t="array" ref="O10:Z10">XLOOKUP(F10,'Current Week'!C:C,'Current Week'!D:O)</f>
        <v>12</v>
      </c>
      <c r="P10" s="127">
        <v>0.0</v>
      </c>
      <c r="Q10" s="128" t="s">
        <v>211</v>
      </c>
      <c r="R10" s="130">
        <v>45262.833333333336</v>
      </c>
      <c r="S10" s="128" t="s">
        <v>61</v>
      </c>
      <c r="T10" s="128" t="s">
        <v>92</v>
      </c>
      <c r="U10" s="128">
        <v>-21.5</v>
      </c>
      <c r="V10" s="131">
        <v>-22.5</v>
      </c>
      <c r="W10" s="128">
        <v>-4000.0</v>
      </c>
      <c r="X10" s="131" t="s">
        <v>212</v>
      </c>
      <c r="Y10" s="131">
        <v>451.0</v>
      </c>
      <c r="Z10" s="131">
        <v>123.0</v>
      </c>
      <c r="AA10" s="132">
        <f t="shared" si="4"/>
        <v>0</v>
      </c>
      <c r="AB10" s="131">
        <f t="shared" si="5"/>
        <v>6</v>
      </c>
      <c r="AC10" s="131">
        <f>IFERROR(__xludf.DUMMYFUNCTION("iferror(COUNT(filter($O11:$O$397,$O11:$O$397&gt;$O10)))"),0.0)</f>
        <v>0</v>
      </c>
      <c r="AD10" s="133">
        <f t="shared" si="6"/>
        <v>1</v>
      </c>
      <c r="AE10" s="134">
        <f t="shared" si="7"/>
        <v>6</v>
      </c>
      <c r="AF10" s="128" t="str">
        <f>IFERROR(__xludf.DUMMYFUNCTION("iferror(join("","",index(sort(filter($F11:$F$398,$O11:$O$398&gt;$O10),2,false),0,1)))"),"")</f>
        <v/>
      </c>
      <c r="AG10" s="132">
        <f>IFERROR(__xludf.DUMMYFUNCTION("iferror($O10-max(filter($O10:$O$397,$E10:$E$397=$E$2)))"),2.0)</f>
        <v>2</v>
      </c>
      <c r="AH10" s="131">
        <f t="shared" si="8"/>
        <v>1</v>
      </c>
      <c r="AI10" s="131">
        <f>IFERROR(__xludf.DUMMYFUNCTION("iferror(COUNT(filter($O11:$O$397,$O11:$O$397&gt;$O10,$E10:$E$397=$E$2)))"),0.0)</f>
        <v>0</v>
      </c>
      <c r="AJ10" s="133">
        <f t="shared" si="9"/>
        <v>0</v>
      </c>
      <c r="AK10" s="134">
        <f>IFERROR(__xludf.DUMMYFUNCTION("iferror($O10-min(filter($O10:$O$397,$E10:$E$397=$E$2)))"),10.0)</f>
        <v>10</v>
      </c>
      <c r="AL10" s="128" t="str">
        <f>IFERROR(__xludf.DUMMYFUNCTION("iferror(join("","",index(sort(filter($F11:$F$397,$O11:$O$397&gt;$O10,$E11:$E$397=$E$2),2,false),0,1)))"),"")</f>
        <v/>
      </c>
      <c r="AM10" s="128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" s="132">
        <f>IFERROR(__xludf.DUMMYFUNCTION("iferror($O10-max(filter($O10:$O$397,arrayformula(isnumber(FIND($E10:$E$397,AM10))))))"),0.0)</f>
        <v>0</v>
      </c>
      <c r="AO10" s="131">
        <f t="array" ref="AO10">countifs($O$2:$O9,"&lt;"&amp;$O10,isnumber(FIND($E$2:$E9,AM10)),TRUE)</f>
        <v>6</v>
      </c>
      <c r="AP10" s="131">
        <f>IFERROR(__xludf.DUMMYFUNCTION("iferror(COUNT(filter($O11:$O$397,$O11:$O$397&gt;$O10,arrayformula(isnumber(FIND($E11:$E$397,AM10))))))"),0.0)</f>
        <v>0</v>
      </c>
      <c r="AQ10" s="133">
        <f t="shared" si="10"/>
        <v>1</v>
      </c>
      <c r="AR10" s="134">
        <f>IFERROR(__xludf.DUMMYFUNCTION("$O10-min(filter($O10:$O$397,arrayformula(isnumber(FIND($E10:$E$397,AM10)))))"),11.0)</f>
        <v>11</v>
      </c>
      <c r="AS10" s="128" t="str">
        <f>IFERROR(__xludf.DUMMYFUNCTION("iferror(join("","",index(sort(filter($F11:$F$397,$O11:$O$397&gt;$O10,arrayformula(isnumber(FIND($E11:$E$397,AM10)))),2,false),0,1)))"),"")</f>
        <v/>
      </c>
    </row>
    <row r="11">
      <c r="A11" s="23">
        <v>10.0</v>
      </c>
      <c r="B11" s="23">
        <v>1.0</v>
      </c>
      <c r="C11" s="23">
        <v>10.0</v>
      </c>
      <c r="D11" s="135" t="s">
        <v>62</v>
      </c>
      <c r="E11" s="136" t="str">
        <f>if(F11&lt;&gt;"",VLOOKUP(F11,offset('Teams-Conference'!A:B,0,(counta('Draft Order'!B$2:B134)-10)*2),2,0),"")</f>
        <v>CUSA</v>
      </c>
      <c r="F11" s="140" t="s">
        <v>215</v>
      </c>
      <c r="G11" s="138" t="str">
        <f t="shared" si="1"/>
        <v/>
      </c>
      <c r="H11" s="127">
        <f t="shared" si="2"/>
        <v>1</v>
      </c>
      <c r="I11" s="127">
        <f t="shared" si="3"/>
        <v>1</v>
      </c>
      <c r="J11" s="128"/>
      <c r="K11" s="128"/>
      <c r="L11" s="127">
        <v>7.0</v>
      </c>
      <c r="M11" s="127">
        <f>IFERROR(__xludf.DUMMYFUNCTION("counta(iferror(filter(L$2:L10,E$2:E10=E11,L$2:L10&lt;L11)))"),0.0)</f>
        <v>0</v>
      </c>
      <c r="N11" s="127">
        <f>IFERROR(__xludf.DUMMYFUNCTION("counta(iferror(filter(L12:L$131,E12:E$131=E11,L12:L$136&gt;L11)))"),0.0)</f>
        <v>0</v>
      </c>
      <c r="O11" s="129">
        <f t="array" ref="O11:Z11">XLOOKUP(F11,'Current Week'!C:C,'Current Week'!D:O)</f>
        <v>7</v>
      </c>
      <c r="P11" s="127">
        <v>5.0</v>
      </c>
      <c r="Q11" s="128"/>
      <c r="R11" s="128"/>
      <c r="S11" s="128"/>
      <c r="T11" s="128"/>
      <c r="U11" s="128"/>
      <c r="V11" s="131"/>
      <c r="W11" s="128"/>
      <c r="X11" s="131"/>
      <c r="Y11" s="131">
        <v>358.0</v>
      </c>
      <c r="Z11" s="131">
        <v>338.0</v>
      </c>
      <c r="AA11" s="132">
        <f t="shared" si="4"/>
        <v>-5</v>
      </c>
      <c r="AB11" s="131">
        <f t="shared" si="5"/>
        <v>1</v>
      </c>
      <c r="AC11" s="131">
        <f>IFERROR(__xludf.DUMMYFUNCTION("iferror(COUNT(filter($O12:$O$397,$O12:$O$397&gt;$O11)))"),36.0)</f>
        <v>36</v>
      </c>
      <c r="AD11" s="133">
        <f t="shared" si="6"/>
        <v>0</v>
      </c>
      <c r="AE11" s="134">
        <f t="shared" si="7"/>
        <v>1</v>
      </c>
      <c r="AF11" s="128" t="str">
        <f>IFERROR(__xludf.DUMMYFUNCTION("iferror(join("","",index(sort(filter($F12:$F$398,$O12:$O$398&gt;$O11),2,false),0,1)))"),"LSU,Florida State,Tennessee,Texas,Air Force,Fresno State,North Carolina,Troy,Oklahoma,Penn State,Memphis,Oregon,Kansas State,Notre Dame,SMU,Washington,UTSA,Ohio,Utah,Oregon State,Oklahoma State,Iowa,James Madison,Miami-OH,Ole Miss,Louisville,Appalachian S"&amp;"tate,Wyoming,New Mexico State,NC State,Jacksonville State,UNLV,Kansas,Arizona,Missouri,West Virginia")</f>
        <v>LSU,Florida State,Tennessee,Texas,Air Force,Fresno State,North Carolina,Troy,Oklahoma,Penn State,Memphis,Oregon,Kansas State,Notre Dame,SMU,Washington,UTSA,Ohio,Utah,Oregon State,Oklahoma State,Iowa,James Madison,Miami-OH,Ole Miss,Louisville,Appalachian State,Wyoming,New Mexico State,NC State,Jacksonville State,UNLV,Kansas,Arizona,Missouri,West Virginia</v>
      </c>
      <c r="AG11" s="132">
        <f>IFERROR(__xludf.DUMMYFUNCTION("iferror($O11-max(filter($O11:$O$397,$E11:$E$397=$E$2)))"),-3.0)</f>
        <v>-3</v>
      </c>
      <c r="AH11" s="131">
        <f t="shared" si="8"/>
        <v>0</v>
      </c>
      <c r="AI11" s="131">
        <f>IFERROR(__xludf.DUMMYFUNCTION("iferror(COUNT(filter($O12:$O$397,$O12:$O$397&gt;$O11,$E11:$E$397=$E$2)))"),0.0)</f>
        <v>0</v>
      </c>
      <c r="AJ11" s="133">
        <f t="shared" si="9"/>
        <v>0</v>
      </c>
      <c r="AK11" s="134">
        <f>IFERROR(__xludf.DUMMYFUNCTION("iferror($O11-min(filter($O11:$O$397,$E11:$E$397=$E$2)))"),5.0)</f>
        <v>5</v>
      </c>
      <c r="AL11" s="128" t="str">
        <f>IFERROR(__xludf.DUMMYFUNCTION("iferror(join("","",index(sort(filter($F12:$F$397,$O12:$O$397&gt;$O11,$E12:$E$397=$E$2),2,false),0,1)))"),"LSU,Tennessee,Ole Miss,Missouri")</f>
        <v>LSU,Tennessee,Ole Miss,Missouri</v>
      </c>
      <c r="AM11" s="128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" s="132">
        <f>IFERROR(__xludf.DUMMYFUNCTION("iferror($O11-max(filter($O11:$O$397,arrayformula(isnumber(FIND($E11:$E$397,AM11))))))"),-5.0)</f>
        <v>-5</v>
      </c>
      <c r="AO11" s="131">
        <f t="array" ref="AO11">countifs($O$2:$O10,"&lt;"&amp;$O11,isnumber(FIND($E$2:$E10,AM11)),TRUE)</f>
        <v>1</v>
      </c>
      <c r="AP11" s="131">
        <f>IFERROR(__xludf.DUMMYFUNCTION("iferror(COUNT(filter($O12:$O$397,$O12:$O$397&gt;$O11,arrayformula(isnumber(FIND($E12:$E$397,AM11))))))"),36.0)</f>
        <v>36</v>
      </c>
      <c r="AQ11" s="133">
        <f t="shared" si="10"/>
        <v>0</v>
      </c>
      <c r="AR11" s="134">
        <f>IFERROR(__xludf.DUMMYFUNCTION("$O11-min(filter($O11:$O$397,arrayformula(isnumber(FIND($E11:$E$397,AM11)))))"),6.0)</f>
        <v>6</v>
      </c>
      <c r="AS11" s="128" t="str">
        <f>IFERROR(__xludf.DUMMYFUNCTION("iferror(join("","",index(sort(filter($F12:$F$397,$O12:$O$397&gt;$O11,arrayformula(isnumber(FIND($E12:$E$397,AM11)))),2,false),0,1)))"),"LSU,Florida State,Tennessee,Texas,Air Force,Fresno State,North Carolina,Troy,Oklahoma,Penn State,Memphis,Oregon,Kansas State,Notre Dame,SMU,Washington,UTSA,Ohio,Utah,Oregon State,Oklahoma State,Iowa,James Madison,Miami-OH,Ole Miss,Louisville,Appalachian S"&amp;"tate,Wyoming,New Mexico State,NC State,Jacksonville State,UNLV,Kansas,Arizona,Missouri,West Virginia")</f>
        <v>LSU,Florida State,Tennessee,Texas,Air Force,Fresno State,North Carolina,Troy,Oklahoma,Penn State,Memphis,Oregon,Kansas State,Notre Dame,SMU,Washington,UTSA,Ohio,Utah,Oregon State,Oklahoma State,Iowa,James Madison,Miami-OH,Ole Miss,Louisville,Appalachian State,Wyoming,New Mexico State,NC State,Jacksonville State,UNLV,Kansas,Arizona,Missouri,West Virginia</v>
      </c>
    </row>
    <row r="12" ht="18.0" customHeight="1">
      <c r="A12" s="23">
        <v>11.0</v>
      </c>
      <c r="B12" s="23">
        <v>1.0</v>
      </c>
      <c r="C12" s="23">
        <v>11.0</v>
      </c>
      <c r="D12" s="135" t="s">
        <v>69</v>
      </c>
      <c r="E12" s="136" t="str">
        <f>if(F12&lt;&gt;"",VLOOKUP(F12,offset('Teams-Conference'!A:B,0,(counta('Draft Order'!B$2:B134)-10)*2),2,0),"")</f>
        <v>SEC</v>
      </c>
      <c r="F12" s="140" t="s">
        <v>219</v>
      </c>
      <c r="G12" s="138" t="str">
        <f t="shared" si="1"/>
        <v/>
      </c>
      <c r="H12" s="127">
        <f t="shared" si="2"/>
        <v>1</v>
      </c>
      <c r="I12" s="127">
        <f t="shared" si="3"/>
        <v>1</v>
      </c>
      <c r="J12" s="127">
        <f t="shared" ref="J12:J134" si="11">countif(E2:E11,E12)</f>
        <v>2</v>
      </c>
      <c r="K12" s="128"/>
      <c r="L12" s="127">
        <v>9.0</v>
      </c>
      <c r="M12" s="127">
        <f>IFERROR(__xludf.DUMMYFUNCTION("counta(iferror(filter(L$2:L11,E$2:E11=E12,L$2:L11&lt;L12)))"),0.0)</f>
        <v>0</v>
      </c>
      <c r="N12" s="127">
        <f>IFERROR(__xludf.DUMMYFUNCTION("counta(iferror(filter(L13:L$131,E13:E$131=E12,L13:L$136&gt;L12)))"),0.0)</f>
        <v>0</v>
      </c>
      <c r="O12" s="129">
        <f t="array" ref="O12:Z12">XLOOKUP(F12,'Current Week'!C:C,'Current Week'!D:O)</f>
        <v>9</v>
      </c>
      <c r="P12" s="127">
        <v>3.0</v>
      </c>
      <c r="Q12" s="128"/>
      <c r="R12" s="128"/>
      <c r="S12" s="128"/>
      <c r="T12" s="128"/>
      <c r="U12" s="128"/>
      <c r="V12" s="131"/>
      <c r="W12" s="128"/>
      <c r="X12" s="131"/>
      <c r="Y12" s="131">
        <v>557.0</v>
      </c>
      <c r="Z12" s="131">
        <v>333.0</v>
      </c>
      <c r="AA12" s="132">
        <f t="shared" si="4"/>
        <v>-3</v>
      </c>
      <c r="AB12" s="131">
        <f t="shared" si="5"/>
        <v>3</v>
      </c>
      <c r="AC12" s="131">
        <f>IFERROR(__xludf.DUMMYFUNCTION("iferror(COUNT(filter($O13:$O$397,$O13:$O$397&gt;$O12)))"),15.0)</f>
        <v>15</v>
      </c>
      <c r="AD12" s="133">
        <f t="shared" si="6"/>
        <v>0</v>
      </c>
      <c r="AE12" s="134">
        <f t="shared" si="7"/>
        <v>3</v>
      </c>
      <c r="AF12" s="128" t="str">
        <f>IFERROR(__xludf.DUMMYFUNCTION("iferror(join("","",index(sort(filter($F13:$F$398,$O13:$O$398&gt;$O12),2,false),0,1)))"),"Florida State,Texas,Troy,Oklahoma,Penn State,Oregon,SMU,Washington,Iowa,James Madison,Miami-OH,Ole Miss,Louisville,New Mexico State,Missouri")</f>
        <v>Florida State,Texas,Troy,Oklahoma,Penn State,Oregon,SMU,Washington,Iowa,James Madison,Miami-OH,Ole Miss,Louisville,New Mexico State,Missouri</v>
      </c>
      <c r="AG12" s="132">
        <f>IFERROR(__xludf.DUMMYFUNCTION("iferror($O12-max(filter($O12:$O$397,$E12:$E$397=$E$2)))"),-1.0)</f>
        <v>-1</v>
      </c>
      <c r="AH12" s="131">
        <f t="shared" si="8"/>
        <v>0</v>
      </c>
      <c r="AI12" s="131">
        <f>IFERROR(__xludf.DUMMYFUNCTION("iferror(COUNT(filter($O13:$O$397,$O13:$O$397&gt;$O12,$E12:$E$397=$E$2)))"),0.0)</f>
        <v>0</v>
      </c>
      <c r="AJ12" s="133">
        <f t="shared" si="9"/>
        <v>0</v>
      </c>
      <c r="AK12" s="134">
        <f>IFERROR(__xludf.DUMMYFUNCTION("iferror($O12-min(filter($O12:$O$397,$E12:$E$397=$E$2)))"),7.0)</f>
        <v>7</v>
      </c>
      <c r="AL12" s="128" t="str">
        <f>IFERROR(__xludf.DUMMYFUNCTION("iferror(join("","",index(sort(filter($F13:$F$397,$O13:$O$397&gt;$O12,$E13:$E$397=$E$2),2,false),0,1)))"),"Ole Miss,Missouri")</f>
        <v>Ole Miss,Missouri</v>
      </c>
      <c r="AM12" s="128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2" s="132">
        <f>IFERROR(__xludf.DUMMYFUNCTION("iferror($O12-max(filter($O12:$O$397,arrayformula(isnumber(FIND($E12:$E$397,AM12))))))"),-3.0)</f>
        <v>-3</v>
      </c>
      <c r="AO12" s="131">
        <f t="array" ref="AO12">countifs($O$2:$O11,"&lt;"&amp;$O12,isnumber(FIND($E$2:$E11,AM12)),TRUE)</f>
        <v>3</v>
      </c>
      <c r="AP12" s="131">
        <f>IFERROR(__xludf.DUMMYFUNCTION("iferror(COUNT(filter($O13:$O$397,$O13:$O$397&gt;$O12,arrayformula(isnumber(FIND($E13:$E$397,AM12))))))"),15.0)</f>
        <v>15</v>
      </c>
      <c r="AQ12" s="133">
        <f t="shared" si="10"/>
        <v>0</v>
      </c>
      <c r="AR12" s="134">
        <f>IFERROR(__xludf.DUMMYFUNCTION("$O12-min(filter($O12:$O$397,arrayformula(isnumber(FIND($E12:$E$397,AM12)))))"),8.0)</f>
        <v>8</v>
      </c>
      <c r="AS12" s="128" t="str">
        <f>IFERROR(__xludf.DUMMYFUNCTION("iferror(join("","",index(sort(filter($F13:$F$397,$O13:$O$397&gt;$O12,arrayformula(isnumber(FIND($E13:$E$397,AM12)))),2,false),0,1)))"),"Florida State,Texas,Troy,Oklahoma,Penn State,Oregon,SMU,Washington,Iowa,James Madison,Miami-OH,Ole Miss,Louisville,New Mexico State,Missouri")</f>
        <v>Florida State,Texas,Troy,Oklahoma,Penn State,Oregon,SMU,Washington,Iowa,James Madison,Miami-OH,Ole Miss,Louisville,New Mexico State,Missouri</v>
      </c>
    </row>
    <row r="13">
      <c r="A13" s="23">
        <v>12.0</v>
      </c>
      <c r="B13" s="23">
        <v>1.0</v>
      </c>
      <c r="C13" s="23">
        <v>12.0</v>
      </c>
      <c r="D13" s="135" t="s">
        <v>125</v>
      </c>
      <c r="E13" t="str">
        <f>if(F13&lt;&gt;"",VLOOKUP(F13,offset('Teams-Conference'!A:B,0,(counta('Draft Order'!B$2:B134)-10)*2),2,0),"")</f>
        <v>ACC</v>
      </c>
      <c r="F13" s="140" t="s">
        <v>224</v>
      </c>
      <c r="G13" s="138" t="str">
        <f t="shared" si="1"/>
        <v/>
      </c>
      <c r="H13" s="127">
        <f t="shared" si="2"/>
        <v>1</v>
      </c>
      <c r="I13" s="127">
        <f t="shared" si="3"/>
        <v>1</v>
      </c>
      <c r="J13" s="127">
        <f t="shared" si="11"/>
        <v>1</v>
      </c>
      <c r="K13" s="128"/>
      <c r="L13" s="127">
        <v>12.0</v>
      </c>
      <c r="M13" s="127">
        <f>IFERROR(__xludf.DUMMYFUNCTION("counta(iferror(filter(L$2:L12,E$2:E12=E13,L$2:L12&lt;L13)))"),1.0)</f>
        <v>1</v>
      </c>
      <c r="N13" s="127">
        <f>IFERROR(__xludf.DUMMYFUNCTION("counta(iferror(filter(L14:L$131,E14:E$131=E13,L14:L$136&gt;L13)))"),0.0)</f>
        <v>0</v>
      </c>
      <c r="O13" s="129">
        <f t="array" ref="O13:Z13">XLOOKUP(F13,'Current Week'!C:C,'Current Week'!D:O)</f>
        <v>12</v>
      </c>
      <c r="P13" s="127">
        <v>0.0</v>
      </c>
      <c r="Q13" s="128" t="s">
        <v>108</v>
      </c>
      <c r="R13" s="130">
        <v>45262.833333333336</v>
      </c>
      <c r="S13" s="128" t="s">
        <v>60</v>
      </c>
      <c r="T13" s="128"/>
      <c r="U13" s="128">
        <v>-6.5</v>
      </c>
      <c r="V13" s="131">
        <v>-2.5</v>
      </c>
      <c r="W13" s="128">
        <v>118.0</v>
      </c>
      <c r="X13" s="131" t="s">
        <v>151</v>
      </c>
      <c r="Y13" s="131">
        <v>465.0</v>
      </c>
      <c r="Z13" s="131">
        <v>201.0</v>
      </c>
      <c r="AA13" s="132">
        <f t="shared" si="4"/>
        <v>0</v>
      </c>
      <c r="AB13" s="131">
        <f t="shared" si="5"/>
        <v>8</v>
      </c>
      <c r="AC13" s="131">
        <f>IFERROR(__xludf.DUMMYFUNCTION("iferror(COUNT(filter($O14:$O$397,$O14:$O$397&gt;$O13)))"),0.0)</f>
        <v>0</v>
      </c>
      <c r="AD13" s="133">
        <f t="shared" si="6"/>
        <v>1</v>
      </c>
      <c r="AE13" s="134">
        <f t="shared" si="7"/>
        <v>6</v>
      </c>
      <c r="AF13" s="128" t="str">
        <f>IFERROR(__xludf.DUMMYFUNCTION("iferror(join("","",index(sort(filter($F14:$F$398,$O14:$O$398&gt;$O13),2,false),0,1)))"),"")</f>
        <v/>
      </c>
      <c r="AG13" s="132">
        <f>IFERROR(__xludf.DUMMYFUNCTION("iferror($O13-max(filter($O13:$O$397,$E13:$E$397=$E$2)))"),2.0)</f>
        <v>2</v>
      </c>
      <c r="AH13" s="131">
        <f t="shared" si="8"/>
        <v>2</v>
      </c>
      <c r="AI13" s="131">
        <f>IFERROR(__xludf.DUMMYFUNCTION("iferror(COUNT(filter($O14:$O$397,$O14:$O$397&gt;$O13,$E13:$E$397=$E$2)))"),0.0)</f>
        <v>0</v>
      </c>
      <c r="AJ13" s="133">
        <f t="shared" si="9"/>
        <v>0</v>
      </c>
      <c r="AK13" s="134">
        <f>IFERROR(__xludf.DUMMYFUNCTION("iferror($O13-min(filter($O13:$O$397,$E13:$E$397=$E$2)))"),10.0)</f>
        <v>10</v>
      </c>
      <c r="AL13" s="128" t="str">
        <f>IFERROR(__xludf.DUMMYFUNCTION("iferror(join("","",index(sort(filter($F14:$F$397,$O14:$O$397&gt;$O13,$E14:$E$397=$E$2),2,false),0,1)))"),"")</f>
        <v/>
      </c>
      <c r="AM13" s="128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3" s="132">
        <f>IFERROR(__xludf.DUMMYFUNCTION("iferror($O13-max(filter($O13:$O$397,arrayformula(isnumber(FIND($E13:$E$397,AM13))))))"),0.0)</f>
        <v>0</v>
      </c>
      <c r="AO13" s="131">
        <f t="array" ref="AO13">countifs($O$2:$O12,"&lt;"&amp;$O13,isnumber(FIND($E$2:$E12,AM13)),TRUE)</f>
        <v>8</v>
      </c>
      <c r="AP13" s="131">
        <f>IFERROR(__xludf.DUMMYFUNCTION("iferror(COUNT(filter($O14:$O$397,$O14:$O$397&gt;$O13,arrayformula(isnumber(FIND($E14:$E$397,AM13))))))"),0.0)</f>
        <v>0</v>
      </c>
      <c r="AQ13" s="133">
        <f t="shared" si="10"/>
        <v>1</v>
      </c>
      <c r="AR13" s="134">
        <f>IFERROR(__xludf.DUMMYFUNCTION("$O13-min(filter($O13:$O$397,arrayformula(isnumber(FIND($E13:$E$397,AM13)))))"),11.0)</f>
        <v>11</v>
      </c>
      <c r="AS13" s="128" t="str">
        <f>IFERROR(__xludf.DUMMYFUNCTION("iferror(join("","",index(sort(filter($F14:$F$397,$O14:$O$397&gt;$O13,arrayformula(isnumber(FIND($E14:$E$397,AM13)))),2,false),0,1)))"),"")</f>
        <v/>
      </c>
    </row>
    <row r="14">
      <c r="A14" s="141">
        <v>13.0</v>
      </c>
      <c r="B14" s="141">
        <v>1.0</v>
      </c>
      <c r="C14" s="141">
        <v>13.0</v>
      </c>
      <c r="D14" s="142" t="s">
        <v>61</v>
      </c>
      <c r="E14" s="143" t="str">
        <f>if(F14&lt;&gt;"",VLOOKUP(F14,offset('Teams-Conference'!A:B,0,(counta('Draft Order'!B$2:B134)-10)*2),2,0),"")</f>
        <v>CUSA</v>
      </c>
      <c r="F14" s="144" t="s">
        <v>228</v>
      </c>
      <c r="G14" s="145" t="str">
        <f t="shared" si="1"/>
        <v/>
      </c>
      <c r="H14" s="127">
        <f t="shared" si="2"/>
        <v>0</v>
      </c>
      <c r="I14" s="127">
        <f t="shared" si="3"/>
        <v>0</v>
      </c>
      <c r="J14" s="127">
        <f t="shared" si="11"/>
        <v>1</v>
      </c>
      <c r="K14" s="128"/>
      <c r="L14" s="127">
        <v>4.0</v>
      </c>
      <c r="M14" s="127">
        <f>IFERROR(__xludf.DUMMYFUNCTION("counta(iferror(filter(L$2:L13,E$2:E13=E14,L$2:L13&lt;L14)))"),0.0)</f>
        <v>0</v>
      </c>
      <c r="N14" s="127">
        <f>IFERROR(__xludf.DUMMYFUNCTION("counta(iferror(filter(L15:L$131,E15:E$131=E14,L15:L$136&gt;L14)))"),0.0)</f>
        <v>0</v>
      </c>
      <c r="O14" s="129">
        <f t="array" ref="O14:Z14">XLOOKUP(F14,'Current Week'!C:C,'Current Week'!D:O)</f>
        <v>4</v>
      </c>
      <c r="P14" s="127">
        <v>8.0</v>
      </c>
      <c r="Q14" s="128"/>
      <c r="R14" s="128"/>
      <c r="S14" s="128"/>
      <c r="T14" s="128"/>
      <c r="U14" s="128"/>
      <c r="V14" s="131"/>
      <c r="W14" s="128"/>
      <c r="X14" s="131"/>
      <c r="Y14" s="131">
        <v>291.0</v>
      </c>
      <c r="Z14" s="131">
        <v>337.0</v>
      </c>
      <c r="AA14" s="132">
        <f t="shared" si="4"/>
        <v>-8</v>
      </c>
      <c r="AB14" s="131">
        <f t="shared" si="5"/>
        <v>0</v>
      </c>
      <c r="AC14" s="131">
        <f>IFERROR(__xludf.DUMMYFUNCTION("iferror(COUNT(filter($O15:$O$397,$O15:$O$397&gt;$O14)))"),84.0)</f>
        <v>84</v>
      </c>
      <c r="AD14" s="133">
        <f t="shared" si="6"/>
        <v>0</v>
      </c>
      <c r="AE14" s="134">
        <f t="shared" si="7"/>
        <v>0</v>
      </c>
      <c r="AF14" s="128" t="str">
        <f>IFERROR(__xludf.DUMMYFUNCTION("iferror(join("","",index(sort(filter($F15:$F$398,$O15:$O$398&gt;$O14),2,false),0,1)))"),"Tennessee,Texas,Air Force,Fresno State,Boise State,North Carolina,USC,Troy,Oklahoma,Penn State,Memphis,Oregon,Kansas State,UCLA,Notre Dame,SMU,Washington,UTSA,Ohio,TCU,Utah,Oregon State,Wisconsin,Washington State,Oklahoma State,Iowa,James Madison,Miami-OH"&amp;",EMU,Ole Miss,Coastal Carolina,Texas Tech,Louisville,Marshall,Miami,Appalachian State,Northern Illinois,Army,UL Lafayette,Wyoming,New Mexico State,North Texas,Maryland,Central Michigan,Utah State,NC State,Jacksonville State,UCF,Georgia Southern,Georgia St"&amp;"ate,UNLV,Illinois,San José State,Minnesota,Nebraska,Colorado State,Syracuse,Duke,Kansas,Bowling Green,Navy,Arkansas State,Texas A&amp;M,California,Arizona,Kentucky,South Carolina,Hawaii,Iowa State,BYU,Auburn,Texas State,Rutgers,Missouri,Boston College,South F"&amp;"lorida,Northwestern,Old Dominion,Rice,Mississippi State,Georgia Tech,Florida,Virginia Tech,West Virginia")</f>
        <v>Tennessee,Texas,Air Force,Fresno State,Boise State,North Carolina,USC,Troy,Oklahoma,Penn State,Memphis,Oregon,Kansas State,UCLA,Notre Dame,SMU,Washington,UTSA,Ohio,TCU,Utah,Oregon State,Wisconsin,Washington State,Oklahoma State,Iowa,James Madison,Miami-OH,EMU,Ole Miss,Coastal Carolina,Texas Tech,Louisville,Marshall,Miami,Appalachian State,Northern Illinois,Army,UL Lafayette,Wyoming,New Mexico State,North Texas,Maryland,Central Michigan,Utah State,NC State,Jacksonville State,UCF,Georgia Southern,Georgia State,UNLV,Illinois,San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14" s="132">
        <f>IFERROR(__xludf.DUMMYFUNCTION("iferror($O14-max(filter($O14:$O$397,$E14:$E$397=$E$2)))"),-6.0)</f>
        <v>-6</v>
      </c>
      <c r="AH14" s="131">
        <f t="shared" si="8"/>
        <v>0</v>
      </c>
      <c r="AI14" s="131">
        <f>IFERROR(__xludf.DUMMYFUNCTION("iferror(COUNT(filter($O15:$O$397,$O15:$O$397&gt;$O14,$E14:$E$397=$E$2)))"),0.0)</f>
        <v>0</v>
      </c>
      <c r="AJ14" s="133">
        <f t="shared" si="9"/>
        <v>0</v>
      </c>
      <c r="AK14" s="134">
        <f>IFERROR(__xludf.DUMMYFUNCTION("iferror($O14-min(filter($O14:$O$397,$E14:$E$397=$E$2)))"),2.0)</f>
        <v>2</v>
      </c>
      <c r="AL14" s="128" t="str">
        <f>IFERROR(__xludf.DUMMYFUNCTION("iferror(join("","",index(sort(filter($F15:$F$397,$O15:$O$397&gt;$O14,$E15:$E$397=$E$2),2,false),0,1)))"),"Tennessee,Ole Miss,Texas A&amp;M,Kentucky,South Carolina,Auburn,Missouri,Mississippi State,Florida")</f>
        <v>Tennessee,Ole Miss,Texas A&amp;M,Kentucky,South Carolina,Auburn,Missouri,Mississippi State,Florida</v>
      </c>
      <c r="AM14" s="128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4" s="132">
        <f>IFERROR(__xludf.DUMMYFUNCTION("iferror($O14-max(filter($O14:$O$397,arrayformula(isnumber(FIND($E14:$E$397,AM14))))))"),-8.0)</f>
        <v>-8</v>
      </c>
      <c r="AO14" s="131">
        <f t="array" ref="AO14">countifs($O$2:$O13,"&lt;"&amp;$O14,isnumber(FIND($E$2:$E13,AM14)),TRUE)</f>
        <v>0</v>
      </c>
      <c r="AP14" s="131">
        <f>IFERROR(__xludf.DUMMYFUNCTION("iferror(COUNT(filter($O15:$O$397,$O15:$O$397&gt;$O14,arrayformula(isnumber(FIND($E15:$E$397,AM14))))))"),84.0)</f>
        <v>84</v>
      </c>
      <c r="AQ14" s="133">
        <f t="shared" si="10"/>
        <v>0</v>
      </c>
      <c r="AR14" s="134">
        <f>IFERROR(__xludf.DUMMYFUNCTION("$O14-min(filter($O14:$O$397,arrayformula(isnumber(FIND($E14:$E$397,AM14)))))"),3.0)</f>
        <v>3</v>
      </c>
      <c r="AS14" s="128" t="str">
        <f>IFERROR(__xludf.DUMMYFUNCTION("iferror(join("","",index(sort(filter($F15:$F$397,$O15:$O$397&gt;$O14,arrayformula(isnumber(FIND($E15:$E$397,AM14)))),2,false),0,1)))"),"Tennessee,Texas,Air Force,Fresno State,Boise State,North Carolina,USC,Troy,Oklahoma,Penn State,Memphis,Oregon,Kansas State,UCLA,Notre Dame,SMU,Washington,UTSA,Ohio,TCU,Utah,Oregon State,Wisconsin,Washington State,Oklahoma State,Iowa,James Madison,Miami-OH"&amp;",EMU,Ole Miss,Coastal Carolina,Texas Tech,Louisville,Marshall,Miami,Appalachian State,Northern Illinois,Army,UL Lafayette,Wyoming,New Mexico State,North Texas,Maryland,Central Michigan,Utah State,NC State,Jacksonville State,UCF,Georgia Southern,Georgia St"&amp;"ate,UNLV,Illinois,San José State,Minnesota,Nebraska,Colorado State,Syracuse,Duke,Kansas,Bowling Green,Navy,Arkansas State,Texas A&amp;M,California,Arizona,Kentucky,South Carolina,Hawaii,Iowa State,BYU,Auburn,Texas State,Rutgers,Missouri,Boston College,South F"&amp;"lorida,Northwestern,Old Dominion,Rice,Mississippi State,Georgia Tech,Florida,Virginia Tech,West Virginia")</f>
        <v>Tennessee,Texas,Air Force,Fresno State,Boise State,North Carolina,USC,Troy,Oklahoma,Penn State,Memphis,Oregon,Kansas State,UCLA,Notre Dame,SMU,Washington,UTSA,Ohio,TCU,Utah,Oregon State,Wisconsin,Washington State,Oklahoma State,Iowa,James Madison,Miami-OH,EMU,Ole Miss,Coastal Carolina,Texas Tech,Louisville,Marshall,Miami,Appalachian State,Northern Illinois,Army,UL Lafayette,Wyoming,New Mexico State,North Texas,Maryland,Central Michigan,Utah State,NC State,Jacksonville State,UCF,Georgia Southern,Georgia State,UNLV,Illinois,San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</row>
    <row r="15">
      <c r="A15" s="122">
        <v>14.0</v>
      </c>
      <c r="B15" s="122">
        <v>2.0</v>
      </c>
      <c r="C15" s="122">
        <v>1.0</v>
      </c>
      <c r="D15" s="123" t="str">
        <f t="array" ref="D15:D27">index(sort('Draft Order'!$A$2:$B$14,1,0),0,2)</f>
        <v>Justin</v>
      </c>
      <c r="E15" s="124" t="str">
        <f>if(F15&lt;&gt;"",VLOOKUP(F15,offset('Teams-Conference'!A:B,0,(counta('Draft Order'!B$2:B134)-10)*2),2,0),"")</f>
        <v>SEC</v>
      </c>
      <c r="F15" s="125" t="s">
        <v>233</v>
      </c>
      <c r="G15" s="126" t="str">
        <f t="shared" si="1"/>
        <v/>
      </c>
      <c r="H15" s="127">
        <f t="shared" si="2"/>
        <v>0</v>
      </c>
      <c r="I15" s="127">
        <f t="shared" si="3"/>
        <v>0</v>
      </c>
      <c r="J15" s="127">
        <f t="shared" si="11"/>
        <v>2</v>
      </c>
      <c r="K15" s="128"/>
      <c r="L15" s="127">
        <v>8.0</v>
      </c>
      <c r="M15" s="127">
        <f>IFERROR(__xludf.DUMMYFUNCTION("counta(iferror(filter(L$2:L14,E$2:E14=E15,L$2:L14&lt;L15)))"),0.0)</f>
        <v>0</v>
      </c>
      <c r="N15" s="127">
        <f>IFERROR(__xludf.DUMMYFUNCTION("counta(iferror(filter(L16:L$131,E16:E$131=E15,L16:L$136&gt;L15)))"),0.0)</f>
        <v>0</v>
      </c>
      <c r="O15" s="129">
        <f t="array" ref="O15:Z15">XLOOKUP(F15,'Current Week'!C:C,'Current Week'!D:O)</f>
        <v>8</v>
      </c>
      <c r="P15" s="127">
        <v>4.0</v>
      </c>
      <c r="Q15" s="128"/>
      <c r="R15" s="128"/>
      <c r="S15" s="128"/>
      <c r="T15" s="128"/>
      <c r="U15" s="128">
        <v>-25.5</v>
      </c>
      <c r="V15" s="131">
        <v>-27.5</v>
      </c>
      <c r="W15" s="128">
        <v>1400.0</v>
      </c>
      <c r="X15" s="131" t="s">
        <v>235</v>
      </c>
      <c r="Y15" s="131">
        <v>378.0</v>
      </c>
      <c r="Z15" s="131">
        <v>264.0</v>
      </c>
      <c r="AA15" s="132">
        <f t="shared" si="4"/>
        <v>-4</v>
      </c>
      <c r="AB15" s="131">
        <f t="shared" si="5"/>
        <v>3</v>
      </c>
      <c r="AC15" s="131">
        <f>IFERROR(__xludf.DUMMYFUNCTION("iferror(COUNT(filter($O16:$O$397,$O16:$O$397&gt;$O15)))"),22.0)</f>
        <v>22</v>
      </c>
      <c r="AD15" s="133">
        <f t="shared" si="6"/>
        <v>0</v>
      </c>
      <c r="AE15" s="134">
        <f t="shared" si="7"/>
        <v>4</v>
      </c>
      <c r="AF15" s="128" t="str">
        <f>IFERROR(__xludf.DUMMYFUNCTION("iferror(join("","",index(sort(filter($F16:$F$398,$O16:$O$398&gt;$O15),2,false),0,1)))"),"Texas,Troy,Oklahoma,Penn State,Memphis,Oregon,Notre Dame,SMU,Washington,Ohio,Oklahoma State,Iowa,James Madison,Miami-OH,Ole Miss,Louisville,New Mexico State,NC State,UNLV,Arizona,Missouri,West Virginia")</f>
        <v>Texas,Troy,Oklahoma,Penn State,Memphis,Oregon,Notre Dame,SMU,Washington,Ohio,Oklahoma State,Iowa,James Madison,Miami-OH,Ole Miss,Louisville,New Mexico State,NC State,UNLV,Arizona,Missouri,West Virginia</v>
      </c>
      <c r="AG15" s="132">
        <f>IFERROR(__xludf.DUMMYFUNCTION("iferror($O15-max(filter($O15:$O$397,$E15:$E$397=$E$2)))"),-2.0)</f>
        <v>-2</v>
      </c>
      <c r="AH15" s="131">
        <f t="shared" si="8"/>
        <v>0</v>
      </c>
      <c r="AI15" s="131">
        <f>IFERROR(__xludf.DUMMYFUNCTION("iferror(COUNT(filter($O16:$O$397,$O16:$O$397&gt;$O15,$E15:$E$397=$E$2)))"),0.0)</f>
        <v>0</v>
      </c>
      <c r="AJ15" s="133">
        <f t="shared" si="9"/>
        <v>0</v>
      </c>
      <c r="AK15" s="134">
        <f>IFERROR(__xludf.DUMMYFUNCTION("iferror($O15-min(filter($O15:$O$397,$E15:$E$397=$E$2)))"),6.0)</f>
        <v>6</v>
      </c>
      <c r="AL15" s="128" t="str">
        <f>IFERROR(__xludf.DUMMYFUNCTION("iferror(join("","",index(sort(filter($F16:$F$397,$O16:$O$397&gt;$O15,$E16:$E$397=$E$2),2,false),0,1)))"),"Ole Miss,Missouri")</f>
        <v>Ole Miss,Missouri</v>
      </c>
      <c r="AM15" s="128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15" s="132">
        <f>IFERROR(__xludf.DUMMYFUNCTION("iferror($O15-max(filter($O15:$O$397,arrayformula(isnumber(FIND($E15:$E$397,AM15))))))"),-4.0)</f>
        <v>-4</v>
      </c>
      <c r="AO15" s="131">
        <f t="array" ref="AO15">countifs($O$2:$O14,"&lt;"&amp;$O15,isnumber(FIND($E$2:$E14,AM15)),TRUE)</f>
        <v>1</v>
      </c>
      <c r="AP15" s="131">
        <f>IFERROR(__xludf.DUMMYFUNCTION("iferror(COUNT(filter($O16:$O$397,$O16:$O$397&gt;$O15,arrayformula(isnumber(FIND($E16:$E$397,AM15))))))"),21.0)</f>
        <v>21</v>
      </c>
      <c r="AQ15" s="133">
        <f t="shared" si="10"/>
        <v>0</v>
      </c>
      <c r="AR15" s="134">
        <f>IFERROR(__xludf.DUMMYFUNCTION("$O15-min(filter($O15:$O$397,arrayformula(isnumber(FIND($E15:$E$397,AM15)))))"),7.0)</f>
        <v>7</v>
      </c>
      <c r="AS15" s="128" t="str">
        <f>IFERROR(__xludf.DUMMYFUNCTION("iferror(join("","",index(sort(filter($F16:$F$397,$O16:$O$397&gt;$O15,arrayformula(isnumber(FIND($E16:$E$397,AM15)))),2,false),0,1)))"),"Texas,Troy,Oklahoma,Penn State,Memphis,Oregon,Notre Dame,SMU,Washington,Ohio,Oklahoma State,Iowa,James Madison,Miami-OH,Ole Miss,Louisville,NC State,UNLV,Arizona,Missouri,West Virginia")</f>
        <v>Texas,Troy,Oklahoma,Penn State,Memphis,Oregon,Notre Dame,SMU,Washington,Ohio,Oklahoma State,Iowa,James Madison,Miami-OH,Ole Miss,Louisville,NC State,UNLV,Arizona,Missouri,West Virginia</v>
      </c>
    </row>
    <row r="16">
      <c r="A16" s="23">
        <v>15.0</v>
      </c>
      <c r="B16" s="23">
        <v>2.0</v>
      </c>
      <c r="C16" s="23">
        <v>2.0</v>
      </c>
      <c r="D16" s="135" t="s">
        <v>125</v>
      </c>
      <c r="E16" s="136" t="str">
        <f>if(F16&lt;&gt;"",VLOOKUP(F16,offset('Teams-Conference'!A:B,0,(counta('Draft Order'!B$2:B134)-10)*2),2,0),"")</f>
        <v>Big 12</v>
      </c>
      <c r="F16" s="137" t="s">
        <v>239</v>
      </c>
      <c r="G16" s="138" t="str">
        <f t="shared" si="1"/>
        <v/>
      </c>
      <c r="H16" s="127">
        <f t="shared" si="2"/>
        <v>1</v>
      </c>
      <c r="I16" s="127">
        <f t="shared" si="3"/>
        <v>3</v>
      </c>
      <c r="J16" s="127">
        <f t="shared" si="11"/>
        <v>0</v>
      </c>
      <c r="K16" s="128"/>
      <c r="L16" s="127">
        <v>11.0</v>
      </c>
      <c r="M16" s="127">
        <f>IFERROR(__xludf.DUMMYFUNCTION("counta(iferror(filter(L$2:L15,E$2:E15=E16,L$2:L15&lt;L16)))"),0.0)</f>
        <v>0</v>
      </c>
      <c r="N16" s="127">
        <f>IFERROR(__xludf.DUMMYFUNCTION("counta(iferror(filter(L17:L$131,E17:E$131=E16,L17:L$136&gt;L16)))"),0.0)</f>
        <v>0</v>
      </c>
      <c r="O16" s="129">
        <f t="array" ref="O16:Z16">XLOOKUP(F16,'Current Week'!C:C,'Current Week'!D:O)</f>
        <v>11</v>
      </c>
      <c r="P16" s="127">
        <v>1.0</v>
      </c>
      <c r="Q16" s="128" t="s">
        <v>106</v>
      </c>
      <c r="R16" s="130">
        <v>45262.5</v>
      </c>
      <c r="S16" s="128" t="s">
        <v>61</v>
      </c>
      <c r="T16" s="128" t="s">
        <v>82</v>
      </c>
      <c r="U16" s="128">
        <v>-10.5</v>
      </c>
      <c r="V16" s="131">
        <v>-14.5</v>
      </c>
      <c r="W16" s="128">
        <v>500.0</v>
      </c>
      <c r="X16" s="131" t="s">
        <v>68</v>
      </c>
      <c r="Y16" s="131">
        <v>421.0</v>
      </c>
      <c r="Z16" s="131">
        <v>207.0</v>
      </c>
      <c r="AA16" s="132">
        <f t="shared" si="4"/>
        <v>-1</v>
      </c>
      <c r="AB16" s="131">
        <f t="shared" si="5"/>
        <v>6</v>
      </c>
      <c r="AC16" s="131">
        <f>IFERROR(__xludf.DUMMYFUNCTION("iferror(COUNT(filter($O17:$O$397,$O17:$O$397&gt;$O16)))"),1.0)</f>
        <v>1</v>
      </c>
      <c r="AD16" s="133">
        <f t="shared" si="6"/>
        <v>0</v>
      </c>
      <c r="AE16" s="134">
        <f t="shared" si="7"/>
        <v>7</v>
      </c>
      <c r="AF16" s="128" t="str">
        <f>IFERROR(__xludf.DUMMYFUNCTION("iferror(join("","",index(sort(filter($F17:$F$398,$O17:$O$398&gt;$O16),2,false),0,1)))"),"Washington")</f>
        <v>Washington</v>
      </c>
      <c r="AG16" s="132">
        <f>IFERROR(__xludf.DUMMYFUNCTION("iferror($O16-max(filter($O16:$O$397,$E16:$E$397=$E$2)))"),1.0)</f>
        <v>1</v>
      </c>
      <c r="AH16" s="131">
        <f t="shared" si="8"/>
        <v>2</v>
      </c>
      <c r="AI16" s="131">
        <f>IFERROR(__xludf.DUMMYFUNCTION("iferror(COUNT(filter($O17:$O$397,$O17:$O$397&gt;$O16,$E16:$E$397=$E$2)))"),0.0)</f>
        <v>0</v>
      </c>
      <c r="AJ16" s="133">
        <f t="shared" si="9"/>
        <v>0</v>
      </c>
      <c r="AK16" s="134">
        <f>IFERROR(__xludf.DUMMYFUNCTION("iferror($O16-min(filter($O16:$O$397,$E16:$E$397=$E$2)))"),9.0)</f>
        <v>9</v>
      </c>
      <c r="AL16" s="128" t="str">
        <f>IFERROR(__xludf.DUMMYFUNCTION("iferror(join("","",index(sort(filter($F17:$F$397,$O17:$O$397&gt;$O16,$E17:$E$397=$E$2),2,false),0,1)))"),"")</f>
        <v/>
      </c>
      <c r="AM16" s="128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6" s="132">
        <f>IFERROR(__xludf.DUMMYFUNCTION("iferror($O16-max(filter($O16:$O$397,arrayformula(isnumber(FIND($E16:$E$397,AM16))))))"),-1.0)</f>
        <v>-1</v>
      </c>
      <c r="AO16" s="131">
        <f t="array" ref="AO16">countifs($O$2:$O15,"&lt;"&amp;$O16,isnumber(FIND($E$2:$E15,AM16)),TRUE)</f>
        <v>5</v>
      </c>
      <c r="AP16" s="131">
        <f>IFERROR(__xludf.DUMMYFUNCTION("iferror(COUNT(filter($O17:$O$397,$O17:$O$397&gt;$O16,arrayformula(isnumber(FIND($E17:$E$397,AM16))))))"),1.0)</f>
        <v>1</v>
      </c>
      <c r="AQ16" s="133">
        <f t="shared" si="10"/>
        <v>0</v>
      </c>
      <c r="AR16" s="134">
        <f>IFERROR(__xludf.DUMMYFUNCTION("$O16-min(filter($O16:$O$397,arrayformula(isnumber(FIND($E16:$E$397,AM16)))))"),10.0)</f>
        <v>10</v>
      </c>
      <c r="AS16" s="128" t="str">
        <f>IFERROR(__xludf.DUMMYFUNCTION("iferror(join("","",index(sort(filter($F17:$F$397,$O17:$O$397&gt;$O16,arrayformula(isnumber(FIND($E17:$E$397,AM16)))),2,false),0,1)))"),"Washington")</f>
        <v>Washington</v>
      </c>
    </row>
    <row r="17">
      <c r="A17" s="23">
        <v>16.0</v>
      </c>
      <c r="B17" s="23">
        <v>2.0</v>
      </c>
      <c r="C17" s="23">
        <v>3.0</v>
      </c>
      <c r="D17" s="139" t="s">
        <v>69</v>
      </c>
      <c r="E17" s="136" t="str">
        <f>if(F17&lt;&gt;"",VLOOKUP(F17,offset('Teams-Conference'!A:B,0,(counta('Draft Order'!B$2:B134)-10)*2),2,0),"")</f>
        <v>MWC</v>
      </c>
      <c r="F17" s="137" t="s">
        <v>243</v>
      </c>
      <c r="G17" s="138" t="str">
        <f t="shared" si="1"/>
        <v/>
      </c>
      <c r="H17" s="127">
        <f t="shared" si="2"/>
        <v>3</v>
      </c>
      <c r="I17" s="127">
        <f t="shared" si="3"/>
        <v>3</v>
      </c>
      <c r="J17" s="127">
        <f t="shared" si="11"/>
        <v>0</v>
      </c>
      <c r="K17" s="128"/>
      <c r="L17" s="127">
        <v>8.0</v>
      </c>
      <c r="M17" s="127">
        <f>IFERROR(__xludf.DUMMYFUNCTION("counta(iferror(filter(L$2:L16,E$2:E16=E17,L$2:L16&lt;L17)))"),0.0)</f>
        <v>0</v>
      </c>
      <c r="N17" s="127">
        <f>IFERROR(__xludf.DUMMYFUNCTION("counta(iferror(filter(L18:L$131,E18:E$131=E17,L18:L$136&gt;L17)))"),0.0)</f>
        <v>0</v>
      </c>
      <c r="O17" s="129">
        <f t="array" ref="O17:Z17">XLOOKUP(F17,'Current Week'!C:C,'Current Week'!D:O)</f>
        <v>8</v>
      </c>
      <c r="P17" s="127">
        <v>4.0</v>
      </c>
      <c r="Q17" s="128"/>
      <c r="R17" s="128"/>
      <c r="S17" s="128"/>
      <c r="T17" s="128"/>
      <c r="U17" s="128"/>
      <c r="V17" s="131"/>
      <c r="W17" s="128"/>
      <c r="X17" s="131"/>
      <c r="Y17" s="131">
        <v>331.0</v>
      </c>
      <c r="Z17" s="131">
        <v>215.0</v>
      </c>
      <c r="AA17" s="132">
        <f t="shared" si="4"/>
        <v>-4</v>
      </c>
      <c r="AB17" s="131">
        <f t="shared" si="5"/>
        <v>3</v>
      </c>
      <c r="AC17" s="131">
        <f>IFERROR(__xludf.DUMMYFUNCTION("iferror(COUNT(filter($O18:$O$397,$O18:$O$397&gt;$O17)))"),21.0)</f>
        <v>21</v>
      </c>
      <c r="AD17" s="133">
        <f t="shared" si="6"/>
        <v>0</v>
      </c>
      <c r="AE17" s="134">
        <f t="shared" si="7"/>
        <v>4</v>
      </c>
      <c r="AF17" s="128" t="str">
        <f>IFERROR(__xludf.DUMMYFUNCTION("iferror(join("","",index(sort(filter($F18:$F$398,$O18:$O$398&gt;$O17),2,false),0,1)))"),"Troy,Oklahoma,Penn State,Memphis,Oregon,Notre Dame,SMU,Washington,Ohio,Oklahoma State,Iowa,James Madison,Miami-OH,Ole Miss,Louisville,New Mexico State,NC State,UNLV,Arizona,Missouri,West Virginia")</f>
        <v>Troy,Oklahoma,Penn State,Memphis,Oregon,Notre Dame,SMU,Washington,Ohio,Oklahoma State,Iowa,James Madison,Miami-OH,Ole Miss,Louisville,New Mexico State,NC State,UNLV,Arizona,Missouri,West Virginia</v>
      </c>
      <c r="AG17" s="132">
        <f>IFERROR(__xludf.DUMMYFUNCTION("iferror($O17-max(filter($O17:$O$397,$E17:$E$397=$E$2)))"),-2.0)</f>
        <v>-2</v>
      </c>
      <c r="AH17" s="131">
        <f t="shared" si="8"/>
        <v>0</v>
      </c>
      <c r="AI17" s="131">
        <f>IFERROR(__xludf.DUMMYFUNCTION("iferror(COUNT(filter($O18:$O$397,$O18:$O$397&gt;$O17,$E17:$E$397=$E$2)))"),0.0)</f>
        <v>0</v>
      </c>
      <c r="AJ17" s="133">
        <f t="shared" si="9"/>
        <v>0</v>
      </c>
      <c r="AK17" s="134">
        <f>IFERROR(__xludf.DUMMYFUNCTION("iferror($O17-min(filter($O17:$O$397,$E17:$E$397=$E$2)))"),6.0)</f>
        <v>6</v>
      </c>
      <c r="AL17" s="128" t="str">
        <f>IFERROR(__xludf.DUMMYFUNCTION("iferror(join("","",index(sort(filter($F18:$F$397,$O18:$O$397&gt;$O17,$E18:$E$397=$E$2),2,false),0,1)))"),"Ole Miss,Missouri")</f>
        <v>Ole Miss,Missouri</v>
      </c>
      <c r="AM17" s="128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7" s="132">
        <f>IFERROR(__xludf.DUMMYFUNCTION("iferror($O17-max(filter($O17:$O$397,arrayformula(isnumber(FIND($E17:$E$397,AM17))))))"),-4.0)</f>
        <v>-4</v>
      </c>
      <c r="AO17" s="131">
        <f t="array" ref="AO17">countifs($O$2:$O16,"&lt;"&amp;$O17,isnumber(FIND($E$2:$E16,AM17)),TRUE)</f>
        <v>3</v>
      </c>
      <c r="AP17" s="131">
        <f>IFERROR(__xludf.DUMMYFUNCTION("iferror(COUNT(filter($O18:$O$397,$O18:$O$397&gt;$O17,arrayformula(isnumber(FIND($E18:$E$397,AM17))))))"),19.0)</f>
        <v>19</v>
      </c>
      <c r="AQ17" s="133">
        <f t="shared" si="10"/>
        <v>0</v>
      </c>
      <c r="AR17" s="134">
        <f>IFERROR(__xludf.DUMMYFUNCTION("$O17-min(filter($O17:$O$397,arrayformula(isnumber(FIND($E17:$E$397,AM17)))))"),7.0)</f>
        <v>7</v>
      </c>
      <c r="AS17" s="128" t="str">
        <f>IFERROR(__xludf.DUMMYFUNCTION("iferror(join("","",index(sort(filter($F18:$F$397,$O18:$O$397&gt;$O17,arrayformula(isnumber(FIND($E18:$E$397,AM17)))),2,false),0,1)))"),"Troy,Oklahoma,Penn State,Memphis,Oregon,Notre Dame,SMU,Washington,Ohio,Oklahoma State,Iowa,James Madison,Miami-OH,Louisville,New Mexico State,NC State,UNLV,Arizona,West Virginia")</f>
        <v>Troy,Oklahoma,Penn State,Memphis,Oregon,Notre Dame,SMU,Washington,Ohio,Oklahoma State,Iowa,James Madison,Miami-OH,Louisville,New Mexico State,NC State,UNLV,Arizona,West Virginia</v>
      </c>
    </row>
    <row r="18">
      <c r="A18" s="23">
        <v>17.0</v>
      </c>
      <c r="B18" s="23">
        <v>2.0</v>
      </c>
      <c r="C18" s="23">
        <v>4.0</v>
      </c>
      <c r="D18" s="135" t="s">
        <v>62</v>
      </c>
      <c r="E18" s="136" t="str">
        <f>if(F18&lt;&gt;"",VLOOKUP(F18,offset('Teams-Conference'!A:B,0,(counta('Draft Order'!B$2:B134)-10)*2),2,0),"")</f>
        <v>MWC</v>
      </c>
      <c r="F18" s="137" t="s">
        <v>241</v>
      </c>
      <c r="G18" s="138" t="str">
        <f t="shared" si="1"/>
        <v/>
      </c>
      <c r="H18" s="127">
        <f t="shared" si="2"/>
        <v>2</v>
      </c>
      <c r="I18" s="127">
        <f t="shared" si="3"/>
        <v>2</v>
      </c>
      <c r="J18" s="127">
        <f t="shared" si="11"/>
        <v>1</v>
      </c>
      <c r="K18" s="128"/>
      <c r="L18" s="127">
        <v>8.0</v>
      </c>
      <c r="M18" s="127">
        <f>IFERROR(__xludf.DUMMYFUNCTION("counta(iferror(filter(L$2:L17,E$2:E17=E18,L$2:L17&lt;L18)))"),0.0)</f>
        <v>0</v>
      </c>
      <c r="N18" s="127">
        <f>IFERROR(__xludf.DUMMYFUNCTION("counta(iferror(filter(L19:L$131,E19:E$131=E18,L19:L$136&gt;L18)))"),0.0)</f>
        <v>0</v>
      </c>
      <c r="O18" s="129">
        <f t="array" ref="O18:Z18">XLOOKUP(F18,'Current Week'!C:C,'Current Week'!D:O)</f>
        <v>8</v>
      </c>
      <c r="P18" s="127">
        <v>4.0</v>
      </c>
      <c r="Q18" s="128"/>
      <c r="R18" s="128"/>
      <c r="S18" s="128"/>
      <c r="T18" s="128"/>
      <c r="U18" s="128"/>
      <c r="V18" s="131"/>
      <c r="W18" s="128"/>
      <c r="X18" s="131"/>
      <c r="Y18" s="131">
        <v>359.0</v>
      </c>
      <c r="Z18" s="131">
        <v>295.0</v>
      </c>
      <c r="AA18" s="132">
        <f t="shared" si="4"/>
        <v>-4</v>
      </c>
      <c r="AB18" s="131">
        <f t="shared" si="5"/>
        <v>3</v>
      </c>
      <c r="AC18" s="131">
        <f>IFERROR(__xludf.DUMMYFUNCTION("iferror(COUNT(filter($O19:$O$397,$O19:$O$397&gt;$O18)))"),21.0)</f>
        <v>21</v>
      </c>
      <c r="AD18" s="133">
        <f t="shared" si="6"/>
        <v>0</v>
      </c>
      <c r="AE18" s="134">
        <f t="shared" si="7"/>
        <v>4</v>
      </c>
      <c r="AF18" s="128" t="str">
        <f>IFERROR(__xludf.DUMMYFUNCTION("iferror(join("","",index(sort(filter($F19:$F$398,$O19:$O$398&gt;$O18),2,false),0,1)))"),"Troy,Oklahoma,Penn State,Memphis,Oregon,Notre Dame,SMU,Washington,Ohio,Oklahoma State,Iowa,James Madison,Miami-OH,Ole Miss,Louisville,New Mexico State,NC State,UNLV,Arizona,Missouri,West Virginia")</f>
        <v>Troy,Oklahoma,Penn State,Memphis,Oregon,Notre Dame,SMU,Washington,Ohio,Oklahoma State,Iowa,James Madison,Miami-OH,Ole Miss,Louisville,New Mexico State,NC State,UNLV,Arizona,Missouri,West Virginia</v>
      </c>
      <c r="AG18" s="132">
        <f>IFERROR(__xludf.DUMMYFUNCTION("iferror($O18-max(filter($O18:$O$397,$E18:$E$397=$E$2)))"),-2.0)</f>
        <v>-2</v>
      </c>
      <c r="AH18" s="131">
        <f t="shared" si="8"/>
        <v>0</v>
      </c>
      <c r="AI18" s="131">
        <f>IFERROR(__xludf.DUMMYFUNCTION("iferror(COUNT(filter($O19:$O$397,$O19:$O$397&gt;$O18,$E18:$E$397=$E$2)))"),0.0)</f>
        <v>0</v>
      </c>
      <c r="AJ18" s="133">
        <f t="shared" si="9"/>
        <v>0</v>
      </c>
      <c r="AK18" s="134">
        <f>IFERROR(__xludf.DUMMYFUNCTION("iferror($O18-min(filter($O18:$O$397,$E18:$E$397=$E$2)))"),6.0)</f>
        <v>6</v>
      </c>
      <c r="AL18" s="128" t="str">
        <f>IFERROR(__xludf.DUMMYFUNCTION("iferror(join("","",index(sort(filter($F19:$F$397,$O19:$O$397&gt;$O18,$E19:$E$397=$E$2),2,false),0,1)))"),"Ole Miss,Missouri")</f>
        <v>Ole Miss,Missouri</v>
      </c>
      <c r="AM18" s="128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18" s="132">
        <f>IFERROR(__xludf.DUMMYFUNCTION("iferror($O18-max(filter($O18:$O$397,arrayformula(isnumber(FIND($E18:$E$397,AM18))))))"),-4.0)</f>
        <v>-4</v>
      </c>
      <c r="AO18" s="131">
        <f t="array" ref="AO18">countifs($O$2:$O17,"&lt;"&amp;$O18,isnumber(FIND($E$2:$E17,AM18)),TRUE)</f>
        <v>1</v>
      </c>
      <c r="AP18" s="131">
        <f>IFERROR(__xludf.DUMMYFUNCTION("iferror(COUNT(filter($O19:$O$397,$O19:$O$397&gt;$O18,arrayformula(isnumber(FIND($E19:$E$397,AM18))))))"),20.0)</f>
        <v>20</v>
      </c>
      <c r="AQ18" s="133">
        <f t="shared" si="10"/>
        <v>0</v>
      </c>
      <c r="AR18" s="134">
        <f>IFERROR(__xludf.DUMMYFUNCTION("$O18-min(filter($O18:$O$397,arrayformula(isnumber(FIND($E18:$E$397,AM18)))))"),7.0)</f>
        <v>7</v>
      </c>
      <c r="AS18" s="128" t="str">
        <f>IFERROR(__xludf.DUMMYFUNCTION("iferror(join("","",index(sort(filter($F19:$F$397,$O19:$O$397&gt;$O18,arrayformula(isnumber(FIND($E19:$E$397,AM18)))),2,false),0,1)))"),"Troy,Oklahoma,Penn State,Memphis,Oregon,Notre Dame,SMU,Washington,Ohio,Oklahoma State,Iowa,James Madison,Miami-OH,Ole Miss,Louisville,NC State,UNLV,Arizona,Missouri,West Virginia")</f>
        <v>Troy,Oklahoma,Penn State,Memphis,Oregon,Notre Dame,SMU,Washington,Ohio,Oklahoma State,Iowa,James Madison,Miami-OH,Ole Miss,Louisville,NC State,UNLV,Arizona,Missouri,West Virginia</v>
      </c>
    </row>
    <row r="19">
      <c r="A19" s="23">
        <v>18.0</v>
      </c>
      <c r="B19" s="23">
        <v>2.0</v>
      </c>
      <c r="C19" s="23">
        <v>5.0</v>
      </c>
      <c r="D19" s="135" t="s">
        <v>59</v>
      </c>
      <c r="E19" s="136" t="str">
        <f>if(F19&lt;&gt;"",VLOOKUP(F19,offset('Teams-Conference'!A:B,0,(counta('Draft Order'!B$2:B134)-10)*2),2,0),"")</f>
        <v>MWC</v>
      </c>
      <c r="F19" s="140" t="s">
        <v>227</v>
      </c>
      <c r="G19" s="138" t="str">
        <f t="shared" si="1"/>
        <v/>
      </c>
      <c r="H19" s="127">
        <f t="shared" si="2"/>
        <v>1</v>
      </c>
      <c r="I19" s="127">
        <f t="shared" si="3"/>
        <v>1</v>
      </c>
      <c r="J19" s="127">
        <f t="shared" si="11"/>
        <v>2</v>
      </c>
      <c r="K19" s="128"/>
      <c r="L19" s="127">
        <v>7.0</v>
      </c>
      <c r="M19" s="127">
        <f>IFERROR(__xludf.DUMMYFUNCTION("counta(iferror(filter(L$2:L18,E$2:E18=E19,L$2:L18&lt;L19)))"),0.0)</f>
        <v>0</v>
      </c>
      <c r="N19" s="127">
        <f>IFERROR(__xludf.DUMMYFUNCTION("counta(iferror(filter(L20:L$131,E20:E$131=E19,L20:L$136&gt;L19)))"),0.0)</f>
        <v>0</v>
      </c>
      <c r="O19" s="129">
        <f t="array" ref="O19:Z19">XLOOKUP(F19,'Current Week'!C:C,'Current Week'!D:O)</f>
        <v>7</v>
      </c>
      <c r="P19" s="127">
        <v>5.0</v>
      </c>
      <c r="Q19" s="128" t="s">
        <v>110</v>
      </c>
      <c r="R19" s="130">
        <v>45262.625</v>
      </c>
      <c r="S19" s="128" t="s">
        <v>57</v>
      </c>
      <c r="T19" s="128"/>
      <c r="U19" s="128">
        <v>-3.5</v>
      </c>
      <c r="V19" s="131">
        <v>-2.5</v>
      </c>
      <c r="W19" s="128">
        <v>-137.0</v>
      </c>
      <c r="X19" s="131" t="s">
        <v>203</v>
      </c>
      <c r="Y19" s="131">
        <v>384.0</v>
      </c>
      <c r="Z19" s="131">
        <v>303.0</v>
      </c>
      <c r="AA19" s="132">
        <f t="shared" si="4"/>
        <v>-5</v>
      </c>
      <c r="AB19" s="131">
        <f t="shared" si="5"/>
        <v>2</v>
      </c>
      <c r="AC19" s="131">
        <f>IFERROR(__xludf.DUMMYFUNCTION("iferror(COUNT(filter($O20:$O$397,$O20:$O$397&gt;$O19)))"),30.0)</f>
        <v>30</v>
      </c>
      <c r="AD19" s="133">
        <f t="shared" si="6"/>
        <v>0</v>
      </c>
      <c r="AE19" s="134">
        <f t="shared" si="7"/>
        <v>3</v>
      </c>
      <c r="AF19" s="128" t="str">
        <f>IFERROR(__xludf.DUMMYFUNCTION("iferror(join("","",index(sort(filter($F20:$F$398,$O20:$O$398&gt;$O19),2,false),0,1)))"),"North Carolina,Troy,Oklahoma,Penn State,Memphis,Oregon,Kansas State,Notre Dame,SMU,Washington,UTSA,Ohio,Utah,Oregon State,Oklahoma State,Iowa,James Madison,Miami-OH,Ole Miss,Louisville,Appalachian State,Wyoming,New Mexico State,NC State,Jacksonville State"&amp;",UNLV,Kansas,Arizona,Missouri,West Virginia")</f>
        <v>North Carolina,Troy,Oklahoma,Penn State,Memphis,Oregon,Kansas State,Notre Dame,SMU,Washington,UTSA,Ohio,Utah,Oregon State,Oklahoma State,Iowa,James Madison,Miami-OH,Ole Miss,Louisville,Appalachian State,Wyoming,New Mexico State,NC State,Jacksonville State,UNLV,Kansas,Arizona,Missouri,West Virginia</v>
      </c>
      <c r="AG19" s="132">
        <f>IFERROR(__xludf.DUMMYFUNCTION("iferror($O19-max(filter($O19:$O$397,$E19:$E$397=$E$2)))"),-3.0)</f>
        <v>-3</v>
      </c>
      <c r="AH19" s="131">
        <f t="shared" si="8"/>
        <v>0</v>
      </c>
      <c r="AI19" s="131">
        <f>IFERROR(__xludf.DUMMYFUNCTION("iferror(COUNT(filter($O20:$O$397,$O20:$O$397&gt;$O19,$E19:$E$397=$E$2)))"),0.0)</f>
        <v>0</v>
      </c>
      <c r="AJ19" s="133">
        <f t="shared" si="9"/>
        <v>0</v>
      </c>
      <c r="AK19" s="134">
        <f>IFERROR(__xludf.DUMMYFUNCTION("iferror($O19-min(filter($O19:$O$397,$E19:$E$397=$E$2)))"),5.0)</f>
        <v>5</v>
      </c>
      <c r="AL19" s="128" t="str">
        <f>IFERROR(__xludf.DUMMYFUNCTION("iferror(join("","",index(sort(filter($F20:$F$397,$O20:$O$397&gt;$O19,$E20:$E$397=$E$2),2,false),0,1)))"),"Ole Miss,Missouri")</f>
        <v>Ole Miss,Missouri</v>
      </c>
      <c r="AM19" s="128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19" s="132">
        <f>IFERROR(__xludf.DUMMYFUNCTION("iferror($O19-max(filter($O19:$O$397,arrayformula(isnumber(FIND($E19:$E$397,AM19))))))"),-5.0)</f>
        <v>-5</v>
      </c>
      <c r="AO19" s="131">
        <f t="array" ref="AO19">countifs($O$2:$O18,"&lt;"&amp;$O19,isnumber(FIND($E$2:$E18,AM19)),TRUE)</f>
        <v>2</v>
      </c>
      <c r="AP19" s="131">
        <f>IFERROR(__xludf.DUMMYFUNCTION("iferror(COUNT(filter($O20:$O$397,$O20:$O$397&gt;$O19,arrayformula(isnumber(FIND($E20:$E$397,AM19))))))"),28.0)</f>
        <v>28</v>
      </c>
      <c r="AQ19" s="133">
        <f t="shared" si="10"/>
        <v>0</v>
      </c>
      <c r="AR19" s="134">
        <f>IFERROR(__xludf.DUMMYFUNCTION("$O19-min(filter($O19:$O$397,arrayformula(isnumber(FIND($E19:$E$397,AM19)))))"),6.0)</f>
        <v>6</v>
      </c>
      <c r="AS19" s="128" t="str">
        <f>IFERROR(__xludf.DUMMYFUNCTION("iferror(join("","",index(sort(filter($F20:$F$397,$O20:$O$397&gt;$O19,arrayformula(isnumber(FIND($E20:$E$397,AM19)))),2,false),0,1)))"),"North Carolina,Troy,Oklahoma,Memphis,Oregon,Kansas State,Notre Dame,SMU,Washington,UTSA,Ohio,Utah,Oregon State,Oklahoma State,James Madison,Miami-OH,Ole Miss,Louisville,Appalachian State,Wyoming,New Mexico State,NC State,Jacksonville State,UNLV,Kansas,Ari"&amp;"zona,Missouri,West Virginia")</f>
        <v>North Carolina,Troy,Oklahoma,Memphis,Oregon,Kansas State,Notre Dame,SMU,Washington,UTSA,Ohio,Utah,Oregon State,Oklahoma State,James Madison,Miami-OH,Ole Miss,Louisville,Appalachian State,Wyoming,New Mexico State,NC State,Jacksonville State,UNLV,Kansas,Arizona,Missouri,West Virginia</v>
      </c>
    </row>
    <row r="20">
      <c r="A20" s="23">
        <v>19.0</v>
      </c>
      <c r="B20" s="23">
        <v>2.0</v>
      </c>
      <c r="C20" s="23">
        <v>6.0</v>
      </c>
      <c r="D20" s="135" t="s">
        <v>67</v>
      </c>
      <c r="E20" s="136" t="str">
        <f>if(F20&lt;&gt;"",VLOOKUP(F20,offset('Teams-Conference'!A:B,0,(counta('Draft Order'!B$2:B134)-10)*2),2,0),"")</f>
        <v>ACC</v>
      </c>
      <c r="F20" s="137" t="s">
        <v>216</v>
      </c>
      <c r="G20" s="138" t="str">
        <f t="shared" si="1"/>
        <v/>
      </c>
      <c r="H20" s="127">
        <f t="shared" si="2"/>
        <v>0</v>
      </c>
      <c r="I20" s="127">
        <f t="shared" si="3"/>
        <v>0</v>
      </c>
      <c r="J20" s="127">
        <f t="shared" si="11"/>
        <v>1</v>
      </c>
      <c r="K20" s="128"/>
      <c r="L20" s="127">
        <v>8.0</v>
      </c>
      <c r="M20" s="127">
        <f>IFERROR(__xludf.DUMMYFUNCTION("counta(iferror(filter(L$2:L19,E$2:E19=E20,L$2:L19&lt;L20)))"),0.0)</f>
        <v>0</v>
      </c>
      <c r="N20" s="127">
        <f>IFERROR(__xludf.DUMMYFUNCTION("counta(iferror(filter(L21:L$131,E21:E$131=E20,L21:L$136&gt;L20)))"),0.0)</f>
        <v>0</v>
      </c>
      <c r="O20" s="129">
        <f t="array" ref="O20:Z20">XLOOKUP(F20,'Current Week'!C:C,'Current Week'!D:O)</f>
        <v>8</v>
      </c>
      <c r="P20" s="127">
        <v>4.0</v>
      </c>
      <c r="Q20" s="128"/>
      <c r="R20" s="128"/>
      <c r="S20" s="128"/>
      <c r="T20" s="128"/>
      <c r="U20" s="128"/>
      <c r="V20" s="131"/>
      <c r="W20" s="128"/>
      <c r="X20" s="131"/>
      <c r="Y20" s="131">
        <v>439.0</v>
      </c>
      <c r="Z20" s="131">
        <v>325.0</v>
      </c>
      <c r="AA20" s="132">
        <f t="shared" si="4"/>
        <v>-4</v>
      </c>
      <c r="AB20" s="131">
        <f t="shared" si="5"/>
        <v>4</v>
      </c>
      <c r="AC20" s="131">
        <f>IFERROR(__xludf.DUMMYFUNCTION("iferror(COUNT(filter($O21:$O$397,$O21:$O$397&gt;$O20)))"),21.0)</f>
        <v>21</v>
      </c>
      <c r="AD20" s="133">
        <f t="shared" si="6"/>
        <v>0</v>
      </c>
      <c r="AE20" s="134">
        <f t="shared" si="7"/>
        <v>4</v>
      </c>
      <c r="AF20" s="128" t="str">
        <f>IFERROR(__xludf.DUMMYFUNCTION("iferror(join("","",index(sort(filter($F21:$F$398,$O21:$O$398&gt;$O20),2,false),0,1)))"),"Troy,Oklahoma,Penn State,Memphis,Oregon,Notre Dame,SMU,Washington,Ohio,Oklahoma State,Iowa,James Madison,Miami-OH,Ole Miss,Louisville,New Mexico State,NC State,UNLV,Arizona,Missouri,West Virginia")</f>
        <v>Troy,Oklahoma,Penn State,Memphis,Oregon,Notre Dame,SMU,Washington,Ohio,Oklahoma State,Iowa,James Madison,Miami-OH,Ole Miss,Louisville,New Mexico State,NC State,UNLV,Arizona,Missouri,West Virginia</v>
      </c>
      <c r="AG20" s="132">
        <f>IFERROR(__xludf.DUMMYFUNCTION("iferror($O20-max(filter($O20:$O$397,$E20:$E$397=$E$2)))"),-2.0)</f>
        <v>-2</v>
      </c>
      <c r="AH20" s="131">
        <f t="shared" si="8"/>
        <v>0</v>
      </c>
      <c r="AI20" s="131">
        <f>IFERROR(__xludf.DUMMYFUNCTION("iferror(COUNT(filter($O21:$O$397,$O21:$O$397&gt;$O20,$E20:$E$397=$E$2)))"),0.0)</f>
        <v>0</v>
      </c>
      <c r="AJ20" s="133">
        <f t="shared" si="9"/>
        <v>0</v>
      </c>
      <c r="AK20" s="134">
        <f>IFERROR(__xludf.DUMMYFUNCTION("iferror($O20-min(filter($O20:$O$397,$E20:$E$397=$E$2)))"),6.0)</f>
        <v>6</v>
      </c>
      <c r="AL20" s="128" t="str">
        <f>IFERROR(__xludf.DUMMYFUNCTION("iferror(join("","",index(sort(filter($F21:$F$397,$O21:$O$397&gt;$O20,$E21:$E$397=$E$2),2,false),0,1)))"),"Ole Miss,Missouri")</f>
        <v>Ole Miss,Missouri</v>
      </c>
      <c r="AM20" s="128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"""")"),"AAC,ACC,Big 12,Big Ten,CUSA,MAC,MWC,Pac12,SEC,")</f>
        <v>AAC,ACC,Big 12,Big Ten,CUSA,MAC,MWC,Pac12,SEC,</v>
      </c>
      <c r="AN20" s="132">
        <f>IFERROR(__xludf.DUMMYFUNCTION("iferror($O20-max(filter($O20:$O$397,arrayformula(isnumber(FIND($E20:$E$397,AM20))))))"),-4.0)</f>
        <v>-4</v>
      </c>
      <c r="AO20" s="131">
        <f t="array" ref="AO20">countifs($O$2:$O19,"&lt;"&amp;$O20,isnumber(FIND($E$2:$E19,AM20)),TRUE)</f>
        <v>3</v>
      </c>
      <c r="AP20" s="131">
        <f>IFERROR(__xludf.DUMMYFUNCTION("iferror(COUNT(filter($O21:$O$397,$O21:$O$397&gt;$O20,arrayformula(isnumber(FIND($E21:$E$397,AM20))))))"),19.0)</f>
        <v>19</v>
      </c>
      <c r="AQ20" s="133">
        <f t="shared" si="10"/>
        <v>0</v>
      </c>
      <c r="AR20" s="134">
        <f>IFERROR(__xludf.DUMMYFUNCTION("$O20-min(filter($O20:$O$397,arrayformula(isnumber(FIND($E20:$E$397,AM20)))))"),7.0)</f>
        <v>7</v>
      </c>
      <c r="AS20" s="128" t="str">
        <f>IFERROR(__xludf.DUMMYFUNCTION("iferror(join("","",index(sort(filter($F21:$F$397,$O21:$O$397&gt;$O20,arrayformula(isnumber(FIND($E21:$E$397,AM20)))),2,false),0,1)))"),"Oklahoma,Penn State,Memphis,Oregon,Notre Dame,SMU,Washington,Ohio,Oklahoma State,Iowa,Miami-OH,Ole Miss,Louisville,New Mexico State,NC State,UNLV,Arizona,Missouri,West Virginia")</f>
        <v>Oklahoma,Penn State,Memphis,Oregon,Notre Dame,SMU,Washington,Ohio,Oklahoma State,Iowa,Miami-OH,Ole Miss,Louisville,New Mexico State,NC State,UNLV,Arizona,Missouri,West Virginia</v>
      </c>
    </row>
    <row r="21">
      <c r="A21" s="23">
        <v>20.0</v>
      </c>
      <c r="B21" s="23">
        <v>2.0</v>
      </c>
      <c r="C21" s="23">
        <v>7.0</v>
      </c>
      <c r="D21" s="135" t="s">
        <v>57</v>
      </c>
      <c r="E21" s="136" t="str">
        <f>if(F21&lt;&gt;"",VLOOKUP(F21,offset('Teams-Conference'!A:B,0,(counta('Draft Order'!B$2:B134)-10)*2),2,0),"")</f>
        <v>Pac12</v>
      </c>
      <c r="F21" s="140" t="s">
        <v>204</v>
      </c>
      <c r="G21" s="138" t="str">
        <f t="shared" si="1"/>
        <v/>
      </c>
      <c r="H21" s="127">
        <f t="shared" si="2"/>
        <v>3</v>
      </c>
      <c r="I21" s="127">
        <f t="shared" si="3"/>
        <v>7</v>
      </c>
      <c r="J21" s="127">
        <f t="shared" si="11"/>
        <v>0</v>
      </c>
      <c r="K21" s="128"/>
      <c r="L21" s="127">
        <v>7.0</v>
      </c>
      <c r="M21" s="127">
        <f>IFERROR(__xludf.DUMMYFUNCTION("counta(iferror(filter(L$2:L20,E$2:E20=E21,L$2:L20&lt;L21)))"),0.0)</f>
        <v>0</v>
      </c>
      <c r="N21" s="127">
        <f>IFERROR(__xludf.DUMMYFUNCTION("counta(iferror(filter(L22:L$131,E22:E$131=E21,L22:L$136&gt;L21)))"),0.0)</f>
        <v>0</v>
      </c>
      <c r="O21" s="129">
        <f t="array" ref="O21:Z21">XLOOKUP(F21,'Current Week'!C:C,'Current Week'!D:O)</f>
        <v>7</v>
      </c>
      <c r="P21" s="127">
        <v>5.0</v>
      </c>
      <c r="Q21" s="128"/>
      <c r="R21" s="128"/>
      <c r="S21" s="128"/>
      <c r="T21" s="128"/>
      <c r="U21" s="128"/>
      <c r="V21" s="131"/>
      <c r="W21" s="128"/>
      <c r="X21" s="131"/>
      <c r="Y21" s="131">
        <v>502.0</v>
      </c>
      <c r="Z21" s="131">
        <v>419.0</v>
      </c>
      <c r="AA21" s="132">
        <f t="shared" si="4"/>
        <v>-5</v>
      </c>
      <c r="AB21" s="131">
        <f t="shared" si="5"/>
        <v>2</v>
      </c>
      <c r="AC21" s="131">
        <f>IFERROR(__xludf.DUMMYFUNCTION("iferror(COUNT(filter($O22:$O$397,$O22:$O$397&gt;$O21)))"),29.0)</f>
        <v>29</v>
      </c>
      <c r="AD21" s="133">
        <f t="shared" si="6"/>
        <v>0</v>
      </c>
      <c r="AE21" s="134">
        <f t="shared" si="7"/>
        <v>3</v>
      </c>
      <c r="AF21" s="128" t="str">
        <f>IFERROR(__xludf.DUMMYFUNCTION("iferror(join("","",index(sort(filter($F22:$F$398,$O22:$O$398&gt;$O21),2,false),0,1)))"),"Troy,Oklahoma,Penn State,Memphis,Oregon,Kansas State,Notre Dame,SMU,Washington,UTSA,Ohio,Utah,Oregon State,Oklahoma State,Iowa,James Madison,Miami-OH,Ole Miss,Louisville,Appalachian State,Wyoming,New Mexico State,NC State,Jacksonville State,UNLV,Kansas,Ar"&amp;"izona,Missouri,West Virginia")</f>
        <v>Troy,Oklahoma,Penn State,Memphis,Oregon,Kansas State,Notre Dame,SMU,Washington,UTSA,Ohio,Utah,Oregon State,Oklahoma State,Iowa,James Madison,Miami-OH,Ole Miss,Louisville,Appalachian State,Wyoming,New Mexico State,NC State,Jacksonville State,UNLV,Kansas,Arizona,Missouri,West Virginia</v>
      </c>
      <c r="AG21" s="132">
        <f>IFERROR(__xludf.DUMMYFUNCTION("iferror($O21-max(filter($O21:$O$397,$E21:$E$397=$E$2)))"),-3.0)</f>
        <v>-3</v>
      </c>
      <c r="AH21" s="131">
        <f t="shared" si="8"/>
        <v>0</v>
      </c>
      <c r="AI21" s="131">
        <f>IFERROR(__xludf.DUMMYFUNCTION("iferror(COUNT(filter($O22:$O$397,$O22:$O$397&gt;$O21,$E21:$E$397=$E$2)))"),0.0)</f>
        <v>0</v>
      </c>
      <c r="AJ21" s="133">
        <f t="shared" si="9"/>
        <v>0</v>
      </c>
      <c r="AK21" s="134">
        <f>IFERROR(__xludf.DUMMYFUNCTION("iferror($O21-min(filter($O21:$O$397,$E21:$E$397=$E$2)))"),5.0)</f>
        <v>5</v>
      </c>
      <c r="AL21" s="128" t="str">
        <f>IFERROR(__xludf.DUMMYFUNCTION("iferror(join("","",index(sort(filter($F22:$F$397,$O22:$O$397&gt;$O21,$E22:$E$397=$E$2),2,false),0,1)))"),"Ole Miss,Missouri")</f>
        <v>Ole Miss,Missouri</v>
      </c>
      <c r="AM21" s="128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21" s="132">
        <f>IFERROR(__xludf.DUMMYFUNCTION("iferror($O21-max(filter($O21:$O$397,arrayformula(isnumber(FIND($E21:$E$397,AM21))))))"),-5.0)</f>
        <v>-5</v>
      </c>
      <c r="AO21" s="131">
        <f t="array" ref="AO21">countifs($O$2:$O20,"&lt;"&amp;$O21,isnumber(FIND($E$2:$E20,AM21)),TRUE)</f>
        <v>2</v>
      </c>
      <c r="AP21" s="131">
        <f>IFERROR(__xludf.DUMMYFUNCTION("iferror(COUNT(filter($O22:$O$397,$O22:$O$397&gt;$O21,arrayformula(isnumber(FIND($E22:$E$397,AM21))))))"),27.0)</f>
        <v>27</v>
      </c>
      <c r="AQ21" s="133">
        <f t="shared" si="10"/>
        <v>0</v>
      </c>
      <c r="AR21" s="134">
        <f>IFERROR(__xludf.DUMMYFUNCTION("$O21-min(filter($O21:$O$397,arrayformula(isnumber(FIND($E21:$E$397,AM21)))))"),6.0)</f>
        <v>6</v>
      </c>
      <c r="AS21" s="128" t="str">
        <f>IFERROR(__xludf.DUMMYFUNCTION("iferror(join("","",index(sort(filter($F22:$F$397,$O22:$O$397&gt;$O21,arrayformula(isnumber(FIND($E22:$E$397,AM21)))),2,false),0,1)))"),"Troy,Oklahoma,Memphis,Oregon,Kansas State,Notre Dame,SMU,Washington,UTSA,Ohio,Utah,Oregon State,Oklahoma State,James Madison,Miami-OH,Ole Miss,Louisville,Appalachian State,Wyoming,New Mexico State,NC State,Jacksonville State,UNLV,Kansas,Arizona,Missouri,W"&amp;"est Virginia")</f>
        <v>Troy,Oklahoma,Memphis,Oregon,Kansas State,Notre Dame,SMU,Washington,UTSA,Ohio,Utah,Oregon State,Oklahoma State,James Madison,Miami-OH,Ole Miss,Louisville,Appalachian State,Wyoming,New Mexico State,NC State,Jacksonville State,UNLV,Kansas,Arizona,Missouri,West Virginia</v>
      </c>
    </row>
    <row r="22">
      <c r="A22" s="23">
        <v>21.0</v>
      </c>
      <c r="B22" s="23">
        <v>2.0</v>
      </c>
      <c r="C22" s="23">
        <v>8.0</v>
      </c>
      <c r="D22" s="135" t="s">
        <v>70</v>
      </c>
      <c r="E22" s="136" t="str">
        <f>if(F22&lt;&gt;"",VLOOKUP(F22,offset('Teams-Conference'!A:B,0,(counta('Draft Order'!B$2:B134)-10)*2),2,0),"")</f>
        <v>MWC</v>
      </c>
      <c r="F22" s="140" t="s">
        <v>190</v>
      </c>
      <c r="G22" s="138" t="str">
        <f t="shared" si="1"/>
        <v/>
      </c>
      <c r="H22" s="127">
        <f t="shared" si="2"/>
        <v>0</v>
      </c>
      <c r="I22" s="127">
        <f t="shared" si="3"/>
        <v>0</v>
      </c>
      <c r="J22" s="127">
        <f t="shared" si="11"/>
        <v>3</v>
      </c>
      <c r="K22" s="128"/>
      <c r="L22" s="127">
        <v>4.0</v>
      </c>
      <c r="M22" s="127">
        <f>IFERROR(__xludf.DUMMYFUNCTION("counta(iferror(filter(L$2:L21,E$2:E21=E22,L$2:L21&lt;L22)))"),0.0)</f>
        <v>0</v>
      </c>
      <c r="N22" s="127">
        <f>IFERROR(__xludf.DUMMYFUNCTION("counta(iferror(filter(L23:L$131,E23:E$131=E22,L23:L$136&gt;L22)))"),0.0)</f>
        <v>0</v>
      </c>
      <c r="O22" s="129">
        <f t="array" ref="O22:Z22">XLOOKUP(F22,'Current Week'!C:C,'Current Week'!D:O)</f>
        <v>4</v>
      </c>
      <c r="P22" s="127">
        <v>8.0</v>
      </c>
      <c r="Q22" s="128"/>
      <c r="R22" s="128"/>
      <c r="S22" s="128"/>
      <c r="T22" s="128"/>
      <c r="U22" s="128"/>
      <c r="V22" s="131"/>
      <c r="W22" s="128"/>
      <c r="X22" s="131"/>
      <c r="Y22" s="131">
        <v>246.0</v>
      </c>
      <c r="Z22" s="131">
        <v>321.0</v>
      </c>
      <c r="AA22" s="132">
        <f t="shared" si="4"/>
        <v>-8</v>
      </c>
      <c r="AB22" s="131">
        <f t="shared" si="5"/>
        <v>0</v>
      </c>
      <c r="AC22" s="131">
        <f>IFERROR(__xludf.DUMMYFUNCTION("iferror(COUNT(filter($O23:$O$397,$O23:$O$397&gt;$O22)))"),77.0)</f>
        <v>77</v>
      </c>
      <c r="AD22" s="133">
        <f t="shared" si="6"/>
        <v>0</v>
      </c>
      <c r="AE22" s="134">
        <f t="shared" si="7"/>
        <v>0</v>
      </c>
      <c r="AF22" s="128" t="str">
        <f>IFERROR(__xludf.DUMMYFUNCTION("iferror(join("","",index(sort(filter($F23:$F$398,$O23:$O$398&gt;$O22),2,false),0,1)))"),"Troy,Oklahoma,Penn State,Memphis,Oregon,Kansas State,UCLA,Notre Dame,SMU,Washington,UTSA,Ohio,TCU,Utah,Oregon State,Wisconsin,Washington State,Oklahoma State,Iowa,James Madison,Miami-OH,EMU,Ole Miss,Coastal Carolina,Texas Tech,Louisville,Marshall,Miami,Ap"&amp;"palachian State,Northern Illinois,Army,UL Lafayette,Wyoming,New Mexico State,North Texas,Maryland,Central Michigan,Utah State,NC State,Jacksonville State,UCF,Georgia Southern,Georgia State,UNLV,Illinois,San José State,Minnesota,Nebraska,Colorado State,Syr"&amp;"acuse,Duke,Kansas,Bowling Green,Navy,Arkansas State,Texas A&amp;M,California,Arizona,Kentucky,South Carolina,Hawaii,Iowa State,BYU,Auburn,Texas State,Rutgers,Missouri,Boston College,South Florida,Northwestern,Old Dominion,Rice,Mississippi State,Georgia Tech,F"&amp;"lorida,Virginia Tech,West Virginia")</f>
        <v>Troy,Oklahoma,Penn State,Memphis,Oregon,Kansas State,UCLA,Notre Dame,SMU,Washington,UTSA,Ohio,TCU,Utah,Oregon State,Wisconsin,Washington State,Oklahoma State,Iowa,James Madison,Miami-OH,EMU,Ole Miss,Coastal Carolina,Texas Tech,Louisville,Marshall,Miami,Appalachian State,Northern Illinois,Army,UL Lafayette,Wyoming,New Mexico State,North Texas,Maryland,Central Michigan,Utah State,NC State,Jacksonville State,UCF,Georgia Southern,Georgia State,UNLV,Illinois,San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22" s="132">
        <f>IFERROR(__xludf.DUMMYFUNCTION("iferror($O22-max(filter($O22:$O$397,$E22:$E$397=$E$2)))"),-6.0)</f>
        <v>-6</v>
      </c>
      <c r="AH22" s="131">
        <f t="shared" si="8"/>
        <v>0</v>
      </c>
      <c r="AI22" s="131">
        <f>IFERROR(__xludf.DUMMYFUNCTION("iferror(COUNT(filter($O23:$O$397,$O23:$O$397&gt;$O22,$E22:$E$397=$E$2)))"),0.0)</f>
        <v>0</v>
      </c>
      <c r="AJ22" s="133">
        <f t="shared" si="9"/>
        <v>0</v>
      </c>
      <c r="AK22" s="134">
        <f>IFERROR(__xludf.DUMMYFUNCTION("iferror($O22-min(filter($O22:$O$397,$E22:$E$397=$E$2)))"),2.0)</f>
        <v>2</v>
      </c>
      <c r="AL22" s="128" t="str">
        <f>IFERROR(__xludf.DUMMYFUNCTION("iferror(join("","",index(sort(filter($F23:$F$397,$O23:$O$397&gt;$O22,$E23:$E$397=$E$2),2,false),0,1)))"),"Ole Miss,Texas A&amp;M,Kentucky,South Carolina,Auburn,Missouri,Mississippi State,Florida")</f>
        <v>Ole Miss,Texas A&amp;M,Kentucky,South Carolina,Auburn,Missouri,Mississippi State,Florida</v>
      </c>
      <c r="AM22" s="128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22" s="132">
        <f>IFERROR(__xludf.DUMMYFUNCTION("iferror($O22-max(filter($O22:$O$397,arrayformula(isnumber(FIND($E22:$E$397,AM22))))))"),-8.0)</f>
        <v>-8</v>
      </c>
      <c r="AO22" s="131">
        <f t="array" ref="AO22">countifs($O$2:$O21,"&lt;"&amp;$O22,isnumber(FIND($E$2:$E21,AM22)),TRUE)</f>
        <v>0</v>
      </c>
      <c r="AP22" s="131">
        <f>IFERROR(__xludf.DUMMYFUNCTION("iferror(COUNT(filter($O23:$O$397,$O23:$O$397&gt;$O22,arrayformula(isnumber(FIND($E23:$E$397,AM22))))))"),69.0)</f>
        <v>69</v>
      </c>
      <c r="AQ22" s="133">
        <f t="shared" si="10"/>
        <v>0</v>
      </c>
      <c r="AR22" s="134">
        <f>IFERROR(__xludf.DUMMYFUNCTION("$O22-min(filter($O22:$O$397,arrayformula(isnumber(FIND($E22:$E$397,AM22)))))"),3.0)</f>
        <v>3</v>
      </c>
      <c r="AS22" s="128" t="str">
        <f>IFERROR(__xludf.DUMMYFUNCTION("iferror(join("","",index(sort(filter($F23:$F$397,$O23:$O$397&gt;$O22,arrayformula(isnumber(FIND($E23:$E$397,AM22)))),2,false),0,1)))"),"Troy,Oklahoma,Penn State,Memphis,Oregon,Kansas State,UCLA,Notre Dame,SMU,Washington,UTSA,Ohio,TCU,Utah,Oregon State,Wisconsin,Washington State,Oklahoma State,Iowa,James Madison,Miami-OH,EMU,Ole Miss,Coastal Carolina,Texas Tech,Marshall,Appalachian State,N"&amp;"orthern Illinois,Army,UL Lafayette,Wyoming,New Mexico State,North Texas,Maryland,Central Michigan,Utah State,Jacksonville State,UCF,Georgia Southern,Georgia State,UNLV,Illinois,San José State,Minnesota,Nebraska,Colorado State,Kansas,Bowling Green,Navy,Ark"&amp;"ansas State,Texas A&amp;M,California,Arizona,Kentucky,South Carolina,Hawaii,Iowa State,BYU,Auburn,Texas State,Rutgers,Missouri,South Florida,Northwestern,Old Dominion,Rice,Mississippi State,Florida,West Virginia")</f>
        <v>Troy,Oklahoma,Penn State,Memphis,Oregon,Kansas State,UCLA,Notre Dame,SMU,Washington,UTSA,Ohio,TCU,Utah,Oregon State,Wisconsin,Washington State,Oklahoma State,Iowa,James Madison,Miami-OH,EMU,Ole Miss,Coastal Carolina,Texas Tech,Marshall,Appalachian State,Northern Illinois,Army,UL Lafayette,Wyoming,New Mexico State,North Texas,Maryland,Central Michigan,Utah State,Jacksonville State,UCF,Georgia Southern,Georgia State,UNLV,Illinois,San José State,Minnesota,Nebraska,Colorado State,Kansas,Bowling Green,Navy,Arkansas State,Texas A&amp;M,California,Arizona,Kentucky,South Carolina,Hawaii,Iowa State,BYU,Auburn,Texas State,Rutgers,Missouri,South Florida,Northwestern,Old Dominion,Rice,Mississippi State,Florida,West Virginia</v>
      </c>
    </row>
    <row r="23">
      <c r="A23" s="23">
        <v>22.0</v>
      </c>
      <c r="B23" s="23">
        <v>2.0</v>
      </c>
      <c r="C23" s="23">
        <v>9.0</v>
      </c>
      <c r="D23" s="135" t="s">
        <v>46</v>
      </c>
      <c r="E23" s="136" t="str">
        <f>if(F23&lt;&gt;"",VLOOKUP(F23,offset('Teams-Conference'!A:B,0,(counta('Draft Order'!B$2:B134)-10)*2),2,0),"")</f>
        <v>Sun Belt</v>
      </c>
      <c r="F23" s="140" t="s">
        <v>181</v>
      </c>
      <c r="G23" s="138" t="str">
        <f t="shared" si="1"/>
        <v/>
      </c>
      <c r="H23" s="127">
        <f t="shared" si="2"/>
        <v>0</v>
      </c>
      <c r="I23" s="127">
        <f t="shared" si="3"/>
        <v>1</v>
      </c>
      <c r="J23" s="127">
        <f t="shared" si="11"/>
        <v>0</v>
      </c>
      <c r="K23" s="127">
        <f t="shared" ref="K23:K25" si="12">countif(E3:E23,E24)</f>
        <v>1</v>
      </c>
      <c r="L23" s="127">
        <v>10.0</v>
      </c>
      <c r="M23" s="127">
        <f>IFERROR(__xludf.DUMMYFUNCTION("counta(iferror(filter(L$2:L22,E$2:E22=E23,L$2:L22&lt;L23)))"),1.0)</f>
        <v>1</v>
      </c>
      <c r="N23" s="127">
        <f>IFERROR(__xludf.DUMMYFUNCTION("counta(iferror(filter(L24:L$131,E24:E$131=E23,L24:L$136&gt;L23)))"),0.0)</f>
        <v>0</v>
      </c>
      <c r="O23" s="129">
        <f t="array" ref="O23:Z23">XLOOKUP(F23,'Current Week'!C:C,'Current Week'!D:O)</f>
        <v>10</v>
      </c>
      <c r="P23" s="127">
        <v>2.0</v>
      </c>
      <c r="Q23" s="128" t="s">
        <v>72</v>
      </c>
      <c r="R23" s="130">
        <v>45262.666666666664</v>
      </c>
      <c r="S23" s="128" t="s">
        <v>35</v>
      </c>
      <c r="T23" s="128" t="s">
        <v>76</v>
      </c>
      <c r="U23" s="128">
        <v>-6.0</v>
      </c>
      <c r="V23" s="131">
        <v>-5.5</v>
      </c>
      <c r="W23" s="128">
        <v>198.0</v>
      </c>
      <c r="X23" s="131" t="s">
        <v>73</v>
      </c>
      <c r="Y23" s="131">
        <v>356.0</v>
      </c>
      <c r="Z23" s="131">
        <v>200.0</v>
      </c>
      <c r="AA23" s="132">
        <f t="shared" si="4"/>
        <v>-2</v>
      </c>
      <c r="AB23" s="131">
        <f t="shared" si="5"/>
        <v>12</v>
      </c>
      <c r="AC23" s="131">
        <f>IFERROR(__xludf.DUMMYFUNCTION("iferror(COUNT(filter($O24:$O$397,$O24:$O$397&gt;$O23)))"),3.0)</f>
        <v>3</v>
      </c>
      <c r="AD23" s="133">
        <f t="shared" si="6"/>
        <v>0</v>
      </c>
      <c r="AE23" s="134">
        <f t="shared" si="7"/>
        <v>6</v>
      </c>
      <c r="AF23" s="128" t="str">
        <f>IFERROR(__xludf.DUMMYFUNCTION("iferror(join("","",index(sort(filter($F24:$F$398,$O24:$O$398&gt;$O23),2,false),0,1)))"),"Oregon,Washington,James Madison")</f>
        <v>Oregon,Washington,James Madison</v>
      </c>
      <c r="AG23" s="132">
        <f>IFERROR(__xludf.DUMMYFUNCTION("iferror($O23-max(filter($O23:$O$397,$E23:$E$397=$E$2)))"),0.0)</f>
        <v>0</v>
      </c>
      <c r="AH23" s="131">
        <f t="shared" si="8"/>
        <v>2</v>
      </c>
      <c r="AI23" s="131">
        <f>IFERROR(__xludf.DUMMYFUNCTION("iferror(COUNT(filter($O24:$O$397,$O24:$O$397&gt;$O23,$E23:$E$397=$E$2)))"),0.0)</f>
        <v>0</v>
      </c>
      <c r="AJ23" s="133">
        <f t="shared" si="9"/>
        <v>1</v>
      </c>
      <c r="AK23" s="134">
        <f>IFERROR(__xludf.DUMMYFUNCTION("iferror($O23-min(filter($O23:$O$397,$E23:$E$397=$E$2)))"),8.0)</f>
        <v>8</v>
      </c>
      <c r="AL23" s="128" t="str">
        <f>IFERROR(__xludf.DUMMYFUNCTION("iferror(join("","",index(sort(filter($F24:$F$397,$O24:$O$397&gt;$O23,$E24:$E$397=$E$2),2,false),0,1)))"),"")</f>
        <v/>
      </c>
      <c r="AM23" s="128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"""")"),"ACC,Big 12,Big Ten,CUSA,MAC,MWC,Pac12,SEC,Sun Belt")</f>
        <v>ACC,Big 12,Big Ten,CUSA,MAC,MWC,Pac12,SEC,Sun Belt</v>
      </c>
      <c r="AN23" s="132">
        <f>IFERROR(__xludf.DUMMYFUNCTION("iferror($O23-max(filter($O23:$O$397,arrayformula(isnumber(FIND($E23:$E$397,AM23))))))"),-2.0)</f>
        <v>-2</v>
      </c>
      <c r="AO23" s="131">
        <f t="array" ref="AO23">countifs($O$2:$O22,"&lt;"&amp;$O23,isnumber(FIND($E$2:$E22,AM23)),TRUE)</f>
        <v>12</v>
      </c>
      <c r="AP23" s="131">
        <f>IFERROR(__xludf.DUMMYFUNCTION("iferror(COUNT(filter($O24:$O$397,$O24:$O$397&gt;$O23,arrayformula(isnumber(FIND($E24:$E$397,AM23))))))"),3.0)</f>
        <v>3</v>
      </c>
      <c r="AQ23" s="133">
        <f t="shared" si="10"/>
        <v>0</v>
      </c>
      <c r="AR23" s="134">
        <f>IFERROR(__xludf.DUMMYFUNCTION("$O23-min(filter($O23:$O$397,arrayformula(isnumber(FIND($E23:$E$397,AM23)))))"),9.0)</f>
        <v>9</v>
      </c>
      <c r="AS23" s="128" t="str">
        <f>IFERROR(__xludf.DUMMYFUNCTION("iferror(join("","",index(sort(filter($F24:$F$397,$O24:$O$397&gt;$O23,arrayformula(isnumber(FIND($E24:$E$397,AM23)))),2,false),0,1)))"),"Oregon,Washington,James Madison")</f>
        <v>Oregon,Washington,James Madison</v>
      </c>
    </row>
    <row r="24">
      <c r="A24" s="23">
        <v>23.0</v>
      </c>
      <c r="B24" s="23">
        <v>2.0</v>
      </c>
      <c r="C24" s="23">
        <v>10.0</v>
      </c>
      <c r="D24" s="135" t="s">
        <v>60</v>
      </c>
      <c r="E24" s="136" t="str">
        <f>if(F24&lt;&gt;"",VLOOKUP(F24,offset('Teams-Conference'!A:B,0,(counta('Draft Order'!B$2:B134)-10)*2),2,0),"")</f>
        <v>Big 12</v>
      </c>
      <c r="F24" s="140" t="s">
        <v>179</v>
      </c>
      <c r="G24" s="138" t="str">
        <f t="shared" si="1"/>
        <v/>
      </c>
      <c r="H24" s="127">
        <f t="shared" si="2"/>
        <v>1</v>
      </c>
      <c r="I24" s="127">
        <f t="shared" si="3"/>
        <v>3</v>
      </c>
      <c r="J24" s="127">
        <f t="shared" si="11"/>
        <v>1</v>
      </c>
      <c r="K24" s="127">
        <f t="shared" si="12"/>
        <v>2</v>
      </c>
      <c r="L24" s="127">
        <v>10.0</v>
      </c>
      <c r="M24" s="127">
        <f>IFERROR(__xludf.DUMMYFUNCTION("counta(iferror(filter(L$2:L23,E$2:E23=E24,L$2:L23&lt;L24)))"),0.0)</f>
        <v>0</v>
      </c>
      <c r="N24" s="127">
        <f>IFERROR(__xludf.DUMMYFUNCTION("counta(iferror(filter(L25:L$131,E25:E$131=E24,L25:L$136&gt;L24)))"),0.0)</f>
        <v>0</v>
      </c>
      <c r="O24" s="129">
        <f t="array" ref="O24:Z24">XLOOKUP(F24,'Current Week'!C:C,'Current Week'!D:O)</f>
        <v>10</v>
      </c>
      <c r="P24" s="127">
        <v>2.0</v>
      </c>
      <c r="Q24" s="128"/>
      <c r="R24" s="128"/>
      <c r="S24" s="128"/>
      <c r="T24" s="128"/>
      <c r="U24" s="128"/>
      <c r="V24" s="131"/>
      <c r="W24" s="128"/>
      <c r="X24" s="131"/>
      <c r="Y24" s="131">
        <v>518.0</v>
      </c>
      <c r="Z24" s="131">
        <v>267.0</v>
      </c>
      <c r="AA24" s="132">
        <f t="shared" si="4"/>
        <v>-2</v>
      </c>
      <c r="AB24" s="131">
        <f t="shared" si="5"/>
        <v>12</v>
      </c>
      <c r="AC24" s="131">
        <f>IFERROR(__xludf.DUMMYFUNCTION("iferror(COUNT(filter($O25:$O$397,$O25:$O$397&gt;$O24)))"),3.0)</f>
        <v>3</v>
      </c>
      <c r="AD24" s="133">
        <f t="shared" si="6"/>
        <v>0</v>
      </c>
      <c r="AE24" s="134">
        <f t="shared" si="7"/>
        <v>6</v>
      </c>
      <c r="AF24" s="128" t="str">
        <f>IFERROR(__xludf.DUMMYFUNCTION("iferror(join("","",index(sort(filter($F25:$F$398,$O25:$O$398&gt;$O24),2,false),0,1)))"),"Oregon,Washington,James Madison")</f>
        <v>Oregon,Washington,James Madison</v>
      </c>
      <c r="AG24" s="132">
        <f>IFERROR(__xludf.DUMMYFUNCTION("iferror($O24-max(filter($O24:$O$397,$E24:$E$397=$E$2)))"),0.0)</f>
        <v>0</v>
      </c>
      <c r="AH24" s="131">
        <f t="shared" si="8"/>
        <v>2</v>
      </c>
      <c r="AI24" s="131">
        <f>IFERROR(__xludf.DUMMYFUNCTION("iferror(COUNT(filter($O25:$O$397,$O25:$O$397&gt;$O24,$E24:$E$397=$E$2)))"),0.0)</f>
        <v>0</v>
      </c>
      <c r="AJ24" s="133">
        <f t="shared" si="9"/>
        <v>1</v>
      </c>
      <c r="AK24" s="134">
        <f>IFERROR(__xludf.DUMMYFUNCTION("iferror($O24-min(filter($O24:$O$397,$E24:$E$397=$E$2)))"),8.0)</f>
        <v>8</v>
      </c>
      <c r="AL24" s="128" t="str">
        <f>IFERROR(__xludf.DUMMYFUNCTION("iferror(join("","",index(sort(filter($F25:$F$397,$O25:$O$397&gt;$O24,$E25:$E$397=$E$2),2,false),0,1)))"),"")</f>
        <v/>
      </c>
      <c r="AM24" s="128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24" s="132">
        <f>IFERROR(__xludf.DUMMYFUNCTION("iferror($O24-max(filter($O24:$O$397,arrayformula(isnumber(FIND($E24:$E$397,AM24))))))"),-2.0)</f>
        <v>-2</v>
      </c>
      <c r="AO24" s="131">
        <f t="array" ref="AO24">countifs($O$2:$O23,"&lt;"&amp;$O24,isnumber(FIND($E$2:$E23,AM24)),TRUE)</f>
        <v>10</v>
      </c>
      <c r="AP24" s="131">
        <f>IFERROR(__xludf.DUMMYFUNCTION("iferror(COUNT(filter($O25:$O$397,$O25:$O$397&gt;$O24,arrayformula(isnumber(FIND($E25:$E$397,AM24))))))"),3.0)</f>
        <v>3</v>
      </c>
      <c r="AQ24" s="133">
        <f t="shared" si="10"/>
        <v>0</v>
      </c>
      <c r="AR24" s="134">
        <f>IFERROR(__xludf.DUMMYFUNCTION("$O24-min(filter($O24:$O$397,arrayformula(isnumber(FIND($E24:$E$397,AM24)))))"),9.0)</f>
        <v>9</v>
      </c>
      <c r="AS24" s="128" t="str">
        <f>IFERROR(__xludf.DUMMYFUNCTION("iferror(join("","",index(sort(filter($F25:$F$397,$O25:$O$397&gt;$O24,arrayformula(isnumber(FIND($E25:$E$397,AM24)))),2,false),0,1)))"),"Oregon,Washington,James Madison")</f>
        <v>Oregon,Washington,James Madison</v>
      </c>
    </row>
    <row r="25">
      <c r="A25" s="23">
        <v>24.0</v>
      </c>
      <c r="B25" s="23">
        <v>2.0</v>
      </c>
      <c r="C25" s="23">
        <v>11.0</v>
      </c>
      <c r="D25" s="135" t="s">
        <v>56</v>
      </c>
      <c r="E25" s="136" t="str">
        <f>if(F25&lt;&gt;"",VLOOKUP(F25,offset('Teams-Conference'!A:B,0,(counta('Draft Order'!B$2:B134)-10)*2),2,0),"")</f>
        <v>Big Ten</v>
      </c>
      <c r="F25" s="140" t="s">
        <v>135</v>
      </c>
      <c r="G25" s="138" t="str">
        <f t="shared" si="1"/>
        <v/>
      </c>
      <c r="H25" s="127">
        <f t="shared" si="2"/>
        <v>0</v>
      </c>
      <c r="I25" s="127">
        <f t="shared" si="3"/>
        <v>2</v>
      </c>
      <c r="J25" s="127">
        <f t="shared" si="11"/>
        <v>0</v>
      </c>
      <c r="K25" s="127">
        <f t="shared" si="12"/>
        <v>1</v>
      </c>
      <c r="L25" s="127">
        <v>10.0</v>
      </c>
      <c r="M25" s="127">
        <f>IFERROR(__xludf.DUMMYFUNCTION("counta(iferror(filter(L$2:L24,E$2:E24=E25,L$2:L24&lt;L25)))"),0.0)</f>
        <v>0</v>
      </c>
      <c r="N25" s="127">
        <f>IFERROR(__xludf.DUMMYFUNCTION("counta(iferror(filter(L26:L$131,E26:E$131=E25,L26:L$136&gt;L25)))"),0.0)</f>
        <v>0</v>
      </c>
      <c r="O25" s="129">
        <f t="array" ref="O25:Z25">XLOOKUP(F25,'Current Week'!C:C,'Current Week'!D:O)</f>
        <v>10</v>
      </c>
      <c r="P25" s="127">
        <v>2.0</v>
      </c>
      <c r="Q25" s="128"/>
      <c r="R25" s="128"/>
      <c r="S25" s="128"/>
      <c r="T25" s="128"/>
      <c r="U25" s="128"/>
      <c r="V25" s="131"/>
      <c r="W25" s="128"/>
      <c r="X25" s="131"/>
      <c r="Y25" s="131">
        <v>446.0</v>
      </c>
      <c r="Z25" s="131">
        <v>137.0</v>
      </c>
      <c r="AA25" s="132">
        <f t="shared" si="4"/>
        <v>-2</v>
      </c>
      <c r="AB25" s="131">
        <f t="shared" si="5"/>
        <v>12</v>
      </c>
      <c r="AC25" s="131">
        <f>IFERROR(__xludf.DUMMYFUNCTION("iferror(COUNT(filter($O26:$O$397,$O26:$O$397&gt;$O25)))"),3.0)</f>
        <v>3</v>
      </c>
      <c r="AD25" s="133">
        <f t="shared" si="6"/>
        <v>0</v>
      </c>
      <c r="AE25" s="134">
        <f t="shared" si="7"/>
        <v>6</v>
      </c>
      <c r="AF25" s="128" t="str">
        <f>IFERROR(__xludf.DUMMYFUNCTION("iferror(join("","",index(sort(filter($F26:$F$398,$O26:$O$398&gt;$O25),2,false),0,1)))"),"Oregon,Washington,James Madison")</f>
        <v>Oregon,Washington,James Madison</v>
      </c>
      <c r="AG25" s="132">
        <f>IFERROR(__xludf.DUMMYFUNCTION("iferror($O25-max(filter($O25:$O$397,$E25:$E$397=$E$2)))"),0.0)</f>
        <v>0</v>
      </c>
      <c r="AH25" s="131">
        <f t="shared" si="8"/>
        <v>2</v>
      </c>
      <c r="AI25" s="131">
        <f>IFERROR(__xludf.DUMMYFUNCTION("iferror(COUNT(filter($O26:$O$397,$O26:$O$397&gt;$O25,$E25:$E$397=$E$2)))"),0.0)</f>
        <v>0</v>
      </c>
      <c r="AJ25" s="133">
        <f t="shared" si="9"/>
        <v>1</v>
      </c>
      <c r="AK25" s="134">
        <f>IFERROR(__xludf.DUMMYFUNCTION("iferror($O25-min(filter($O25:$O$397,$E25:$E$397=$E$2)))"),8.0)</f>
        <v>8</v>
      </c>
      <c r="AL25" s="128" t="str">
        <f>IFERROR(__xludf.DUMMYFUNCTION("iferror(join("","",index(sort(filter($F26:$F$397,$O26:$O$397&gt;$O25,$E26:$E$397=$E$2),2,false),0,1)))"),"")</f>
        <v/>
      </c>
      <c r="AM25" s="128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"""")"),"AAC,ACC,Big 12,Big Ten,CUSA,,MWC,Pac12,SEC,Sun Belt")</f>
        <v>AAC,ACC,Big 12,Big Ten,CUSA,,MWC,Pac12,SEC,Sun Belt</v>
      </c>
      <c r="AN25" s="132">
        <f>IFERROR(__xludf.DUMMYFUNCTION("iferror($O25-max(filter($O25:$O$397,arrayformula(isnumber(FIND($E25:$E$397,AM25))))))"),-2.0)</f>
        <v>-2</v>
      </c>
      <c r="AO25" s="131">
        <f t="array" ref="AO25">countifs($O$2:$O24,"&lt;"&amp;$O25,isnumber(FIND($E$2:$E24,AM25)),TRUE)</f>
        <v>12</v>
      </c>
      <c r="AP25" s="131">
        <f>IFERROR(__xludf.DUMMYFUNCTION("iferror(COUNT(filter($O26:$O$397,$O26:$O$397&gt;$O25,arrayformula(isnumber(FIND($E26:$E$397,AM25))))))"),3.0)</f>
        <v>3</v>
      </c>
      <c r="AQ25" s="133">
        <f t="shared" si="10"/>
        <v>0</v>
      </c>
      <c r="AR25" s="134">
        <f>IFERROR(__xludf.DUMMYFUNCTION("$O25-min(filter($O25:$O$397,arrayformula(isnumber(FIND($E25:$E$397,AM25)))))"),8.0)</f>
        <v>8</v>
      </c>
      <c r="AS25" s="128" t="str">
        <f>IFERROR(__xludf.DUMMYFUNCTION("iferror(join("","",index(sort(filter($F26:$F$397,$O26:$O$397&gt;$O25,arrayformula(isnumber(FIND($E26:$E$397,AM25)))),2,false),0,1)))"),"Oregon,Washington,James Madison")</f>
        <v>Oregon,Washington,James Madison</v>
      </c>
    </row>
    <row r="26">
      <c r="A26" s="23">
        <v>25.0</v>
      </c>
      <c r="B26" s="23">
        <v>2.0</v>
      </c>
      <c r="C26" s="23">
        <v>12.0</v>
      </c>
      <c r="D26" s="135" t="s">
        <v>58</v>
      </c>
      <c r="E26" t="str">
        <f>if(F26&lt;&gt;"",VLOOKUP(F26,offset('Teams-Conference'!A:B,0,(counta('Draft Order'!B$2:B134)-10)*2),2,0),"")</f>
        <v>AAC</v>
      </c>
      <c r="F26" s="140" t="s">
        <v>118</v>
      </c>
      <c r="G26" s="138" t="str">
        <f t="shared" si="1"/>
        <v/>
      </c>
      <c r="H26" s="127">
        <f t="shared" si="2"/>
        <v>2</v>
      </c>
      <c r="I26" s="127">
        <f t="shared" si="3"/>
        <v>2</v>
      </c>
      <c r="J26" s="127">
        <f t="shared" si="11"/>
        <v>0</v>
      </c>
      <c r="K26" s="127">
        <f>countif(E6:E26,E28)</f>
        <v>2</v>
      </c>
      <c r="L26" s="127">
        <v>9.0</v>
      </c>
      <c r="M26" s="127">
        <f>IFERROR(__xludf.DUMMYFUNCTION("counta(iferror(filter(L$2:L25,E$2:E25=E26,L$2:L25&lt;L26)))"),0.0)</f>
        <v>0</v>
      </c>
      <c r="N26" s="127">
        <f>IFERROR(__xludf.DUMMYFUNCTION("counta(iferror(filter(L27:L$131,E27:E$131=E26,L27:L$136&gt;L26)))"),0.0)</f>
        <v>0</v>
      </c>
      <c r="O26" s="129">
        <f t="array" ref="O26:Z26">XLOOKUP(F26,'Current Week'!C:C,'Current Week'!D:O)</f>
        <v>9</v>
      </c>
      <c r="P26" s="127">
        <v>3.0</v>
      </c>
      <c r="Q26" s="128"/>
      <c r="R26" s="128"/>
      <c r="S26" s="128"/>
      <c r="T26" s="128"/>
      <c r="U26" s="128"/>
      <c r="V26" s="131"/>
      <c r="W26" s="128"/>
      <c r="X26" s="131"/>
      <c r="Y26" s="131">
        <v>476.0</v>
      </c>
      <c r="Z26" s="131">
        <v>348.0</v>
      </c>
      <c r="AA26" s="132">
        <f t="shared" si="4"/>
        <v>-3</v>
      </c>
      <c r="AB26" s="131">
        <f t="shared" si="5"/>
        <v>11</v>
      </c>
      <c r="AC26" s="131">
        <f>IFERROR(__xludf.DUMMYFUNCTION("iferror(COUNT(filter($O27:$O$397,$O27:$O$397&gt;$O26)))"),10.0)</f>
        <v>10</v>
      </c>
      <c r="AD26" s="133">
        <f t="shared" si="6"/>
        <v>0</v>
      </c>
      <c r="AE26" s="134">
        <f t="shared" si="7"/>
        <v>5</v>
      </c>
      <c r="AF26" s="128" t="str">
        <f>IFERROR(__xludf.DUMMYFUNCTION("iferror(join("","",index(sort(filter($F27:$F$398,$O27:$O$398&gt;$O26),2,false),0,1)))"),"Oregon,SMU,Washington,Iowa,James Madison,Miami-OH,Ole Miss,Louisville,New Mexico State,Missouri")</f>
        <v>Oregon,SMU,Washington,Iowa,James Madison,Miami-OH,Ole Miss,Louisville,New Mexico State,Missouri</v>
      </c>
      <c r="AG26" s="132">
        <f>IFERROR(__xludf.DUMMYFUNCTION("iferror($O26-max(filter($O26:$O$397,$E26:$E$397=$E$2)))"),-1.0)</f>
        <v>-1</v>
      </c>
      <c r="AH26" s="131">
        <f t="shared" si="8"/>
        <v>1</v>
      </c>
      <c r="AI26" s="131">
        <f>IFERROR(__xludf.DUMMYFUNCTION("iferror(COUNT(filter($O27:$O$397,$O27:$O$397&gt;$O26,$E26:$E$397=$E$2)))"),0.0)</f>
        <v>0</v>
      </c>
      <c r="AJ26" s="133">
        <f t="shared" si="9"/>
        <v>0</v>
      </c>
      <c r="AK26" s="134">
        <f>IFERROR(__xludf.DUMMYFUNCTION("iferror($O26-min(filter($O26:$O$397,$E26:$E$397=$E$2)))"),7.0)</f>
        <v>7</v>
      </c>
      <c r="AL26" s="128" t="str">
        <f>IFERROR(__xludf.DUMMYFUNCTION("iferror(join("","",index(sort(filter($F27:$F$397,$O27:$O$397&gt;$O26,$E27:$E$397=$E$2),2,false),0,1)))"),"Ole Miss,Missouri")</f>
        <v>Ole Miss,Missouri</v>
      </c>
      <c r="AM26" s="128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26" s="132">
        <f>IFERROR(__xludf.DUMMYFUNCTION("iferror($O26-max(filter($O26:$O$397,arrayformula(isnumber(FIND($E26:$E$397,AM26))))))"),-3.0)</f>
        <v>-3</v>
      </c>
      <c r="AO26" s="131">
        <f t="array" ref="AO26">countifs($O$2:$O25,"&lt;"&amp;$O26,isnumber(FIND($E$2:$E25,AM26)),TRUE)</f>
        <v>9</v>
      </c>
      <c r="AP26" s="131">
        <f>IFERROR(__xludf.DUMMYFUNCTION("iferror(COUNT(filter($O27:$O$397,$O27:$O$397&gt;$O26,arrayformula(isnumber(FIND($E27:$E$397,AM26))))))"),9.0)</f>
        <v>9</v>
      </c>
      <c r="AQ26" s="133">
        <f t="shared" si="10"/>
        <v>0</v>
      </c>
      <c r="AR26" s="134">
        <f>IFERROR(__xludf.DUMMYFUNCTION("$O26-min(filter($O26:$O$397,arrayformula(isnumber(FIND($E26:$E$397,AM26)))))"),8.0)</f>
        <v>8</v>
      </c>
      <c r="AS26" s="128" t="str">
        <f>IFERROR(__xludf.DUMMYFUNCTION("iferror(join("","",index(sort(filter($F27:$F$397,$O27:$O$397&gt;$O26,arrayformula(isnumber(FIND($E27:$E$397,AM26)))),2,false),0,1)))"),"Oregon,SMU,Washington,Iowa,James Madison,Miami-OH,Ole Miss,Louisville,Missouri")</f>
        <v>Oregon,SMU,Washington,Iowa,James Madison,Miami-OH,Ole Miss,Louisville,Missouri</v>
      </c>
    </row>
    <row r="27">
      <c r="A27" s="141">
        <v>26.0</v>
      </c>
      <c r="B27" s="141">
        <v>2.0</v>
      </c>
      <c r="C27" s="141">
        <v>13.0</v>
      </c>
      <c r="D27" s="142" t="s">
        <v>35</v>
      </c>
      <c r="E27" s="143" t="str">
        <f>if(F27&lt;&gt;"",VLOOKUP(F27,offset('Teams-Conference'!A:B,0,(counta('Draft Order'!B$2:B134)-10)*2),2,0),"")</f>
        <v>Pac12</v>
      </c>
      <c r="F27" s="144" t="s">
        <v>38</v>
      </c>
      <c r="G27" s="145" t="str">
        <f t="shared" si="1"/>
        <v/>
      </c>
      <c r="H27" s="127">
        <f t="shared" si="2"/>
        <v>5</v>
      </c>
      <c r="I27" s="127">
        <f t="shared" si="3"/>
        <v>6</v>
      </c>
      <c r="J27" s="127">
        <f t="shared" si="11"/>
        <v>1</v>
      </c>
      <c r="K27" s="128"/>
      <c r="L27" s="127">
        <v>11.0</v>
      </c>
      <c r="M27" s="127">
        <f>IFERROR(__xludf.DUMMYFUNCTION("counta(iferror(filter(L$2:L26,E$2:E26=E27,L$2:L26&lt;L27)))"),1.0)</f>
        <v>1</v>
      </c>
      <c r="N27" s="127">
        <f>IFERROR(__xludf.DUMMYFUNCTION("counta(iferror(filter(L28:L$131,E28:E$131=E27,L28:L$136&gt;L27)))"),0.0)</f>
        <v>0</v>
      </c>
      <c r="O27" s="129">
        <f t="array" ref="O27:Z27">XLOOKUP(F27,'Current Week'!C:C,'Current Week'!D:O)</f>
        <v>11</v>
      </c>
      <c r="P27" s="127">
        <v>1.0</v>
      </c>
      <c r="Q27" s="128" t="s">
        <v>43</v>
      </c>
      <c r="R27" s="130">
        <v>45261.833333333336</v>
      </c>
      <c r="S27" s="128" t="s">
        <v>46</v>
      </c>
      <c r="T27" s="128"/>
      <c r="U27" s="128">
        <v>-7.5</v>
      </c>
      <c r="V27" s="131">
        <v>-9.5</v>
      </c>
      <c r="W27" s="128">
        <v>-345.0</v>
      </c>
      <c r="X27" s="131" t="s">
        <v>47</v>
      </c>
      <c r="Y27" s="131">
        <v>543.0</v>
      </c>
      <c r="Z27" s="131">
        <v>191.0</v>
      </c>
      <c r="AA27" s="132">
        <f t="shared" si="4"/>
        <v>-1</v>
      </c>
      <c r="AB27" s="131">
        <f t="shared" si="5"/>
        <v>16</v>
      </c>
      <c r="AC27" s="131">
        <f>IFERROR(__xludf.DUMMYFUNCTION("iferror(COUNT(filter($O28:$O$397,$O28:$O$397&gt;$O27)))"),1.0)</f>
        <v>1</v>
      </c>
      <c r="AD27" s="133">
        <f t="shared" si="6"/>
        <v>0</v>
      </c>
      <c r="AE27" s="134">
        <f t="shared" si="7"/>
        <v>7</v>
      </c>
      <c r="AF27" s="128" t="str">
        <f>IFERROR(__xludf.DUMMYFUNCTION("iferror(join("","",index(sort(filter($F28:$F$398,$O28:$O$398&gt;$O27),2,false),0,1)))"),"Washington")</f>
        <v>Washington</v>
      </c>
      <c r="AG27" s="132">
        <f>IFERROR(__xludf.DUMMYFUNCTION("iferror($O27-max(filter($O27:$O$397,$E27:$E$397=$E$2)))"),1.0)</f>
        <v>1</v>
      </c>
      <c r="AH27" s="131">
        <f t="shared" si="8"/>
        <v>2</v>
      </c>
      <c r="AI27" s="131">
        <f>IFERROR(__xludf.DUMMYFUNCTION("iferror(COUNT(filter($O28:$O$397,$O28:$O$397&gt;$O27,$E27:$E$397=$E$2)))"),0.0)</f>
        <v>0</v>
      </c>
      <c r="AJ27" s="133">
        <f t="shared" si="9"/>
        <v>0</v>
      </c>
      <c r="AK27" s="134">
        <f>IFERROR(__xludf.DUMMYFUNCTION("iferror($O27-min(filter($O27:$O$397,$E27:$E$397=$E$2)))"),9.0)</f>
        <v>9</v>
      </c>
      <c r="AL27" s="128" t="str">
        <f>IFERROR(__xludf.DUMMYFUNCTION("iferror(join("","",index(sort(filter($F28:$F$397,$O28:$O$397&gt;$O27,$E28:$E$397=$E$2),2,false),0,1)))"),"")</f>
        <v/>
      </c>
      <c r="AM27" s="128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27" s="132">
        <f>IFERROR(__xludf.DUMMYFUNCTION("iferror($O27-max(filter($O27:$O$397,arrayformula(isnumber(FIND($E27:$E$397,AM27))))))"),-1.0)</f>
        <v>-1</v>
      </c>
      <c r="AO27" s="131">
        <f t="array" ref="AO27">countifs($O$2:$O26,"&lt;"&amp;$O27,isnumber(FIND($E$2:$E26,AM27)),TRUE)</f>
        <v>14</v>
      </c>
      <c r="AP27" s="131">
        <f>IFERROR(__xludf.DUMMYFUNCTION("iferror(COUNT(filter($O28:$O$397,$O28:$O$397&gt;$O27,arrayformula(isnumber(FIND($E28:$E$397,AM27))))))"),1.0)</f>
        <v>1</v>
      </c>
      <c r="AQ27" s="133">
        <f t="shared" si="10"/>
        <v>0</v>
      </c>
      <c r="AR27" s="134">
        <f>IFERROR(__xludf.DUMMYFUNCTION("$O27-min(filter($O27:$O$397,arrayformula(isnumber(FIND($E27:$E$397,AM27)))))"),10.0)</f>
        <v>10</v>
      </c>
      <c r="AS27" s="128" t="str">
        <f>IFERROR(__xludf.DUMMYFUNCTION("iferror(join("","",index(sort(filter($F28:$F$397,$O28:$O$397&gt;$O27,arrayformula(isnumber(FIND($E28:$E$397,AM27)))),2,false),0,1)))"),"Washington")</f>
        <v>Washington</v>
      </c>
    </row>
    <row r="28">
      <c r="A28" s="122">
        <v>27.0</v>
      </c>
      <c r="B28" s="122">
        <v>3.0</v>
      </c>
      <c r="C28" s="122">
        <v>1.0</v>
      </c>
      <c r="D28" s="123" t="str">
        <f t="array" ref="D28:D40">index(sort('Draft Order'!$A$2:$B$14,1,1),0,2)</f>
        <v>Nick G.</v>
      </c>
      <c r="E28" s="124" t="str">
        <f>if(F28&lt;&gt;"",VLOOKUP(F28,offset('Teams-Conference'!A:B,0,(counta('Draft Order'!B$2:B134)-10)*2),2,0),"")</f>
        <v>Big 12</v>
      </c>
      <c r="F28" s="125" t="s">
        <v>74</v>
      </c>
      <c r="G28" s="126" t="str">
        <f t="shared" si="1"/>
        <v/>
      </c>
      <c r="H28" s="127">
        <f t="shared" si="2"/>
        <v>1</v>
      </c>
      <c r="I28" s="127">
        <f t="shared" si="3"/>
        <v>3</v>
      </c>
      <c r="J28" s="127">
        <f t="shared" si="11"/>
        <v>1</v>
      </c>
      <c r="K28" s="127">
        <f t="shared" ref="K28:K33" si="13">countif(E7:E28,E29)</f>
        <v>2</v>
      </c>
      <c r="L28" s="127">
        <v>8.0</v>
      </c>
      <c r="M28" s="127">
        <f>IFERROR(__xludf.DUMMYFUNCTION("counta(iferror(filter(L$2:L27,E$2:E27=E28,L$2:L27&lt;L28)))"),0.0)</f>
        <v>0</v>
      </c>
      <c r="N28" s="127">
        <f>IFERROR(__xludf.DUMMYFUNCTION("counta(iferror(filter(L29:L$131,E29:E$131=E28,L29:L$136&gt;L28)))"),0.0)</f>
        <v>0</v>
      </c>
      <c r="O28" s="129">
        <f t="array" ref="O28:Z28">XLOOKUP(F28,'Current Week'!C:C,'Current Week'!D:O)</f>
        <v>8</v>
      </c>
      <c r="P28" s="127">
        <v>4.0</v>
      </c>
      <c r="Q28" s="128"/>
      <c r="R28" s="128"/>
      <c r="S28" s="128"/>
      <c r="T28" s="128"/>
      <c r="U28" s="128"/>
      <c r="V28" s="131"/>
      <c r="W28" s="128"/>
      <c r="X28" s="131"/>
      <c r="Y28" s="131">
        <v>454.0</v>
      </c>
      <c r="Z28" s="131">
        <v>254.0</v>
      </c>
      <c r="AA28" s="132">
        <f t="shared" si="4"/>
        <v>-4</v>
      </c>
      <c r="AB28" s="131">
        <f t="shared" si="5"/>
        <v>6</v>
      </c>
      <c r="AC28" s="131">
        <f>IFERROR(__xludf.DUMMYFUNCTION("iferror(COUNT(filter($O29:$O$397,$O29:$O$397&gt;$O28)))"),16.0)</f>
        <v>16</v>
      </c>
      <c r="AD28" s="133">
        <f t="shared" si="6"/>
        <v>0</v>
      </c>
      <c r="AE28" s="134">
        <f t="shared" si="7"/>
        <v>4</v>
      </c>
      <c r="AF28" s="128" t="str">
        <f>IFERROR(__xludf.DUMMYFUNCTION("iferror(join("","",index(sort(filter($F29:$F$398,$O29:$O$398&gt;$O28),2,false),0,1)))"),"Notre Dame,SMU,Washington,Ohio,Oklahoma State,Iowa,James Madison,Miami-OH,Ole Miss,Louisville,New Mexico State,NC State,UNLV,Arizona,Missouri,West Virginia")</f>
        <v>Notre Dame,SMU,Washington,Ohio,Oklahoma State,Iowa,James Madison,Miami-OH,Ole Miss,Louisville,New Mexico State,NC State,UNLV,Arizona,Missouri,West Virginia</v>
      </c>
      <c r="AG28" s="132">
        <f>IFERROR(__xludf.DUMMYFUNCTION("iferror($O28-max(filter($O28:$O$397,$E28:$E$397=$E$2)))"),-2.0)</f>
        <v>-2</v>
      </c>
      <c r="AH28" s="131">
        <f t="shared" si="8"/>
        <v>0</v>
      </c>
      <c r="AI28" s="131">
        <f>IFERROR(__xludf.DUMMYFUNCTION("iferror(COUNT(filter($O29:$O$397,$O29:$O$397&gt;$O28,$E28:$E$397=$E$2)))"),0.0)</f>
        <v>0</v>
      </c>
      <c r="AJ28" s="133">
        <f t="shared" si="9"/>
        <v>0</v>
      </c>
      <c r="AK28" s="134">
        <f>IFERROR(__xludf.DUMMYFUNCTION("iferror($O28-min(filter($O28:$O$397,$E28:$E$397=$E$2)))"),6.0)</f>
        <v>6</v>
      </c>
      <c r="AL28" s="128" t="str">
        <f>IFERROR(__xludf.DUMMYFUNCTION("iferror(join("","",index(sort(filter($F29:$F$397,$O29:$O$397&gt;$O28,$E29:$E$397=$E$2),2,false),0,1)))"),"Ole Miss,Missouri")</f>
        <v>Ole Miss,Missouri</v>
      </c>
      <c r="AM28" s="128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"""")"),"AAC,ACC,Big 12,Big Ten,CUSA,MAC,MWC,,Sun Belt")</f>
        <v>AAC,ACC,Big 12,Big Ten,CUSA,MAC,MWC,,Sun Belt</v>
      </c>
      <c r="AN28" s="132">
        <f>IFERROR(__xludf.DUMMYFUNCTION("iferror($O28-max(filter($O28:$O$397,arrayformula(isnumber(FIND($E28:$E$397,AM28))))))"),-3.0)</f>
        <v>-3</v>
      </c>
      <c r="AO28" s="131">
        <f t="array" ref="AO28">countifs($O$2:$O27,"&lt;"&amp;$O28,isnumber(FIND($E$2:$E27,AM28)),TRUE)</f>
        <v>5</v>
      </c>
      <c r="AP28" s="131">
        <f>IFERROR(__xludf.DUMMYFUNCTION("iferror(COUNT(filter($O29:$O$397,$O29:$O$397&gt;$O28,arrayformula(isnumber(FIND($E29:$E$397,AM28))))))"),11.0)</f>
        <v>11</v>
      </c>
      <c r="AQ28" s="133">
        <f t="shared" si="10"/>
        <v>0</v>
      </c>
      <c r="AR28" s="134">
        <f>IFERROR(__xludf.DUMMYFUNCTION("$O28-min(filter($O28:$O$397,arrayformula(isnumber(FIND($E28:$E$397,AM28)))))"),7.0)</f>
        <v>7</v>
      </c>
      <c r="AS28" s="128" t="str">
        <f>IFERROR(__xludf.DUMMYFUNCTION("iferror(join("","",index(sort(filter($F29:$F$397,$O29:$O$397&gt;$O28,arrayformula(isnumber(FIND($E29:$E$397,AM28)))),2,false),0,1)))"),"SMU,Ohio,Oklahoma State,Iowa,James Madison,Miami-OH,Louisville,New Mexico State,NC State,UNLV,West Virginia")</f>
        <v>SMU,Ohio,Oklahoma State,Iowa,James Madison,Miami-OH,Louisville,New Mexico State,NC State,UNLV,West Virginia</v>
      </c>
    </row>
    <row r="29">
      <c r="A29" s="23">
        <v>28.0</v>
      </c>
      <c r="B29" s="23">
        <v>3.0</v>
      </c>
      <c r="C29" s="23">
        <v>2.0</v>
      </c>
      <c r="D29" s="135" t="s">
        <v>58</v>
      </c>
      <c r="E29" s="136" t="str">
        <f>if(F29&lt;&gt;"",VLOOKUP(F29,offset('Teams-Conference'!A:B,0,(counta('Draft Order'!B$2:B134)-10)*2),2,0),"")</f>
        <v>Pac12</v>
      </c>
      <c r="F29" s="137" t="s">
        <v>109</v>
      </c>
      <c r="G29" s="138" t="str">
        <f t="shared" si="1"/>
        <v/>
      </c>
      <c r="H29" s="127">
        <f t="shared" si="2"/>
        <v>5</v>
      </c>
      <c r="I29" s="127">
        <f t="shared" si="3"/>
        <v>5</v>
      </c>
      <c r="J29" s="127">
        <f t="shared" si="11"/>
        <v>2</v>
      </c>
      <c r="K29" s="127">
        <f t="shared" si="13"/>
        <v>3</v>
      </c>
      <c r="L29" s="127">
        <v>7.0</v>
      </c>
      <c r="M29" s="127">
        <f>IFERROR(__xludf.DUMMYFUNCTION("counta(iferror(filter(L$2:L28,E$2:E28=E29,L$2:L28&lt;L29)))"),0.0)</f>
        <v>0</v>
      </c>
      <c r="N29" s="127">
        <f>IFERROR(__xludf.DUMMYFUNCTION("counta(iferror(filter(L30:L$131,E30:E$131=E29,L30:L$136&gt;L29)))"),0.0)</f>
        <v>0</v>
      </c>
      <c r="O29" s="129">
        <f t="array" ref="O29:Z29">XLOOKUP(F29,'Current Week'!C:C,'Current Week'!D:O)</f>
        <v>7</v>
      </c>
      <c r="P29" s="127">
        <v>5.0</v>
      </c>
      <c r="Q29" s="128"/>
      <c r="R29" s="128"/>
      <c r="S29" s="128"/>
      <c r="T29" s="128"/>
      <c r="U29" s="128"/>
      <c r="V29" s="131"/>
      <c r="W29" s="128"/>
      <c r="X29" s="131"/>
      <c r="Y29" s="131">
        <v>309.0</v>
      </c>
      <c r="Z29" s="131">
        <v>217.0</v>
      </c>
      <c r="AA29" s="132">
        <f t="shared" si="4"/>
        <v>-5</v>
      </c>
      <c r="AB29" s="131">
        <f t="shared" si="5"/>
        <v>3</v>
      </c>
      <c r="AC29" s="131">
        <f>IFERROR(__xludf.DUMMYFUNCTION("iferror(COUNT(filter($O30:$O$397,$O30:$O$397&gt;$O29)))"),23.0)</f>
        <v>23</v>
      </c>
      <c r="AD29" s="133">
        <f t="shared" si="6"/>
        <v>0</v>
      </c>
      <c r="AE29" s="134">
        <f t="shared" si="7"/>
        <v>3</v>
      </c>
      <c r="AF29" s="128" t="str">
        <f>IFERROR(__xludf.DUMMYFUNCTION("iferror(join("","",index(sort(filter($F30:$F$398,$O30:$O$398&gt;$O29),2,false),0,1)))"),"Notre Dame,SMU,Washington,UTSA,Ohio,Utah,Oregon State,Oklahoma State,Iowa,James Madison,Miami-OH,Ole Miss,Louisville,Appalachian State,Wyoming,New Mexico State,NC State,Jacksonville State,UNLV,Kansas,Arizona,Missouri,West Virginia")</f>
        <v>Notre Dame,SMU,Washington,UTSA,Ohio,Utah,Oregon State,Oklahoma State,Iowa,James Madison,Miami-OH,Ole Miss,Louisville,Appalachian State,Wyoming,New Mexico State,NC State,Jacksonville State,UNLV,Kansas,Arizona,Missouri,West Virginia</v>
      </c>
      <c r="AG29" s="132">
        <f>IFERROR(__xludf.DUMMYFUNCTION("iferror($O29-max(filter($O29:$O$397,$E29:$E$397=$E$2)))"),-3.0)</f>
        <v>-3</v>
      </c>
      <c r="AH29" s="131">
        <f t="shared" si="8"/>
        <v>0</v>
      </c>
      <c r="AI29" s="131">
        <f>IFERROR(__xludf.DUMMYFUNCTION("iferror(COUNT(filter($O30:$O$397,$O30:$O$397&gt;$O29,$E29:$E$397=$E$2)))"),0.0)</f>
        <v>0</v>
      </c>
      <c r="AJ29" s="133">
        <f t="shared" si="9"/>
        <v>0</v>
      </c>
      <c r="AK29" s="134">
        <f>IFERROR(__xludf.DUMMYFUNCTION("iferror($O29-min(filter($O29:$O$397,$E29:$E$397=$E$2)))"),5.0)</f>
        <v>5</v>
      </c>
      <c r="AL29" s="128" t="str">
        <f>IFERROR(__xludf.DUMMYFUNCTION("iferror(join("","",index(sort(filter($F30:$F$397,$O30:$O$397&gt;$O29,$E30:$E$397=$E$2),2,false),0,1)))"),"Ole Miss,Missouri")</f>
        <v>Ole Miss,Missouri</v>
      </c>
      <c r="AM29" s="128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"""")"),"ACC,Big 12,Big Ten,MAC,MWC,Pac12,SEC,Sun Belt")</f>
        <v>ACC,Big 12,Big Ten,MAC,MWC,Pac12,SEC,Sun Belt</v>
      </c>
      <c r="AN29" s="132">
        <f>IFERROR(__xludf.DUMMYFUNCTION("iferror($O29-max(filter($O29:$O$397,arrayformula(isnumber(FIND($E29:$E$397,AM29))))))"),-5.0)</f>
        <v>-5</v>
      </c>
      <c r="AO29" s="131">
        <f t="array" ref="AO29">countifs($O$2:$O28,"&lt;"&amp;$O29,isnumber(FIND($E$2:$E28,AM29)),TRUE)</f>
        <v>2</v>
      </c>
      <c r="AP29" s="131">
        <f>IFERROR(__xludf.DUMMYFUNCTION("iferror(COUNT(filter($O30:$O$397,$O30:$O$397&gt;$O29,arrayformula(isnumber(FIND($E30:$E$397,AM29))))))"),19.0)</f>
        <v>19</v>
      </c>
      <c r="AQ29" s="133">
        <f t="shared" si="10"/>
        <v>0</v>
      </c>
      <c r="AR29" s="134">
        <f>IFERROR(__xludf.DUMMYFUNCTION("$O29-min(filter($O29:$O$397,arrayformula(isnumber(FIND($E29:$E$397,AM29)))))"),6.0)</f>
        <v>6</v>
      </c>
      <c r="AS29" s="128" t="str">
        <f>IFERROR(__xludf.DUMMYFUNCTION("iferror(join("","",index(sort(filter($F30:$F$397,$O30:$O$397&gt;$O29,arrayformula(isnumber(FIND($E30:$E$397,AM29)))),2,false),0,1)))"),"Notre Dame,Washington,Ohio,Utah,Oregon State,Oklahoma State,Iowa,James Madison,Miami-OH,Ole Miss,Louisville,Appalachian State,Wyoming,NC State,UNLV,Kansas,Arizona,Missouri,West Virginia")</f>
        <v>Notre Dame,Washington,Ohio,Utah,Oregon State,Oklahoma State,Iowa,James Madison,Miami-OH,Ole Miss,Louisville,Appalachian State,Wyoming,NC State,UNLV,Kansas,Arizona,Missouri,West Virginia</v>
      </c>
    </row>
    <row r="30">
      <c r="A30" s="23">
        <v>29.0</v>
      </c>
      <c r="B30" s="23">
        <v>3.0</v>
      </c>
      <c r="C30" s="23">
        <v>3.0</v>
      </c>
      <c r="D30" s="139" t="s">
        <v>56</v>
      </c>
      <c r="E30" s="136" t="str">
        <f>if(F30&lt;&gt;"",VLOOKUP(F30,offset('Teams-Conference'!A:B,0,(counta('Draft Order'!B$2:B134)-10)*2),2,0),"")</f>
        <v>Pac12</v>
      </c>
      <c r="F30" s="137" t="s">
        <v>128</v>
      </c>
      <c r="G30" s="138" t="str">
        <f t="shared" si="1"/>
        <v/>
      </c>
      <c r="H30" s="127">
        <f t="shared" si="2"/>
        <v>4</v>
      </c>
      <c r="I30" s="127">
        <f t="shared" si="3"/>
        <v>4</v>
      </c>
      <c r="J30" s="127">
        <f t="shared" si="11"/>
        <v>3</v>
      </c>
      <c r="K30" s="127">
        <f t="shared" si="13"/>
        <v>1</v>
      </c>
      <c r="L30" s="127">
        <v>9.0</v>
      </c>
      <c r="M30" s="127">
        <f>IFERROR(__xludf.DUMMYFUNCTION("counta(iferror(filter(L$2:L29,E$2:E29=E30,L$2:L29&lt;L30)))"),2.0)</f>
        <v>2</v>
      </c>
      <c r="N30" s="127">
        <f>IFERROR(__xludf.DUMMYFUNCTION("counta(iferror(filter(L31:L$131,E31:E$131=E30,L31:L$136&gt;L30)))"),0.0)</f>
        <v>0</v>
      </c>
      <c r="O30" s="129">
        <f t="array" ref="O30:Z30">XLOOKUP(F30,'Current Week'!C:C,'Current Week'!D:O)</f>
        <v>9</v>
      </c>
      <c r="P30" s="127">
        <v>3.0</v>
      </c>
      <c r="Q30" s="128"/>
      <c r="R30" s="128"/>
      <c r="S30" s="128"/>
      <c r="T30" s="128"/>
      <c r="U30" s="128"/>
      <c r="V30" s="131"/>
      <c r="W30" s="128"/>
      <c r="X30" s="131"/>
      <c r="Y30" s="131">
        <v>469.0</v>
      </c>
      <c r="Z30" s="131">
        <v>199.0</v>
      </c>
      <c r="AA30" s="132">
        <f t="shared" si="4"/>
        <v>-3</v>
      </c>
      <c r="AB30" s="131">
        <f t="shared" si="5"/>
        <v>13</v>
      </c>
      <c r="AC30" s="131">
        <f>IFERROR(__xludf.DUMMYFUNCTION("iferror(COUNT(filter($O31:$O$397,$O31:$O$397&gt;$O30)))"),9.0)</f>
        <v>9</v>
      </c>
      <c r="AD30" s="133">
        <f t="shared" si="6"/>
        <v>0</v>
      </c>
      <c r="AE30" s="134">
        <f t="shared" si="7"/>
        <v>5</v>
      </c>
      <c r="AF30" s="128" t="str">
        <f>IFERROR(__xludf.DUMMYFUNCTION("iferror(join("","",index(sort(filter($F31:$F$398,$O31:$O$398&gt;$O30),2,false),0,1)))"),"SMU,Washington,Iowa,James Madison,Miami-OH,Ole Miss,Louisville,New Mexico State,Missouri")</f>
        <v>SMU,Washington,Iowa,James Madison,Miami-OH,Ole Miss,Louisville,New Mexico State,Missouri</v>
      </c>
      <c r="AG30" s="132">
        <f>IFERROR(__xludf.DUMMYFUNCTION("iferror($O30-max(filter($O30:$O$397,$E30:$E$397=$E$2)))"),-1.0)</f>
        <v>-1</v>
      </c>
      <c r="AH30" s="131">
        <f t="shared" si="8"/>
        <v>1</v>
      </c>
      <c r="AI30" s="131">
        <f>IFERROR(__xludf.DUMMYFUNCTION("iferror(COUNT(filter($O31:$O$397,$O31:$O$397&gt;$O30,$E30:$E$397=$E$2)))"),0.0)</f>
        <v>0</v>
      </c>
      <c r="AJ30" s="133">
        <f t="shared" si="9"/>
        <v>0</v>
      </c>
      <c r="AK30" s="134">
        <f>IFERROR(__xludf.DUMMYFUNCTION("iferror($O30-min(filter($O30:$O$397,$E30:$E$397=$E$2)))"),7.0)</f>
        <v>7</v>
      </c>
      <c r="AL30" s="128" t="str">
        <f>IFERROR(__xludf.DUMMYFUNCTION("iferror(join("","",index(sort(filter($F31:$F$397,$O31:$O$397&gt;$O30,$E31:$E$397=$E$2),2,false),0,1)))"),"Ole Miss,Missouri")</f>
        <v>Ole Miss,Missouri</v>
      </c>
      <c r="AM30" s="128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"""")"),"AAC,ACC,Big 12,,CUSA,MWC,Pac12,SEC,Sun Belt")</f>
        <v>AAC,ACC,Big 12,,CUSA,MWC,Pac12,SEC,Sun Belt</v>
      </c>
      <c r="AN30" s="132">
        <f>IFERROR(__xludf.DUMMYFUNCTION("iferror($O30-max(filter($O30:$O$397,arrayformula(isnumber(FIND($E30:$E$397,AM30))))))"),-3.0)</f>
        <v>-3</v>
      </c>
      <c r="AO30" s="131">
        <f t="array" ref="AO30">countifs($O$2:$O29,"&lt;"&amp;$O30,isnumber(FIND($E$2:$E29,AM30)),TRUE)</f>
        <v>13</v>
      </c>
      <c r="AP30" s="131">
        <f>IFERROR(__xludf.DUMMYFUNCTION("iferror(COUNT(filter($O31:$O$397,$O31:$O$397&gt;$O30,arrayformula(isnumber(FIND($E31:$E$397,AM30))))))"),7.0)</f>
        <v>7</v>
      </c>
      <c r="AQ30" s="133">
        <f t="shared" si="10"/>
        <v>0</v>
      </c>
      <c r="AR30" s="134">
        <f>IFERROR(__xludf.DUMMYFUNCTION("$O30-min(filter($O30:$O$397,arrayformula(isnumber(FIND($E30:$E$397,AM30)))))"),7.0)</f>
        <v>7</v>
      </c>
      <c r="AS30" s="128" t="str">
        <f>IFERROR(__xludf.DUMMYFUNCTION("iferror(join("","",index(sort(filter($F31:$F$397,$O31:$O$397&gt;$O30,arrayformula(isnumber(FIND($E31:$E$397,AM30)))),2,false),0,1)))"),"SMU,Washington,James Madison,Ole Miss,Louisville,New Mexico State,Missouri")</f>
        <v>SMU,Washington,James Madison,Ole Miss,Louisville,New Mexico State,Missouri</v>
      </c>
    </row>
    <row r="31">
      <c r="A31" s="23">
        <v>30.0</v>
      </c>
      <c r="B31" s="23">
        <v>3.0</v>
      </c>
      <c r="C31" s="23">
        <v>4.0</v>
      </c>
      <c r="D31" s="135" t="s">
        <v>60</v>
      </c>
      <c r="E31" s="136" t="str">
        <f>if(F31&lt;&gt;"",VLOOKUP(F31,offset('Teams-Conference'!A:B,0,(counta('Draft Order'!B$2:B134)-10)*2),2,0),"")</f>
        <v>AAC</v>
      </c>
      <c r="F31" s="137" t="s">
        <v>139</v>
      </c>
      <c r="G31" s="138" t="str">
        <f t="shared" si="1"/>
        <v/>
      </c>
      <c r="H31" s="127">
        <f t="shared" si="2"/>
        <v>1</v>
      </c>
      <c r="I31" s="127">
        <f t="shared" si="3"/>
        <v>2</v>
      </c>
      <c r="J31" s="127">
        <f t="shared" si="11"/>
        <v>1</v>
      </c>
      <c r="K31" s="127">
        <f t="shared" si="13"/>
        <v>4</v>
      </c>
      <c r="L31" s="127">
        <v>10.0</v>
      </c>
      <c r="M31" s="127">
        <f>IFERROR(__xludf.DUMMYFUNCTION("counta(iferror(filter(L$2:L30,E$2:E30=E31,L$2:L30&lt;L31)))"),1.0)</f>
        <v>1</v>
      </c>
      <c r="N31" s="127">
        <f>IFERROR(__xludf.DUMMYFUNCTION("counta(iferror(filter(L32:L$131,E32:E$131=E31,L32:L$136&gt;L31)))"),0.0)</f>
        <v>0</v>
      </c>
      <c r="O31" s="129">
        <f t="array" ref="O31:Z31">XLOOKUP(F31,'Current Week'!C:C,'Current Week'!D:O)</f>
        <v>10</v>
      </c>
      <c r="P31" s="127">
        <v>2.0</v>
      </c>
      <c r="Q31" s="128" t="s">
        <v>107</v>
      </c>
      <c r="R31" s="130">
        <v>45262.666666666664</v>
      </c>
      <c r="S31" s="128" t="s">
        <v>46</v>
      </c>
      <c r="T31" s="128"/>
      <c r="U31" s="128">
        <v>6.0</v>
      </c>
      <c r="V31" s="131">
        <v>3.5</v>
      </c>
      <c r="W31" s="128">
        <v>132.0</v>
      </c>
      <c r="X31" s="131" t="s">
        <v>151</v>
      </c>
      <c r="Y31" s="131">
        <v>502.0</v>
      </c>
      <c r="Z31" s="131">
        <v>212.0</v>
      </c>
      <c r="AA31" s="132">
        <f t="shared" si="4"/>
        <v>-2</v>
      </c>
      <c r="AB31" s="131">
        <f t="shared" si="5"/>
        <v>16</v>
      </c>
      <c r="AC31" s="131">
        <f>IFERROR(__xludf.DUMMYFUNCTION("iferror(COUNT(filter($O32:$O$397,$O32:$O$397&gt;$O31)))"),2.0)</f>
        <v>2</v>
      </c>
      <c r="AD31" s="133">
        <f t="shared" si="6"/>
        <v>0</v>
      </c>
      <c r="AE31" s="134">
        <f t="shared" si="7"/>
        <v>6</v>
      </c>
      <c r="AF31" s="128" t="str">
        <f>IFERROR(__xludf.DUMMYFUNCTION("iferror(join("","",index(sort(filter($F32:$F$398,$O32:$O$398&gt;$O31),2,false),0,1)))"),"Washington,James Madison")</f>
        <v>Washington,James Madison</v>
      </c>
      <c r="AG31" s="132">
        <f>IFERROR(__xludf.DUMMYFUNCTION("iferror($O31-max(filter($O31:$O$397,$E31:$E$397=$E$2)))"),0.0)</f>
        <v>0</v>
      </c>
      <c r="AH31" s="131">
        <f t="shared" si="8"/>
        <v>2</v>
      </c>
      <c r="AI31" s="131">
        <f>IFERROR(__xludf.DUMMYFUNCTION("iferror(COUNT(filter($O32:$O$397,$O32:$O$397&gt;$O31,$E31:$E$397=$E$2)))"),0.0)</f>
        <v>0</v>
      </c>
      <c r="AJ31" s="133">
        <f t="shared" si="9"/>
        <v>1</v>
      </c>
      <c r="AK31" s="134">
        <f>IFERROR(__xludf.DUMMYFUNCTION("iferror($O31-min(filter($O31:$O$397,$E31:$E$397=$E$2)))"),8.0)</f>
        <v>8</v>
      </c>
      <c r="AL31" s="128" t="str">
        <f>IFERROR(__xludf.DUMMYFUNCTION("iferror(join("","",index(sort(filter($F32:$F$397,$O32:$O$397&gt;$O31,$E32:$E$397=$E$2),2,false),0,1)))"),"")</f>
        <v/>
      </c>
      <c r="AM31" s="128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"""")"),"AAC,ACC,,Big Ten,CUSA,MAC,MWC,Pac12,Sun Belt")</f>
        <v>AAC,ACC,,Big Ten,CUSA,MAC,MWC,Pac12,Sun Belt</v>
      </c>
      <c r="AN31" s="132">
        <f>IFERROR(__xludf.DUMMYFUNCTION("iferror($O31-max(filter($O31:$O$397,arrayformula(isnumber(FIND($E31:$E$397,AM31))))))"),-2.0)</f>
        <v>-2</v>
      </c>
      <c r="AO31" s="131">
        <f t="array" ref="AO31">countifs($O$2:$O30,"&lt;"&amp;$O31,isnumber(FIND($E$2:$E30,AM31)),TRUE)</f>
        <v>13</v>
      </c>
      <c r="AP31" s="131">
        <f>IFERROR(__xludf.DUMMYFUNCTION("iferror(COUNT(filter($O32:$O$397,$O32:$O$397&gt;$O31,arrayformula(isnumber(FIND($E32:$E$397,AM31))))))"),2.0)</f>
        <v>2</v>
      </c>
      <c r="AQ31" s="133">
        <f t="shared" si="10"/>
        <v>0</v>
      </c>
      <c r="AR31" s="134">
        <f>IFERROR(__xludf.DUMMYFUNCTION("$O31-min(filter($O31:$O$397,arrayformula(isnumber(FIND($E31:$E$397,AM31)))))"),9.0)</f>
        <v>9</v>
      </c>
      <c r="AS31" s="128" t="str">
        <f>IFERROR(__xludf.DUMMYFUNCTION("iferror(join("","",index(sort(filter($F32:$F$397,$O32:$O$397&gt;$O31,arrayformula(isnumber(FIND($E32:$E$397,AM31)))),2,false),0,1)))"),"Washington,James Madison")</f>
        <v>Washington,James Madison</v>
      </c>
    </row>
    <row r="32">
      <c r="A32" s="23">
        <v>31.0</v>
      </c>
      <c r="B32" s="23">
        <v>3.0</v>
      </c>
      <c r="C32" s="23">
        <v>5.0</v>
      </c>
      <c r="D32" s="135" t="s">
        <v>46</v>
      </c>
      <c r="E32" s="136" t="str">
        <f>if(F32&lt;&gt;"",VLOOKUP(F32,offset('Teams-Conference'!A:B,0,(counta('Draft Order'!B$2:B134)-10)*2),2,0),"")</f>
        <v>Pac12</v>
      </c>
      <c r="F32" s="140" t="s">
        <v>180</v>
      </c>
      <c r="G32" s="138" t="str">
        <f t="shared" si="1"/>
        <v/>
      </c>
      <c r="H32" s="127">
        <f t="shared" si="2"/>
        <v>3</v>
      </c>
      <c r="I32" s="127">
        <f t="shared" si="3"/>
        <v>3</v>
      </c>
      <c r="J32" s="127">
        <f t="shared" si="11"/>
        <v>3</v>
      </c>
      <c r="K32" s="127">
        <f t="shared" si="13"/>
        <v>2</v>
      </c>
      <c r="L32" s="127">
        <v>12.0</v>
      </c>
      <c r="M32" s="127">
        <f>IFERROR(__xludf.DUMMYFUNCTION("counta(iferror(filter(L$2:L31,E$2:E31=E32,L$2:L31&lt;L32)))"),4.0)</f>
        <v>4</v>
      </c>
      <c r="N32" s="127">
        <f>IFERROR(__xludf.DUMMYFUNCTION("counta(iferror(filter(L33:L$131,E33:E$131=E32,L33:L$136&gt;L32)))"),0.0)</f>
        <v>0</v>
      </c>
      <c r="O32" s="129">
        <f t="array" ref="O32:Z32">XLOOKUP(F32,'Current Week'!C:C,'Current Week'!D:O)</f>
        <v>12</v>
      </c>
      <c r="P32" s="127">
        <v>0.0</v>
      </c>
      <c r="Q32" s="128" t="s">
        <v>43</v>
      </c>
      <c r="R32" s="130">
        <v>45261.833333333336</v>
      </c>
      <c r="S32" s="128" t="s">
        <v>35</v>
      </c>
      <c r="T32" s="128" t="s">
        <v>82</v>
      </c>
      <c r="U32" s="128">
        <v>7.5</v>
      </c>
      <c r="V32" s="131">
        <v>9.5</v>
      </c>
      <c r="W32" s="128">
        <v>-345.0</v>
      </c>
      <c r="X32" s="131" t="s">
        <v>47</v>
      </c>
      <c r="Y32" s="131">
        <v>456.0</v>
      </c>
      <c r="Z32" s="131">
        <v>276.0</v>
      </c>
      <c r="AA32" s="132">
        <f t="shared" si="4"/>
        <v>0</v>
      </c>
      <c r="AB32" s="131">
        <f t="shared" si="5"/>
        <v>26</v>
      </c>
      <c r="AC32" s="131">
        <f>IFERROR(__xludf.DUMMYFUNCTION("iferror(COUNT(filter($O33:$O$397,$O33:$O$397&gt;$O32)))"),0.0)</f>
        <v>0</v>
      </c>
      <c r="AD32" s="133">
        <f t="shared" si="6"/>
        <v>1</v>
      </c>
      <c r="AE32" s="134">
        <f t="shared" si="7"/>
        <v>8</v>
      </c>
      <c r="AF32" s="128" t="str">
        <f>IFERROR(__xludf.DUMMYFUNCTION("iferror(join("","",index(sort(filter($F33:$F$398,$O33:$O$398&gt;$O32),2,false),0,1)))"),"")</f>
        <v/>
      </c>
      <c r="AG32" s="132">
        <f>IFERROR(__xludf.DUMMYFUNCTION("iferror($O32-max(filter($O32:$O$397,$E32:$E$397=$E$2)))"),2.0)</f>
        <v>2</v>
      </c>
      <c r="AH32" s="131">
        <f t="shared" si="8"/>
        <v>3</v>
      </c>
      <c r="AI32" s="131">
        <f>IFERROR(__xludf.DUMMYFUNCTION("iferror(COUNT(filter($O33:$O$397,$O33:$O$397&gt;$O32,$E32:$E$397=$E$2)))"),0.0)</f>
        <v>0</v>
      </c>
      <c r="AJ32" s="133">
        <f t="shared" si="9"/>
        <v>0</v>
      </c>
      <c r="AK32" s="134">
        <f>IFERROR(__xludf.DUMMYFUNCTION("iferror($O32-min(filter($O32:$O$397,$E32:$E$397=$E$2)))"),10.0)</f>
        <v>10</v>
      </c>
      <c r="AL32" s="128" t="str">
        <f>IFERROR(__xludf.DUMMYFUNCTION("iferror(join("","",index(sort(filter($F33:$F$397,$O33:$O$397&gt;$O32,$E33:$E$397=$E$2),2,false),0,1)))"),"")</f>
        <v/>
      </c>
      <c r="AM32" s="128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"""")"),"ACC,Big 12,Big Ten,CUSA,MAC,MWC,Pac12,SEC")</f>
        <v>ACC,Big 12,Big Ten,CUSA,MAC,MWC,Pac12,SEC</v>
      </c>
      <c r="AN32" s="132">
        <f>IFERROR(__xludf.DUMMYFUNCTION("iferror($O32-max(filter($O32:$O$397,arrayformula(isnumber(FIND($E32:$E$397,AM32))))))"),0.0)</f>
        <v>0</v>
      </c>
      <c r="AO32" s="131">
        <f t="array" ref="AO32">countifs($O$2:$O31,"&lt;"&amp;$O32,isnumber(FIND($E$2:$E31,AM32)),TRUE)</f>
        <v>21</v>
      </c>
      <c r="AP32" s="131">
        <f>IFERROR(__xludf.DUMMYFUNCTION("iferror(COUNT(filter($O33:$O$397,$O33:$O$397&gt;$O32,arrayformula(isnumber(FIND($E33:$E$397,AM32))))))"),0.0)</f>
        <v>0</v>
      </c>
      <c r="AQ32" s="133">
        <f t="shared" si="10"/>
        <v>1</v>
      </c>
      <c r="AR32" s="134">
        <f>IFERROR(__xludf.DUMMYFUNCTION("$O32-min(filter($O32:$O$397,arrayformula(isnumber(FIND($E32:$E$397,AM32)))))"),11.0)</f>
        <v>11</v>
      </c>
      <c r="AS32" s="128" t="str">
        <f>IFERROR(__xludf.DUMMYFUNCTION("iferror(join("","",index(sort(filter($F33:$F$397,$O33:$O$397&gt;$O32,arrayformula(isnumber(FIND($E33:$E$397,AM32)))),2,false),0,1)))"),"")</f>
        <v/>
      </c>
    </row>
    <row r="33">
      <c r="A33" s="23">
        <v>32.0</v>
      </c>
      <c r="B33" s="23">
        <v>3.0</v>
      </c>
      <c r="C33" s="23">
        <v>6.0</v>
      </c>
      <c r="D33" s="135" t="s">
        <v>70</v>
      </c>
      <c r="E33" s="136" t="str">
        <f>if(F33&lt;&gt;"",VLOOKUP(F33,offset('Teams-Conference'!A:B,0,(counta('Draft Order'!B$2:B134)-10)*2),2,0),"")</f>
        <v>AAC</v>
      </c>
      <c r="F33" s="137" t="s">
        <v>198</v>
      </c>
      <c r="G33" s="138" t="str">
        <f t="shared" si="1"/>
        <v/>
      </c>
      <c r="H33" s="127">
        <f t="shared" si="2"/>
        <v>0</v>
      </c>
      <c r="I33" s="127">
        <f t="shared" si="3"/>
        <v>1</v>
      </c>
      <c r="J33" s="127">
        <f t="shared" si="11"/>
        <v>2</v>
      </c>
      <c r="K33" s="127">
        <f t="shared" si="13"/>
        <v>0</v>
      </c>
      <c r="L33" s="127">
        <v>8.0</v>
      </c>
      <c r="M33" s="127">
        <f>IFERROR(__xludf.DUMMYFUNCTION("counta(iferror(filter(L$2:L32,E$2:E32=E33,L$2:L32&lt;L33)))"),0.0)</f>
        <v>0</v>
      </c>
      <c r="N33" s="127">
        <f>IFERROR(__xludf.DUMMYFUNCTION("counta(iferror(filter(L34:L$131,E34:E$131=E33,L34:L$136&gt;L33)))"),0.0)</f>
        <v>0</v>
      </c>
      <c r="O33" s="129">
        <f t="array" ref="O33:Z33">XLOOKUP(F33,'Current Week'!C:C,'Current Week'!D:O)</f>
        <v>8</v>
      </c>
      <c r="P33" s="127">
        <v>4.0</v>
      </c>
      <c r="Q33" s="128"/>
      <c r="R33" s="128"/>
      <c r="S33" s="128"/>
      <c r="T33" s="128"/>
      <c r="U33" s="128"/>
      <c r="V33" s="131"/>
      <c r="W33" s="128"/>
      <c r="X33" s="131"/>
      <c r="Y33" s="131">
        <v>380.0</v>
      </c>
      <c r="Z33" s="131">
        <v>296.0</v>
      </c>
      <c r="AA33" s="132">
        <f t="shared" si="4"/>
        <v>-3</v>
      </c>
      <c r="AB33" s="131">
        <f t="shared" si="5"/>
        <v>7</v>
      </c>
      <c r="AC33" s="131">
        <f>IFERROR(__xludf.DUMMYFUNCTION("iferror(COUNT(filter($O34:$O$397,$O34:$O$397&gt;$O33)))"),13.0)</f>
        <v>13</v>
      </c>
      <c r="AD33" s="133">
        <f t="shared" si="6"/>
        <v>0</v>
      </c>
      <c r="AE33" s="134">
        <f t="shared" si="7"/>
        <v>4</v>
      </c>
      <c r="AF33" s="128" t="str">
        <f>IFERROR(__xludf.DUMMYFUNCTION("iferror(join("","",index(sort(filter($F34:$F$398,$O34:$O$398&gt;$O33),2,false),0,1)))"),"Ohio,Oklahoma State,Iowa,James Madison,Miami-OH,Ole Miss,Louisville,New Mexico State,NC State,UNLV,Arizona,Missouri,West Virginia")</f>
        <v>Ohio,Oklahoma State,Iowa,James Madison,Miami-OH,Ole Miss,Louisville,New Mexico State,NC State,UNLV,Arizona,Missouri,West Virginia</v>
      </c>
      <c r="AG33" s="132">
        <f>IFERROR(__xludf.DUMMYFUNCTION("iferror($O33-max(filter($O33:$O$397,$E33:$E$397=$E$2)))"),-2.0)</f>
        <v>-2</v>
      </c>
      <c r="AH33" s="131">
        <f t="shared" si="8"/>
        <v>0</v>
      </c>
      <c r="AI33" s="131">
        <f>IFERROR(__xludf.DUMMYFUNCTION("iferror(COUNT(filter($O34:$O$397,$O34:$O$397&gt;$O33,$E33:$E$397=$E$2)))"),0.0)</f>
        <v>0</v>
      </c>
      <c r="AJ33" s="133">
        <f t="shared" si="9"/>
        <v>0</v>
      </c>
      <c r="AK33" s="134">
        <f>IFERROR(__xludf.DUMMYFUNCTION("iferror($O33-min(filter($O33:$O$397,$E33:$E$397=$E$2)))"),6.0)</f>
        <v>6</v>
      </c>
      <c r="AL33" s="128" t="str">
        <f>IFERROR(__xludf.DUMMYFUNCTION("iferror(join("","",index(sort(filter($F34:$F$397,$O34:$O$397&gt;$O33,$E34:$E$397=$E$2),2,false),0,1)))"),"Ole Miss,Missouri")</f>
        <v>Ole Miss,Missouri</v>
      </c>
      <c r="AM33" s="128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"""")"),"AAC,,Big 12,Big Ten,CUSA,MAC,Pac12,SEC,Sun Belt")</f>
        <v>AAC,,Big 12,Big Ten,CUSA,MAC,Pac12,SEC,Sun Belt</v>
      </c>
      <c r="AN33" s="132">
        <f>IFERROR(__xludf.DUMMYFUNCTION("iferror($O33-max(filter($O33:$O$397,arrayformula(isnumber(FIND($E33:$E$397,AM33))))))"),-3.0)</f>
        <v>-3</v>
      </c>
      <c r="AO33" s="131">
        <f t="array" ref="AO33">countifs($O$2:$O32,"&lt;"&amp;$O33,isnumber(FIND($E$2:$E32,AM33)),TRUE)</f>
        <v>5</v>
      </c>
      <c r="AP33" s="131">
        <f>IFERROR(__xludf.DUMMYFUNCTION("iferror(COUNT(filter($O34:$O$397,$O34:$O$397&gt;$O33,arrayformula(isnumber(FIND($E34:$E$397,AM33))))))"),10.0)</f>
        <v>10</v>
      </c>
      <c r="AQ33" s="133">
        <f t="shared" si="10"/>
        <v>0</v>
      </c>
      <c r="AR33" s="134">
        <f>IFERROR(__xludf.DUMMYFUNCTION("$O33-min(filter($O33:$O$397,arrayformula(isnumber(FIND($E33:$E$397,AM33)))))"),7.0)</f>
        <v>7</v>
      </c>
      <c r="AS33" s="128" t="str">
        <f>IFERROR(__xludf.DUMMYFUNCTION("iferror(join("","",index(sort(filter($F34:$F$397,$O34:$O$397&gt;$O33,arrayformula(isnumber(FIND($E34:$E$397,AM33)))),2,false),0,1)))"),"Ohio,Oklahoma State,Iowa,James Madison,Miami-OH,Ole Miss,New Mexico State,Arizona,Missouri,West Virginia")</f>
        <v>Ohio,Oklahoma State,Iowa,James Madison,Miami-OH,Ole Miss,New Mexico State,Arizona,Missouri,West Virginia</v>
      </c>
    </row>
    <row r="34">
      <c r="A34" s="23">
        <v>33.0</v>
      </c>
      <c r="B34" s="23">
        <v>3.0</v>
      </c>
      <c r="C34" s="23">
        <v>7.0</v>
      </c>
      <c r="D34" s="135" t="s">
        <v>57</v>
      </c>
      <c r="E34" s="136" t="str">
        <f>if(F34&lt;&gt;"",VLOOKUP(F34,offset('Teams-Conference'!A:B,0,(counta('Draft Order'!B$2:B134)-10)*2),2,0),"")</f>
        <v>MAC</v>
      </c>
      <c r="F34" s="140" t="s">
        <v>214</v>
      </c>
      <c r="G34" s="138" t="str">
        <f t="shared" si="1"/>
        <v/>
      </c>
      <c r="H34" s="127">
        <f t="shared" si="2"/>
        <v>1</v>
      </c>
      <c r="I34" s="127">
        <f t="shared" si="3"/>
        <v>4</v>
      </c>
      <c r="J34" s="127">
        <f t="shared" si="11"/>
        <v>0</v>
      </c>
      <c r="K34" s="127">
        <f>countif(E15:E34,E36)</f>
        <v>5</v>
      </c>
      <c r="L34" s="127">
        <v>9.0</v>
      </c>
      <c r="M34" s="127">
        <f>IFERROR(__xludf.DUMMYFUNCTION("counta(iferror(filter(L$2:L33,E$2:E33=E34,L$2:L33&lt;L34)))"),0.0)</f>
        <v>0</v>
      </c>
      <c r="N34" s="127">
        <f>IFERROR(__xludf.DUMMYFUNCTION("counta(iferror(filter(L36:L$131,E36:E$131=E34,L36:L$136&gt;L34)))"),0.0)</f>
        <v>0</v>
      </c>
      <c r="O34" s="129">
        <f t="array" ref="O34:Z34">XLOOKUP(F34,'Current Week'!C:C,'Current Week'!D:O)</f>
        <v>9</v>
      </c>
      <c r="P34" s="127">
        <v>3.0</v>
      </c>
      <c r="Q34" s="128"/>
      <c r="R34" s="128"/>
      <c r="S34" s="128"/>
      <c r="T34" s="128"/>
      <c r="U34" s="128"/>
      <c r="V34" s="131"/>
      <c r="W34" s="128"/>
      <c r="X34" s="131"/>
      <c r="Y34" s="131">
        <v>275.0</v>
      </c>
      <c r="Z34" s="131">
        <v>185.0</v>
      </c>
      <c r="AA34" s="132">
        <f t="shared" si="4"/>
        <v>-2</v>
      </c>
      <c r="AB34" s="131">
        <f t="shared" si="5"/>
        <v>14</v>
      </c>
      <c r="AC34" s="131">
        <f>IFERROR(__xludf.DUMMYFUNCTION("iferror(COUNT(filter($O35:$O$397,$O35:$O$397&gt;$O34)))"),7.0)</f>
        <v>7</v>
      </c>
      <c r="AD34" s="133">
        <f t="shared" si="6"/>
        <v>0</v>
      </c>
      <c r="AE34" s="134">
        <f t="shared" si="7"/>
        <v>5</v>
      </c>
      <c r="AF34" s="128" t="str">
        <f>IFERROR(__xludf.DUMMYFUNCTION("iferror(join("","",index(sort(filter($F35:$F$398,$O35:$O$398&gt;$O34),2,false),0,1)))"),"Iowa,James Madison,Miami-OH,Ole Miss,Louisville,New Mexico State,Missouri")</f>
        <v>Iowa,James Madison,Miami-OH,Ole Miss,Louisville,New Mexico State,Missouri</v>
      </c>
      <c r="AG34" s="132">
        <f>IFERROR(__xludf.DUMMYFUNCTION("iferror($O34-max(filter($O34:$O$397,$E34:$E$397=$E$2)))"),-1.0)</f>
        <v>-1</v>
      </c>
      <c r="AH34" s="131">
        <f t="shared" si="8"/>
        <v>1</v>
      </c>
      <c r="AI34" s="131">
        <f>IFERROR(__xludf.DUMMYFUNCTION("iferror(COUNT(filter($O35:$O$397,$O35:$O$397&gt;$O34,$E34:$E$397=$E$2)))"),0.0)</f>
        <v>0</v>
      </c>
      <c r="AJ34" s="133">
        <f t="shared" si="9"/>
        <v>0</v>
      </c>
      <c r="AK34" s="134">
        <f>IFERROR(__xludf.DUMMYFUNCTION("iferror($O34-min(filter($O34:$O$397,$E34:$E$397=$E$2)))"),7.0)</f>
        <v>7</v>
      </c>
      <c r="AL34" s="128" t="str">
        <f>IFERROR(__xludf.DUMMYFUNCTION("iferror(join("","",index(sort(filter($F35:$F$397,$O35:$O$397&gt;$O34,$E35:$E$397=$E$2),2,false),0,1)))"),"Ole Miss,Missouri")</f>
        <v>Ole Miss,Missouri</v>
      </c>
      <c r="AM34" s="128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"""")"),"AAC,ACC,Big 12,,CUSA,MAC,MWC,SEC,Sun Belt")</f>
        <v>AAC,ACC,Big 12,,CUSA,MAC,MWC,SEC,Sun Belt</v>
      </c>
      <c r="AN34" s="132">
        <f>IFERROR(__xludf.DUMMYFUNCTION("iferror($O34-max(filter($O34:$O$397,arrayformula(isnumber(FIND($E34:$E$397,AM34))))))"),-2.0)</f>
        <v>-2</v>
      </c>
      <c r="AO34" s="131">
        <f t="array" ref="AO34">countifs($O$2:$O33,"&lt;"&amp;$O34,isnumber(FIND($E$2:$E33,AM34)),TRUE)</f>
        <v>12</v>
      </c>
      <c r="AP34" s="131">
        <f>IFERROR(__xludf.DUMMYFUNCTION("iferror(COUNT(filter($O35:$O$397,$O35:$O$397&gt;$O34,arrayformula(isnumber(FIND($E35:$E$397,AM34))))))"),6.0)</f>
        <v>6</v>
      </c>
      <c r="AQ34" s="133">
        <f t="shared" si="10"/>
        <v>0</v>
      </c>
      <c r="AR34" s="134">
        <f>IFERROR(__xludf.DUMMYFUNCTION("$O34-min(filter($O34:$O$397,arrayformula(isnumber(FIND($E34:$E$397,AM34)))))"),8.0)</f>
        <v>8</v>
      </c>
      <c r="AS34" s="128" t="str">
        <f>IFERROR(__xludf.DUMMYFUNCTION("iferror(join("","",index(sort(filter($F35:$F$397,$O35:$O$397&gt;$O34,arrayformula(isnumber(FIND($E35:$E$397,AM34)))),2,false),0,1)))"),"James Madison,Miami-OH,Ole Miss,Louisville,New Mexico State,Missouri")</f>
        <v>James Madison,Miami-OH,Ole Miss,Louisville,New Mexico State,Missouri</v>
      </c>
    </row>
    <row r="35">
      <c r="A35" s="23">
        <v>35.0</v>
      </c>
      <c r="B35" s="23">
        <v>3.0</v>
      </c>
      <c r="C35" s="23">
        <v>8.0</v>
      </c>
      <c r="D35" s="135" t="s">
        <v>67</v>
      </c>
      <c r="E35" s="136" t="str">
        <f>if(F35&lt;&gt;"",VLOOKUP(F35,offset('Teams-Conference'!A:B,0,(counta('Draft Order'!B$2:B134)-10)*2),2,0),"")</f>
        <v>Big 12</v>
      </c>
      <c r="F35" s="140" t="s">
        <v>223</v>
      </c>
      <c r="G35" s="138" t="str">
        <f t="shared" si="1"/>
        <v/>
      </c>
      <c r="H35" s="127">
        <f t="shared" si="2"/>
        <v>1</v>
      </c>
      <c r="I35" s="127">
        <f t="shared" si="3"/>
        <v>2</v>
      </c>
      <c r="J35" s="127">
        <f t="shared" si="11"/>
        <v>1</v>
      </c>
      <c r="K35" s="127">
        <f>countif(E17:E36,E37)</f>
        <v>6</v>
      </c>
      <c r="L35" s="127">
        <v>5.0</v>
      </c>
      <c r="M35" s="127">
        <f>IFERROR(__xludf.DUMMYFUNCTION("counta(iferror(filter(L$2:L36,E$2:E36=E35,L$2:L36&lt;L35)))"),0.0)</f>
        <v>0</v>
      </c>
      <c r="N35" s="127">
        <f>IFERROR(__xludf.DUMMYFUNCTION("counta(iferror(filter(L37:L$131,E37:E$131=E35,L37:L$136&gt;L35)))"),0.0)</f>
        <v>0</v>
      </c>
      <c r="O35" s="129">
        <f t="array" ref="O35:Z35">XLOOKUP(F35,'Current Week'!C:C,'Current Week'!D:O)</f>
        <v>5</v>
      </c>
      <c r="P35" s="127">
        <v>7.0</v>
      </c>
      <c r="Q35" s="128"/>
      <c r="R35" s="128"/>
      <c r="S35" s="128"/>
      <c r="T35" s="128"/>
      <c r="U35" s="128"/>
      <c r="V35" s="131"/>
      <c r="W35" s="128"/>
      <c r="X35" s="131"/>
      <c r="Y35" s="131">
        <v>376.0</v>
      </c>
      <c r="Z35" s="131">
        <v>334.0</v>
      </c>
      <c r="AA35" s="132">
        <f t="shared" si="4"/>
        <v>-6</v>
      </c>
      <c r="AB35" s="131">
        <f t="shared" si="5"/>
        <v>2</v>
      </c>
      <c r="AC35" s="131">
        <f>IFERROR(__xludf.DUMMYFUNCTION("iferror(COUNT(filter($O36:$O$397,$O36:$O$397&gt;$O35)))"),51.0)</f>
        <v>51</v>
      </c>
      <c r="AD35" s="133">
        <f t="shared" si="6"/>
        <v>0</v>
      </c>
      <c r="AE35" s="134">
        <f t="shared" si="7"/>
        <v>1</v>
      </c>
      <c r="AF35" s="128" t="str">
        <f>IFERROR(__xludf.DUMMYFUNCTION("iferror(join("","",index(sort(filter($F36:$F$398,$O36:$O$398&gt;$O35),2,false),0,1)))"),"Utah,Oregon State,Wisconsin,Oklahoma State,Iowa,James Madison,Miami-OH,EMU,Ole Miss,Coastal Carolina,Texas Tech,Louisville,Marshall,Miami,Appalachian State,Northern Illinois,Army,UL Lafayette,Wyoming,New Mexico State,Maryland,Utah State,NC State,Jacksonvi"&amp;"lle State,UCF,Georgia Southern,Georgia State,UNLV,San José State,Syracuse,Duke,Kansas,Bowling Green,Arkansas State,Texas A&amp;M,California,Arizona,Kentucky,Iowa State,Auburn,Texas State,Rutgers,Missouri,Boston College,South Florida,Northwestern,Old Dominion,"&amp;"Rice,Georgia Tech,Virginia Tech,West Virginia")</f>
        <v>Utah,Oregon State,Wisconsin,Oklahoma State,Iowa,James Madison,Miami-OH,EMU,Ole Miss,Coastal Carolina,Texas Tech,Louisville,Marshall,Miami,Appalachian State,Northern Illinois,Army,UL Lafayette,Wyoming,New Mexico State,Maryland,Utah State,NC State,Jacksonville State,UCF,Georgia Southern,Georgia State,UNLV,San José State,Syracuse,Duke,Kansas,Bowling Green,Arkansas State,Texas A&amp;M,California,Arizona,Kentucky,Iowa State,Auburn,Texas State,Rutgers,Missouri,Boston College,South Florida,Northwestern,Old Dominion,Rice,Georgia Tech,Virginia Tech,West Virginia</v>
      </c>
      <c r="AG35" s="132">
        <f>IFERROR(__xludf.DUMMYFUNCTION("iferror($O35-max(filter($O35:$O$397,$E35:$E$397=$E$2)))"),-5.0)</f>
        <v>-5</v>
      </c>
      <c r="AH35" s="131">
        <f t="shared" si="8"/>
        <v>0</v>
      </c>
      <c r="AI35" s="131">
        <f>IFERROR(__xludf.DUMMYFUNCTION("iferror(COUNT(filter($O36:$O$397,$O36:$O$397&gt;$O35,$E35:$E$397=$E$2)))"),0.0)</f>
        <v>0</v>
      </c>
      <c r="AJ35" s="133">
        <f t="shared" si="9"/>
        <v>0</v>
      </c>
      <c r="AK35" s="134">
        <f>IFERROR(__xludf.DUMMYFUNCTION("iferror($O35-min(filter($O35:$O$397,$E35:$E$397=$E$2)))"),3.0)</f>
        <v>3</v>
      </c>
      <c r="AL35" s="128" t="str">
        <f>IFERROR(__xludf.DUMMYFUNCTION("iferror(join("","",index(sort(filter($F36:$F$397,$O36:$O$397&gt;$O35,$E36:$E$397=$E$2),2,false),0,1)))"),"Ole Miss,Texas A&amp;M,Kentucky,Auburn,Missouri")</f>
        <v>Ole Miss,Texas A&amp;M,Kentucky,Auburn,Missouri</v>
      </c>
      <c r="AM35" s="128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"""")"),"AAC,,Big 12,Big Ten,CUSA,MAC,MWC,Pac12,SEC")</f>
        <v>AAC,,Big 12,Big Ten,CUSA,MAC,MWC,Pac12,SEC</v>
      </c>
      <c r="AN35" s="132">
        <f>IFERROR(__xludf.DUMMYFUNCTION("iferror($O35-max(filter($O35:$O$397,arrayformula(isnumber(FIND($E35:$E$397,AM35))))))"),-5.0)</f>
        <v>-5</v>
      </c>
      <c r="AO35" s="131">
        <f t="array" ref="AO35">countifs($O$2:$O34,"&lt;"&amp;$O35,isnumber(FIND($E$2:$E34,AM35)),TRUE)</f>
        <v>2</v>
      </c>
      <c r="AP35" s="131">
        <f>IFERROR(__xludf.DUMMYFUNCTION("iferror(COUNT(filter($O36:$O$397,$O36:$O$397&gt;$O35,arrayformula(isnumber(FIND($E36:$E$397,AM35))))))"),33.0)</f>
        <v>33</v>
      </c>
      <c r="AQ35" s="133">
        <f t="shared" si="10"/>
        <v>0</v>
      </c>
      <c r="AR35" s="134">
        <f>IFERROR(__xludf.DUMMYFUNCTION("$O35-min(filter($O35:$O$397,arrayformula(isnumber(FIND($E35:$E$397,AM35)))))"),4.0)</f>
        <v>4</v>
      </c>
      <c r="AS35" s="128" t="str">
        <f>IFERROR(__xludf.DUMMYFUNCTION("iferror(join("","",index(sort(filter($F36:$F$397,$O36:$O$397&gt;$O35,arrayformula(isnumber(FIND($E36:$E$397,AM35)))),2,false),0,1)))"),"Utah,Oregon State,Wisconsin,Oklahoma State,Iowa,Miami-OH,EMU,Ole Miss,Texas Tech,Northern Illinois,Army,Wyoming,New Mexico State,Maryland,Utah State,Jacksonville State,UCF,UNLV,San José State,Kansas,Bowling Green,Texas A&amp;M,California,Arizona,Kentucky,Iowa"&amp;" State,Auburn,Rutgers,Missouri,South Florida,Northwestern,Rice,West Virginia")</f>
        <v>Utah,Oregon State,Wisconsin,Oklahoma State,Iowa,Miami-OH,EMU,Ole Miss,Texas Tech,Northern Illinois,Army,Wyoming,New Mexico State,Maryland,Utah State,Jacksonville State,UCF,UNLV,San José State,Kansas,Bowling Green,Texas A&amp;M,California,Arizona,Kentucky,Iowa State,Auburn,Rutgers,Missouri,South Florida,Northwestern,Rice,West Virginia</v>
      </c>
    </row>
    <row r="36">
      <c r="A36" s="23">
        <v>34.0</v>
      </c>
      <c r="B36" s="23">
        <v>3.0</v>
      </c>
      <c r="C36" s="23">
        <v>9.0</v>
      </c>
      <c r="D36" s="135" t="s">
        <v>59</v>
      </c>
      <c r="E36" s="136" t="str">
        <f>if(F36&lt;&gt;"",VLOOKUP(F36,offset('Teams-Conference'!A:B,0,(counta('Draft Order'!B$2:B134)-10)*2),2,0),"")</f>
        <v>Pac12</v>
      </c>
      <c r="F36" s="140" t="s">
        <v>231</v>
      </c>
      <c r="G36" s="138" t="str">
        <f t="shared" si="1"/>
        <v/>
      </c>
      <c r="H36" s="127">
        <f t="shared" si="2"/>
        <v>2</v>
      </c>
      <c r="I36" s="127">
        <f t="shared" si="3"/>
        <v>2</v>
      </c>
      <c r="J36" s="127">
        <f t="shared" si="11"/>
        <v>4</v>
      </c>
      <c r="K36" s="127">
        <f>countif(E16:E36,E35)</f>
        <v>4</v>
      </c>
      <c r="L36" s="127">
        <v>8.0</v>
      </c>
      <c r="M36" s="127">
        <f>IFERROR(__xludf.DUMMYFUNCTION("counta(iferror(filter(L$2:L34,E$2:E34=E36,L$2:L34&lt;L36)))"),2.0)</f>
        <v>2</v>
      </c>
      <c r="N36" s="127">
        <f>IFERROR(__xludf.DUMMYFUNCTION("counta(iferror(filter(L35:L$131,E35:E$131=E36,L35:L$136&gt;L36)))"),0.0)</f>
        <v>0</v>
      </c>
      <c r="O36" s="129">
        <f t="array" ref="O36:Z36">XLOOKUP(F36,'Current Week'!C:C,'Current Week'!D:O)</f>
        <v>8</v>
      </c>
      <c r="P36" s="127">
        <v>4.0</v>
      </c>
      <c r="Q36" s="128"/>
      <c r="R36" s="128"/>
      <c r="S36" s="128"/>
      <c r="T36" s="128"/>
      <c r="U36" s="128"/>
      <c r="V36" s="131"/>
      <c r="W36" s="128"/>
      <c r="X36" s="131"/>
      <c r="Y36" s="131">
        <v>294.0</v>
      </c>
      <c r="Z36" s="131">
        <v>237.0</v>
      </c>
      <c r="AA36" s="132">
        <f t="shared" si="4"/>
        <v>-3</v>
      </c>
      <c r="AB36" s="131">
        <f t="shared" si="5"/>
        <v>8</v>
      </c>
      <c r="AC36" s="131">
        <f>IFERROR(__xludf.DUMMYFUNCTION("iferror(COUNT(filter($O37:$O$397,$O37:$O$397&gt;$O36)))"),12.0)</f>
        <v>12</v>
      </c>
      <c r="AD36" s="133">
        <f t="shared" si="6"/>
        <v>0</v>
      </c>
      <c r="AE36" s="134">
        <f t="shared" si="7"/>
        <v>4</v>
      </c>
      <c r="AF36" s="128" t="str">
        <f>IFERROR(__xludf.DUMMYFUNCTION("iferror(join("","",index(sort(filter($F37:$F$398,$O37:$O$398&gt;$O36),2,false),0,1)))"),"Oklahoma State,Iowa,James Madison,Miami-OH,Ole Miss,Louisville,New Mexico State,NC State,UNLV,Arizona,Missouri,West Virginia")</f>
        <v>Oklahoma State,Iowa,James Madison,Miami-OH,Ole Miss,Louisville,New Mexico State,NC State,UNLV,Arizona,Missouri,West Virginia</v>
      </c>
      <c r="AG36" s="132">
        <f>IFERROR(__xludf.DUMMYFUNCTION("iferror($O36-max(filter($O36:$O$397,$E36:$E$397=$E$2)))"),-2.0)</f>
        <v>-2</v>
      </c>
      <c r="AH36" s="131">
        <f t="shared" si="8"/>
        <v>0</v>
      </c>
      <c r="AI36" s="131">
        <f>IFERROR(__xludf.DUMMYFUNCTION("iferror(COUNT(filter($O37:$O$397,$O37:$O$397&gt;$O36,$E36:$E$397=$E$2)))"),0.0)</f>
        <v>0</v>
      </c>
      <c r="AJ36" s="133">
        <f t="shared" si="9"/>
        <v>0</v>
      </c>
      <c r="AK36" s="134">
        <f>IFERROR(__xludf.DUMMYFUNCTION("iferror($O36-min(filter($O36:$O$397,$E36:$E$397=$E$2)))"),6.0)</f>
        <v>6</v>
      </c>
      <c r="AL36" s="128" t="str">
        <f>IFERROR(__xludf.DUMMYFUNCTION("iferror(join("","",index(sort(filter($F37:$F$397,$O37:$O$397&gt;$O36,$E37:$E$397=$E$2),2,false),0,1)))"),"Ole Miss,Missouri")</f>
        <v>Ole Miss,Missouri</v>
      </c>
      <c r="AM36" s="128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"""")"),"AAC,ACC,Big 12,,CUSA,MAC,Pac12,SEC,Sun Belt")</f>
        <v>AAC,ACC,Big 12,,CUSA,MAC,Pac12,SEC,Sun Belt</v>
      </c>
      <c r="AN36" s="132">
        <f>IFERROR(__xludf.DUMMYFUNCTION("iferror($O36-max(filter($O36:$O$397,arrayformula(isnumber(FIND($E36:$E$397,AM36))))))"),-3.0)</f>
        <v>-3</v>
      </c>
      <c r="AO36" s="131">
        <f t="array" ref="AO36">countifs($O$2:$O35,"&lt;"&amp;$O36,isnumber(FIND($E$2:$E35,AM36)),TRUE)</f>
        <v>6</v>
      </c>
      <c r="AP36" s="131">
        <f>IFERROR(__xludf.DUMMYFUNCTION("iferror(COUNT(filter($O37:$O$397,$O37:$O$397&gt;$O36,arrayformula(isnumber(FIND($E37:$E$397,AM36))))))"),10.0)</f>
        <v>10</v>
      </c>
      <c r="AQ36" s="133">
        <f t="shared" si="10"/>
        <v>0</v>
      </c>
      <c r="AR36" s="134">
        <f>IFERROR(__xludf.DUMMYFUNCTION("$O36-min(filter($O36:$O$397,arrayformula(isnumber(FIND($E36:$E$397,AM36)))))"),7.0)</f>
        <v>7</v>
      </c>
      <c r="AS36" s="128" t="str">
        <f>IFERROR(__xludf.DUMMYFUNCTION("iferror(join("","",index(sort(filter($F37:$F$397,$O37:$O$397&gt;$O36,arrayformula(isnumber(FIND($E37:$E$397,AM36)))),2,false),0,1)))"),"Oklahoma State,James Madison,Miami-OH,Ole Miss,Louisville,New Mexico State,NC State,Arizona,Missouri,West Virginia")</f>
        <v>Oklahoma State,James Madison,Miami-OH,Ole Miss,Louisville,New Mexico State,NC State,Arizona,Missouri,West Virginia</v>
      </c>
    </row>
    <row r="37">
      <c r="A37" s="23">
        <v>36.0</v>
      </c>
      <c r="B37" s="23">
        <v>3.0</v>
      </c>
      <c r="C37" s="23">
        <v>10.0</v>
      </c>
      <c r="D37" s="135" t="s">
        <v>62</v>
      </c>
      <c r="E37" s="136" t="str">
        <f>if(F37&lt;&gt;"",VLOOKUP(F37,offset('Teams-Conference'!A:B,0,(counta('Draft Order'!B$2:B134)-10)*2),2,0),"")</f>
        <v>Pac12</v>
      </c>
      <c r="F37" s="140" t="s">
        <v>247</v>
      </c>
      <c r="G37" s="138" t="str">
        <f t="shared" si="1"/>
        <v/>
      </c>
      <c r="H37" s="127">
        <f t="shared" si="2"/>
        <v>1</v>
      </c>
      <c r="I37" s="127">
        <f t="shared" si="3"/>
        <v>1</v>
      </c>
      <c r="J37" s="127">
        <f t="shared" si="11"/>
        <v>5</v>
      </c>
      <c r="K37" s="127">
        <f t="shared" ref="K37:K38" si="14">countif(E18:E37,E38)</f>
        <v>1</v>
      </c>
      <c r="L37" s="127">
        <v>8.0</v>
      </c>
      <c r="M37" s="127">
        <f>IFERROR(__xludf.DUMMYFUNCTION("counta(iferror(filter(L$2:L36,E$2:E36=E37,L$2:L36&lt;L37)))"),2.0)</f>
        <v>2</v>
      </c>
      <c r="N37" s="127">
        <f>IFERROR(__xludf.DUMMYFUNCTION("counta(iferror(filter(L38:L$131,E38:E$131=E37,L38:L$136&gt;L37)))"),0.0)</f>
        <v>0</v>
      </c>
      <c r="O37" s="129">
        <f t="array" ref="O37:Z37">XLOOKUP(F37,'Current Week'!C:C,'Current Week'!D:O)</f>
        <v>8</v>
      </c>
      <c r="P37" s="127">
        <v>4.0</v>
      </c>
      <c r="Q37" s="128"/>
      <c r="R37" s="128"/>
      <c r="S37" s="128"/>
      <c r="T37" s="128"/>
      <c r="U37" s="128"/>
      <c r="V37" s="131"/>
      <c r="W37" s="128"/>
      <c r="X37" s="131"/>
      <c r="Y37" s="131">
        <v>406.0</v>
      </c>
      <c r="Z37" s="131">
        <v>258.0</v>
      </c>
      <c r="AA37" s="132">
        <f t="shared" si="4"/>
        <v>-3</v>
      </c>
      <c r="AB37" s="131">
        <f t="shared" si="5"/>
        <v>8</v>
      </c>
      <c r="AC37" s="131">
        <f>IFERROR(__xludf.DUMMYFUNCTION("iferror(COUNT(filter($O38:$O$397,$O38:$O$397&gt;$O37)))"),12.0)</f>
        <v>12</v>
      </c>
      <c r="AD37" s="133">
        <f t="shared" si="6"/>
        <v>0</v>
      </c>
      <c r="AE37" s="134">
        <f t="shared" si="7"/>
        <v>4</v>
      </c>
      <c r="AF37" s="128" t="str">
        <f>IFERROR(__xludf.DUMMYFUNCTION("iferror(join("","",index(sort(filter($F38:$F$398,$O38:$O$398&gt;$O37),2,false),0,1)))"),"Oklahoma State,Iowa,James Madison,Miami-OH,Ole Miss,Louisville,New Mexico State,NC State,UNLV,Arizona,Missouri,West Virginia")</f>
        <v>Oklahoma State,Iowa,James Madison,Miami-OH,Ole Miss,Louisville,New Mexico State,NC State,UNLV,Arizona,Missouri,West Virginia</v>
      </c>
      <c r="AG37" s="132">
        <f>IFERROR(__xludf.DUMMYFUNCTION("iferror($O37-max(filter($O37:$O$397,$E37:$E$397=$E$2)))"),-2.0)</f>
        <v>-2</v>
      </c>
      <c r="AH37" s="131">
        <f t="shared" si="8"/>
        <v>0</v>
      </c>
      <c r="AI37" s="131">
        <f>IFERROR(__xludf.DUMMYFUNCTION("iferror(COUNT(filter($O38:$O$397,$O38:$O$397&gt;$O37,$E37:$E$397=$E$2)))"),0.0)</f>
        <v>0</v>
      </c>
      <c r="AJ37" s="133">
        <f t="shared" si="9"/>
        <v>0</v>
      </c>
      <c r="AK37" s="134">
        <f>IFERROR(__xludf.DUMMYFUNCTION("iferror($O37-min(filter($O37:$O$397,$E37:$E$397=$E$2)))"),6.0)</f>
        <v>6</v>
      </c>
      <c r="AL37" s="128" t="str">
        <f>IFERROR(__xludf.DUMMYFUNCTION("iferror(join("","",index(sort(filter($F38:$F$397,$O38:$O$397&gt;$O37,$E38:$E$397=$E$2),2,false),0,1)))"),"Ole Miss,Missouri")</f>
        <v>Ole Miss,Missouri</v>
      </c>
      <c r="AM37" s="128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"""")"),"AAC,ACC,Big 12,Big Ten,,MAC,Pac12,SEC,Sun Belt")</f>
        <v>AAC,ACC,Big 12,Big Ten,,MAC,Pac12,SEC,Sun Belt</v>
      </c>
      <c r="AN37" s="132">
        <f>IFERROR(__xludf.DUMMYFUNCTION("iferror($O37-max(filter($O37:$O$397,arrayformula(isnumber(FIND($E37:$E$397,AM37))))))"),-3.0)</f>
        <v>-3</v>
      </c>
      <c r="AO37" s="131">
        <f t="array" ref="AO37">countifs($O$2:$O36,"&lt;"&amp;$O37,isnumber(FIND($E$2:$E36,AM37)),TRUE)</f>
        <v>4</v>
      </c>
      <c r="AP37" s="131">
        <f>IFERROR(__xludf.DUMMYFUNCTION("iferror(COUNT(filter($O38:$O$397,$O38:$O$397&gt;$O37,arrayformula(isnumber(FIND($E38:$E$397,AM37))))))"),10.0)</f>
        <v>10</v>
      </c>
      <c r="AQ37" s="133">
        <f t="shared" si="10"/>
        <v>0</v>
      </c>
      <c r="AR37" s="134">
        <f>IFERROR(__xludf.DUMMYFUNCTION("$O37-min(filter($O37:$O$397,arrayformula(isnumber(FIND($E37:$E$397,AM37)))))"),7.0)</f>
        <v>7</v>
      </c>
      <c r="AS37" s="128" t="str">
        <f>IFERROR(__xludf.DUMMYFUNCTION("iferror(join("","",index(sort(filter($F38:$F$397,$O38:$O$397&gt;$O37,arrayformula(isnumber(FIND($E38:$E$397,AM37)))),2,false),0,1)))"),"Oklahoma State,Iowa,James Madison,Miami-OH,Ole Miss,Louisville,NC State,Arizona,Missouri,West Virginia")</f>
        <v>Oklahoma State,Iowa,James Madison,Miami-OH,Ole Miss,Louisville,NC State,Arizona,Missouri,West Virginia</v>
      </c>
    </row>
    <row r="38">
      <c r="A38" s="23">
        <v>37.0</v>
      </c>
      <c r="B38" s="23">
        <v>3.0</v>
      </c>
      <c r="C38" s="23">
        <v>11.0</v>
      </c>
      <c r="D38" s="135" t="s">
        <v>69</v>
      </c>
      <c r="E38" s="136" t="str">
        <f>if(F38&lt;&gt;"",VLOOKUP(F38,offset('Teams-Conference'!A:B,0,(counta('Draft Order'!B$2:B134)-10)*2),2,0),"")</f>
        <v>Big Ten</v>
      </c>
      <c r="F38" s="140" t="s">
        <v>255</v>
      </c>
      <c r="G38" s="138" t="str">
        <f t="shared" si="1"/>
        <v/>
      </c>
      <c r="H38" s="127">
        <f t="shared" si="2"/>
        <v>1</v>
      </c>
      <c r="I38" s="127">
        <f t="shared" si="3"/>
        <v>1</v>
      </c>
      <c r="J38" s="127">
        <f t="shared" si="11"/>
        <v>0</v>
      </c>
      <c r="K38" s="127">
        <f t="shared" si="14"/>
        <v>7</v>
      </c>
      <c r="L38" s="127">
        <v>7.0</v>
      </c>
      <c r="M38" s="127">
        <f>IFERROR(__xludf.DUMMYFUNCTION("counta(iferror(filter(L$2:L37,E$2:E37=E38,L$2:L37&lt;L38)))"),0.0)</f>
        <v>0</v>
      </c>
      <c r="N38" s="127">
        <f>IFERROR(__xludf.DUMMYFUNCTION("counta(iferror(filter(L39:L$131,E39:E$131=E38,L39:L$136&gt;L38)))"),0.0)</f>
        <v>0</v>
      </c>
      <c r="O38" s="129">
        <f t="array" ref="O38:Z38">XLOOKUP(F38,'Current Week'!C:C,'Current Week'!D:O)</f>
        <v>7</v>
      </c>
      <c r="P38" s="127">
        <v>5.0</v>
      </c>
      <c r="Q38" s="128"/>
      <c r="R38" s="128"/>
      <c r="S38" s="128"/>
      <c r="T38" s="128"/>
      <c r="U38" s="128"/>
      <c r="V38" s="131"/>
      <c r="W38" s="128"/>
      <c r="X38" s="131"/>
      <c r="Y38" s="131">
        <v>274.0</v>
      </c>
      <c r="Z38" s="131">
        <v>227.0</v>
      </c>
      <c r="AA38" s="132">
        <f t="shared" si="4"/>
        <v>-4</v>
      </c>
      <c r="AB38" s="131">
        <f t="shared" si="5"/>
        <v>4</v>
      </c>
      <c r="AC38" s="131">
        <f>IFERROR(__xludf.DUMMYFUNCTION("iferror(COUNT(filter($O39:$O$397,$O39:$O$397&gt;$O38)))"),16.0)</f>
        <v>16</v>
      </c>
      <c r="AD38" s="133">
        <f t="shared" si="6"/>
        <v>0</v>
      </c>
      <c r="AE38" s="134">
        <f t="shared" si="7"/>
        <v>3</v>
      </c>
      <c r="AF38" s="128" t="str">
        <f>IFERROR(__xludf.DUMMYFUNCTION("iferror(join("","",index(sort(filter($F39:$F$398,$O39:$O$398&gt;$O38),2,false),0,1)))"),"Oklahoma State,Iowa,James Madison,Miami-OH,Ole Miss,Louisville,Appalachian State,Wyoming,New Mexico State,NC State,Jacksonville State,UNLV,Kansas,Arizona,Missouri,West Virginia")</f>
        <v>Oklahoma State,Iowa,James Madison,Miami-OH,Ole Miss,Louisville,Appalachian State,Wyoming,New Mexico State,NC State,Jacksonville State,UNLV,Kansas,Arizona,Missouri,West Virginia</v>
      </c>
      <c r="AG38" s="132">
        <f>IFERROR(__xludf.DUMMYFUNCTION("iferror($O38-max(filter($O38:$O$397,$E38:$E$397=$E$2)))"),-3.0)</f>
        <v>-3</v>
      </c>
      <c r="AH38" s="131">
        <f t="shared" si="8"/>
        <v>0</v>
      </c>
      <c r="AI38" s="131">
        <f>IFERROR(__xludf.DUMMYFUNCTION("iferror(COUNT(filter($O39:$O$397,$O39:$O$397&gt;$O38,$E38:$E$397=$E$2)))"),0.0)</f>
        <v>0</v>
      </c>
      <c r="AJ38" s="133">
        <f t="shared" si="9"/>
        <v>0</v>
      </c>
      <c r="AK38" s="134">
        <f>IFERROR(__xludf.DUMMYFUNCTION("iferror($O38-min(filter($O38:$O$397,$E38:$E$397=$E$2)))"),5.0)</f>
        <v>5</v>
      </c>
      <c r="AL38" s="128" t="str">
        <f>IFERROR(__xludf.DUMMYFUNCTION("iferror(join("","",index(sort(filter($F39:$F$397,$O39:$O$397&gt;$O38,$E39:$E$397=$E$2),2,false),0,1)))"),"Ole Miss,Missouri")</f>
        <v>Ole Miss,Missouri</v>
      </c>
      <c r="AM38" s="128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"""")"),"AAC,ACC,Big 12,Big Ten,CUSA,MAC,,Pac12,Sun Belt")</f>
        <v>AAC,ACC,Big 12,Big Ten,CUSA,MAC,,Pac12,Sun Belt</v>
      </c>
      <c r="AN38" s="132">
        <f>IFERROR(__xludf.DUMMYFUNCTION("iferror($O38-max(filter($O38:$O$397,arrayformula(isnumber(FIND($E38:$E$397,AM38))))))"),-4.0)</f>
        <v>-4</v>
      </c>
      <c r="AO38" s="131">
        <f t="array" ref="AO38">countifs($O$2:$O37,"&lt;"&amp;$O38,isnumber(FIND($E$2:$E37,AM38)),TRUE)</f>
        <v>3</v>
      </c>
      <c r="AP38" s="131">
        <f>IFERROR(__xludf.DUMMYFUNCTION("iferror(COUNT(filter($O39:$O$397,$O39:$O$397&gt;$O38,arrayformula(isnumber(FIND($E39:$E$397,AM38))))))"),12.0)</f>
        <v>12</v>
      </c>
      <c r="AQ38" s="133">
        <f t="shared" si="10"/>
        <v>0</v>
      </c>
      <c r="AR38" s="134">
        <f>IFERROR(__xludf.DUMMYFUNCTION("$O38-min(filter($O38:$O$397,arrayformula(isnumber(FIND($E38:$E$397,AM38)))))"),6.0)</f>
        <v>6</v>
      </c>
      <c r="AS38" s="128" t="str">
        <f>IFERROR(__xludf.DUMMYFUNCTION("iferror(join("","",index(sort(filter($F39:$F$397,$O39:$O$397&gt;$O38,arrayformula(isnumber(FIND($E39:$E$397,AM38)))),2,false),0,1)))"),"Oklahoma State,Iowa,James Madison,Miami-OH,Louisville,Appalachian State,New Mexico State,NC State,Jacksonville State,Kansas,Arizona,West Virginia")</f>
        <v>Oklahoma State,Iowa,James Madison,Miami-OH,Louisville,Appalachian State,New Mexico State,NC State,Jacksonville State,Kansas,Arizona,West Virginia</v>
      </c>
    </row>
    <row r="39">
      <c r="A39" s="23">
        <v>38.0</v>
      </c>
      <c r="B39" s="23">
        <v>3.0</v>
      </c>
      <c r="C39" s="23">
        <v>12.0</v>
      </c>
      <c r="D39" s="135" t="s">
        <v>125</v>
      </c>
      <c r="E39" t="str">
        <f>if(F39&lt;&gt;"",VLOOKUP(F39,offset('Teams-Conference'!A:B,0,(counta('Draft Order'!B$2:B134)-10)*2),2,0),"")</f>
        <v>Pac12</v>
      </c>
      <c r="F39" s="140" t="s">
        <v>259</v>
      </c>
      <c r="G39" s="138" t="str">
        <f t="shared" si="1"/>
        <v/>
      </c>
      <c r="H39" s="127">
        <f t="shared" si="2"/>
        <v>0</v>
      </c>
      <c r="I39" s="127">
        <f t="shared" si="3"/>
        <v>0</v>
      </c>
      <c r="J39" s="127">
        <f t="shared" si="11"/>
        <v>5</v>
      </c>
      <c r="K39" s="127">
        <f>countif(E20:E39,E41)</f>
        <v>2</v>
      </c>
      <c r="L39" s="127">
        <v>5.0</v>
      </c>
      <c r="M39" s="127">
        <f>IFERROR(__xludf.DUMMYFUNCTION("counta(iferror(filter(L$2:L38,E$2:E38=E39,L$2:L38&lt;L39)))"),0.0)</f>
        <v>0</v>
      </c>
      <c r="N39" s="127">
        <f>IFERROR(__xludf.DUMMYFUNCTION("counta(iferror(filter(L40:L$131,E40:E$131=E39,L40:L$136&gt;L39)))"),0.0)</f>
        <v>0</v>
      </c>
      <c r="O39" s="129">
        <f t="array" ref="O39:Z39">XLOOKUP(F39,'Current Week'!C:C,'Current Week'!D:O)</f>
        <v>5</v>
      </c>
      <c r="P39" s="127">
        <v>7.0</v>
      </c>
      <c r="Q39" s="128"/>
      <c r="R39" s="128"/>
      <c r="S39" s="128"/>
      <c r="T39" s="128"/>
      <c r="U39" s="128"/>
      <c r="V39" s="131"/>
      <c r="W39" s="128"/>
      <c r="X39" s="131"/>
      <c r="Y39" s="131">
        <v>380.0</v>
      </c>
      <c r="Z39" s="131">
        <v>337.0</v>
      </c>
      <c r="AA39" s="132">
        <f t="shared" si="4"/>
        <v>-6</v>
      </c>
      <c r="AB39" s="131">
        <f t="shared" si="5"/>
        <v>2</v>
      </c>
      <c r="AC39" s="131">
        <f>IFERROR(__xludf.DUMMYFUNCTION("iferror(COUNT(filter($O40:$O$397,$O40:$O$397&gt;$O39)))"),48.0)</f>
        <v>48</v>
      </c>
      <c r="AD39" s="133">
        <f t="shared" si="6"/>
        <v>0</v>
      </c>
      <c r="AE39" s="134">
        <f t="shared" si="7"/>
        <v>1</v>
      </c>
      <c r="AF39" s="128" t="str">
        <f>IFERROR(__xludf.DUMMYFUNCTION("iferror(join("","",index(sort(filter($F40:$F$398,$O40:$O$398&gt;$O39),2,false),0,1)))"),"Oklahoma State,Iowa,James Madison,Miami-OH,EMU,Ole Miss,Coastal Carolina,Texas Tech,Louisville,Marshall,Miami,Appalachian State,Northern Illinois,Army,UL Lafayette,Wyoming,New Mexico State,Maryland,Utah State,NC State,Jacksonville State,UCF,Georgia Southe"&amp;"rn,Georgia State,UNLV,San José State,Syracuse,Duke,Kansas,Bowling Green,Arkansas State,Texas A&amp;M,California,Arizona,Kentucky,Iowa State,Auburn,Texas State,Rutgers,Missouri,Boston College,South Florida,Northwestern,Old Dominion,Rice,Georgia Tech,Virginia T"&amp;"ech,West Virginia")</f>
        <v>Oklahoma State,Iowa,James Madison,Miami-OH,EMU,Ole Miss,Coastal Carolina,Texas Tech,Louisville,Marshall,Miami,Appalachian State,Northern Illinois,Army,UL Lafayette,Wyoming,New Mexico State,Maryland,Utah State,NC State,Jacksonville State,UCF,Georgia Southern,Georgia State,UNLV,San José State,Syracuse,Duke,Kansas,Bowling Green,Arkansas State,Texas A&amp;M,California,Arizona,Kentucky,Iowa State,Auburn,Texas State,Rutgers,Missouri,Boston College,South Florida,Northwestern,Old Dominion,Rice,Georgia Tech,Virginia Tech,West Virginia</v>
      </c>
      <c r="AG39" s="132">
        <f>IFERROR(__xludf.DUMMYFUNCTION("iferror($O39-max(filter($O39:$O$397,$E39:$E$397=$E$2)))"),-5.0)</f>
        <v>-5</v>
      </c>
      <c r="AH39" s="131">
        <f t="shared" si="8"/>
        <v>0</v>
      </c>
      <c r="AI39" s="131">
        <f>IFERROR(__xludf.DUMMYFUNCTION("iferror(COUNT(filter($O40:$O$397,$O40:$O$397&gt;$O39,$E39:$E$397=$E$2)))"),0.0)</f>
        <v>0</v>
      </c>
      <c r="AJ39" s="133">
        <f t="shared" si="9"/>
        <v>0</v>
      </c>
      <c r="AK39" s="134">
        <f>IFERROR(__xludf.DUMMYFUNCTION("iferror($O39-min(filter($O39:$O$397,$E39:$E$397=$E$2)))"),3.0)</f>
        <v>3</v>
      </c>
      <c r="AL39" s="128" t="str">
        <f>IFERROR(__xludf.DUMMYFUNCTION("iferror(join("","",index(sort(filter($F40:$F$397,$O40:$O$397&gt;$O39,$E40:$E$397=$E$2),2,false),0,1)))"),"Ole Miss,Texas A&amp;M,Kentucky,Auburn,Missouri")</f>
        <v>Ole Miss,Texas A&amp;M,Kentucky,Auburn,Missouri</v>
      </c>
      <c r="AM39" s="128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"""")"),"AAC,,Big Ten,CUSA,MAC,MWC,Pac12,SEC,Sun Belt")</f>
        <v>AAC,,Big Ten,CUSA,MAC,MWC,Pac12,SEC,Sun Belt</v>
      </c>
      <c r="AN39" s="132">
        <f>IFERROR(__xludf.DUMMYFUNCTION("iferror($O39-max(filter($O39:$O$397,arrayformula(isnumber(FIND($E39:$E$397,AM39))))))"),-6.0)</f>
        <v>-6</v>
      </c>
      <c r="AO39" s="131">
        <f t="array" ref="AO39">countifs($O$2:$O38,"&lt;"&amp;$O39,isnumber(FIND($E$2:$E38,AM39)),TRUE)</f>
        <v>2</v>
      </c>
      <c r="AP39" s="131">
        <f>IFERROR(__xludf.DUMMYFUNCTION("iferror(COUNT(filter($O40:$O$397,$O40:$O$397&gt;$O39,arrayformula(isnumber(FIND($E40:$E$397,AM39))))))"),34.0)</f>
        <v>34</v>
      </c>
      <c r="AQ39" s="133">
        <f t="shared" si="10"/>
        <v>0</v>
      </c>
      <c r="AR39" s="134">
        <f>IFERROR(__xludf.DUMMYFUNCTION("$O39-min(filter($O39:$O$397,arrayformula(isnumber(FIND($E39:$E$397,AM39)))))"),4.0)</f>
        <v>4</v>
      </c>
      <c r="AS39" s="128" t="str">
        <f>IFERROR(__xludf.DUMMYFUNCTION("iferror(join("","",index(sort(filter($F40:$F$397,$O40:$O$397&gt;$O39,arrayformula(isnumber(FIND($E40:$E$397,AM39)))),2,false),0,1)))"),"Iowa,James Madison,Miami-OH,EMU,Ole Miss,Coastal Carolina,Marshall,Appalachian State,Northern Illinois,Army,UL Lafayette,Wyoming,New Mexico State,Maryland,Utah State,Jacksonville State,Georgia Southern,Georgia State,UNLV,San José State,Bowling Green,Arkan"&amp;"sas State,Texas A&amp;M,California,Arizona,Kentucky,Auburn,Texas State,Rutgers,Missouri,South Florida,Northwestern,Old Dominion,Rice")</f>
        <v>Iowa,James Madison,Miami-OH,EMU,Ole Miss,Coastal Carolina,Marshall,Appalachian State,Northern Illinois,Army,UL Lafayette,Wyoming,New Mexico State,Maryland,Utah State,Jacksonville State,Georgia Southern,Georgia State,UNLV,San José State,Bowling Green,Arkansas State,Texas A&amp;M,California,Arizona,Kentucky,Auburn,Texas State,Rutgers,Missouri,South Florida,Northwestern,Old Dominion,Rice</v>
      </c>
    </row>
    <row r="40">
      <c r="A40" s="141">
        <v>39.0</v>
      </c>
      <c r="B40" s="141">
        <v>3.0</v>
      </c>
      <c r="C40" s="141">
        <v>13.0</v>
      </c>
      <c r="D40" s="142" t="s">
        <v>61</v>
      </c>
      <c r="E40" s="143" t="str">
        <f>if(F40&lt;&gt;"",VLOOKUP(F40,offset('Teams-Conference'!A:B,0,(counta('Draft Order'!B$2:B134)-10)*2),2,0),"")</f>
        <v>Big 12</v>
      </c>
      <c r="F40" s="144" t="s">
        <v>267</v>
      </c>
      <c r="G40" s="145" t="str">
        <f t="shared" si="1"/>
        <v/>
      </c>
      <c r="H40" s="127">
        <f t="shared" si="2"/>
        <v>1</v>
      </c>
      <c r="I40" s="127">
        <f t="shared" si="3"/>
        <v>2</v>
      </c>
      <c r="J40" s="127">
        <f t="shared" si="11"/>
        <v>1</v>
      </c>
      <c r="K40" s="128"/>
      <c r="L40" s="127">
        <v>9.0</v>
      </c>
      <c r="M40" s="127">
        <f>IFERROR(__xludf.DUMMYFUNCTION("counta(iferror(filter(L$2:L39,E$2:E39=E40,L$2:L39&lt;L40)))"),2.0)</f>
        <v>2</v>
      </c>
      <c r="N40" s="127">
        <f>IFERROR(__xludf.DUMMYFUNCTION("counta(iferror(filter(L41:L$131,E41:E$131=E40,L41:L$136&gt;L40)))"),0.0)</f>
        <v>0</v>
      </c>
      <c r="O40" s="129">
        <f t="array" ref="O40:Z40">XLOOKUP(F40,'Current Week'!C:C,'Current Week'!D:O)</f>
        <v>9</v>
      </c>
      <c r="P40" s="127">
        <v>3.0</v>
      </c>
      <c r="Q40" s="128" t="s">
        <v>106</v>
      </c>
      <c r="R40" s="130">
        <v>45262.5</v>
      </c>
      <c r="S40" s="128" t="s">
        <v>125</v>
      </c>
      <c r="T40" s="128"/>
      <c r="U40" s="128">
        <v>10.5</v>
      </c>
      <c r="V40" s="131">
        <v>14.5</v>
      </c>
      <c r="W40" s="128">
        <v>500.0</v>
      </c>
      <c r="X40" s="131" t="s">
        <v>68</v>
      </c>
      <c r="Y40" s="131">
        <v>362.0</v>
      </c>
      <c r="Z40" s="131">
        <v>328.0</v>
      </c>
      <c r="AA40" s="132">
        <f t="shared" si="4"/>
        <v>-2</v>
      </c>
      <c r="AB40" s="131">
        <f t="shared" si="5"/>
        <v>19</v>
      </c>
      <c r="AC40" s="131">
        <f>IFERROR(__xludf.DUMMYFUNCTION("iferror(COUNT(filter($O41:$O$397,$O41:$O$397&gt;$O40)))"),7.0)</f>
        <v>7</v>
      </c>
      <c r="AD40" s="133">
        <f t="shared" si="6"/>
        <v>0</v>
      </c>
      <c r="AE40" s="134">
        <f t="shared" si="7"/>
        <v>5</v>
      </c>
      <c r="AF40" s="128" t="str">
        <f>IFERROR(__xludf.DUMMYFUNCTION("iferror(join("","",index(sort(filter($F41:$F$398,$O41:$O$398&gt;$O40),2,false),0,1)))"),"Iowa,James Madison,Miami-OH,Ole Miss,Louisville,New Mexico State,Missouri")</f>
        <v>Iowa,James Madison,Miami-OH,Ole Miss,Louisville,New Mexico State,Missouri</v>
      </c>
      <c r="AG40" s="132">
        <f>IFERROR(__xludf.DUMMYFUNCTION("iferror($O40-max(filter($O40:$O$397,$E40:$E$397=$E$2)))"),-1.0)</f>
        <v>-1</v>
      </c>
      <c r="AH40" s="131">
        <f t="shared" si="8"/>
        <v>1</v>
      </c>
      <c r="AI40" s="131">
        <f>IFERROR(__xludf.DUMMYFUNCTION("iferror(COUNT(filter($O41:$O$397,$O41:$O$397&gt;$O40,$E40:$E$397=$E$2)))"),0.0)</f>
        <v>0</v>
      </c>
      <c r="AJ40" s="133">
        <f t="shared" si="9"/>
        <v>0</v>
      </c>
      <c r="AK40" s="134">
        <f>IFERROR(__xludf.DUMMYFUNCTION("iferror($O40-min(filter($O40:$O$397,$E40:$E$397=$E$2)))"),7.0)</f>
        <v>7</v>
      </c>
      <c r="AL40" s="128" t="str">
        <f>IFERROR(__xludf.DUMMYFUNCTION("iferror(join("","",index(sort(filter($F41:$F$397,$O41:$O$397&gt;$O40,$E41:$E$397=$E$2),2,false),0,1)))"),"Ole Miss,Missouri")</f>
        <v>Ole Miss,Missouri</v>
      </c>
      <c r="AM40" s="128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"""")"),"AAC,ACC,Big 12,Big Ten,,MAC,MWC,Pac12,Sun Belt")</f>
        <v>AAC,ACC,Big 12,Big Ten,,MAC,MWC,Pac12,Sun Belt</v>
      </c>
      <c r="AN40" s="132">
        <f>IFERROR(__xludf.DUMMYFUNCTION("iferror($O40-max(filter($O40:$O$397,arrayformula(isnumber(FIND($E40:$E$397,AM40))))))"),-2.0)</f>
        <v>-2</v>
      </c>
      <c r="AO40" s="131">
        <f t="array" ref="AO40">countifs($O$2:$O39,"&lt;"&amp;$O40,isnumber(FIND($E$2:$E39,AM40)),TRUE)</f>
        <v>16</v>
      </c>
      <c r="AP40" s="131">
        <f>IFERROR(__xludf.DUMMYFUNCTION("iferror(COUNT(filter($O41:$O$397,$O41:$O$397&gt;$O40,arrayformula(isnumber(FIND($E41:$E$397,AM40))))))"),4.0)</f>
        <v>4</v>
      </c>
      <c r="AQ40" s="133">
        <f t="shared" si="10"/>
        <v>0</v>
      </c>
      <c r="AR40" s="134">
        <f>IFERROR(__xludf.DUMMYFUNCTION("$O40-min(filter($O40:$O$397,arrayformula(isnumber(FIND($E40:$E$397,AM40)))))"),8.0)</f>
        <v>8</v>
      </c>
      <c r="AS40" s="128" t="str">
        <f>IFERROR(__xludf.DUMMYFUNCTION("iferror(join("","",index(sort(filter($F41:$F$397,$O41:$O$397&gt;$O40,arrayformula(isnumber(FIND($E41:$E$397,AM40)))),2,false),0,1)))"),"Iowa,James Madison,Miami-OH,Louisville")</f>
        <v>Iowa,James Madison,Miami-OH,Louisville</v>
      </c>
    </row>
    <row r="41">
      <c r="A41" s="122">
        <v>40.0</v>
      </c>
      <c r="B41" s="122">
        <v>4.0</v>
      </c>
      <c r="C41" s="122">
        <v>1.0</v>
      </c>
      <c r="D41" s="123" t="str">
        <f t="array" ref="D41:D53">index(sort('Draft Order'!$A$2:$B$14,1,0),0,2)</f>
        <v>Justin</v>
      </c>
      <c r="E41" s="124" t="str">
        <f>if(F41&lt;&gt;"",VLOOKUP(F41,offset('Teams-Conference'!A:B,0,(counta('Draft Order'!B$2:B134)-10)*2),2,0),"")</f>
        <v>Big Ten</v>
      </c>
      <c r="F41" s="125" t="s">
        <v>266</v>
      </c>
      <c r="G41" s="126" t="str">
        <f t="shared" si="1"/>
        <v/>
      </c>
      <c r="H41" s="127">
        <f t="shared" si="2"/>
        <v>0</v>
      </c>
      <c r="I41" s="127">
        <f t="shared" si="3"/>
        <v>1</v>
      </c>
      <c r="J41" s="127">
        <f t="shared" si="11"/>
        <v>1</v>
      </c>
      <c r="K41" s="127">
        <f t="shared" ref="K41:K46" si="15">countif(E21:E41,E42)</f>
        <v>1</v>
      </c>
      <c r="L41" s="127">
        <v>10.0</v>
      </c>
      <c r="M41" s="127">
        <f>IFERROR(__xludf.DUMMYFUNCTION("counta(iferror(filter(L$2:L40,E$2:E40=E41,L$2:L40&lt;L41)))"),1.0)</f>
        <v>1</v>
      </c>
      <c r="N41" s="127">
        <f>IFERROR(__xludf.DUMMYFUNCTION("counta(iferror(filter(L42:L$131,E42:E$131=E41,L42:L$136&gt;L41)))"),0.0)</f>
        <v>0</v>
      </c>
      <c r="O41" s="129">
        <f t="array" ref="O41:Z41">XLOOKUP(F41,'Current Week'!C:C,'Current Week'!D:O)</f>
        <v>10</v>
      </c>
      <c r="P41" s="127">
        <v>2.0</v>
      </c>
      <c r="Q41" s="128" t="s">
        <v>211</v>
      </c>
      <c r="R41" s="130">
        <v>45262.833333333336</v>
      </c>
      <c r="S41" s="128" t="s">
        <v>59</v>
      </c>
      <c r="T41" s="128"/>
      <c r="U41" s="128">
        <v>21.5</v>
      </c>
      <c r="V41" s="131">
        <v>22.5</v>
      </c>
      <c r="W41" s="128">
        <v>-4000.0</v>
      </c>
      <c r="X41" s="131" t="s">
        <v>212</v>
      </c>
      <c r="Y41" s="131">
        <v>216.0</v>
      </c>
      <c r="Z41" s="131">
        <v>146.0</v>
      </c>
      <c r="AA41" s="132">
        <f t="shared" si="4"/>
        <v>-1</v>
      </c>
      <c r="AB41" s="131">
        <f t="shared" si="5"/>
        <v>24</v>
      </c>
      <c r="AC41" s="131">
        <f>IFERROR(__xludf.DUMMYFUNCTION("iferror(COUNT(filter($O42:$O$397,$O42:$O$397&gt;$O41)))"),1.0)</f>
        <v>1</v>
      </c>
      <c r="AD41" s="133">
        <f t="shared" si="6"/>
        <v>0</v>
      </c>
      <c r="AE41" s="134">
        <f t="shared" si="7"/>
        <v>6</v>
      </c>
      <c r="AF41" s="128" t="str">
        <f>IFERROR(__xludf.DUMMYFUNCTION("iferror(join("","",index(sort(filter($F42:$F$398,$O42:$O$398&gt;$O41),2,false),0,1)))"),"James Madison")</f>
        <v>James Madison</v>
      </c>
      <c r="AG41" s="132">
        <f>IFERROR(__xludf.DUMMYFUNCTION("iferror($O41-max(filter($O41:$O$397,$E41:$E$397=$E$2)))"),0.0)</f>
        <v>0</v>
      </c>
      <c r="AH41" s="131">
        <f t="shared" si="8"/>
        <v>2</v>
      </c>
      <c r="AI41" s="131">
        <f>IFERROR(__xludf.DUMMYFUNCTION("iferror(COUNT(filter($O42:$O$397,$O42:$O$397&gt;$O41,$E41:$E$397=$E$2)))"),0.0)</f>
        <v>0</v>
      </c>
      <c r="AJ41" s="133">
        <f t="shared" si="9"/>
        <v>1</v>
      </c>
      <c r="AK41" s="134">
        <f>IFERROR(__xludf.DUMMYFUNCTION("iferror($O41-min(filter($O41:$O$397,$E41:$E$397=$E$2)))"),8.0)</f>
        <v>8</v>
      </c>
      <c r="AL41" s="128" t="str">
        <f>IFERROR(__xludf.DUMMYFUNCTION("iferror(join("","",index(sort(filter($F42:$F$397,$O42:$O$397&gt;$O41,$E42:$E$397=$E$2),2,false),0,1)))"),"")</f>
        <v/>
      </c>
      <c r="AM41" s="128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"""")"),"AAC,ACC,,Big Ten,MAC,MWC,Pac12,Sun Belt")</f>
        <v>AAC,ACC,,Big Ten,MAC,MWC,Pac12,Sun Belt</v>
      </c>
      <c r="AN41" s="132">
        <f>IFERROR(__xludf.DUMMYFUNCTION("iferror($O41-max(filter($O41:$O$397,arrayformula(isnumber(FIND($E41:$E$397,AM41))))))"),-1.0)</f>
        <v>-1</v>
      </c>
      <c r="AO41" s="131">
        <f t="array" ref="AO41">countifs($O$2:$O40,"&lt;"&amp;$O41,isnumber(FIND($E$2:$E40,AM41)),TRUE)</f>
        <v>17</v>
      </c>
      <c r="AP41" s="131">
        <f>IFERROR(__xludf.DUMMYFUNCTION("iferror(COUNT(filter($O42:$O$397,$O42:$O$397&gt;$O41,arrayformula(isnumber(FIND($E42:$E$397,AM41))))))"),1.0)</f>
        <v>1</v>
      </c>
      <c r="AQ41" s="133">
        <f t="shared" si="10"/>
        <v>0</v>
      </c>
      <c r="AR41" s="134">
        <f>IFERROR(__xludf.DUMMYFUNCTION("$O41-min(filter($O41:$O$397,arrayformula(isnumber(FIND($E41:$E$397,AM41)))))"),9.0)</f>
        <v>9</v>
      </c>
      <c r="AS41" s="128" t="str">
        <f>IFERROR(__xludf.DUMMYFUNCTION("iferror(join("","",index(sort(filter($F42:$F$397,$O42:$O$397&gt;$O41,arrayformula(isnumber(FIND($E42:$E$397,AM41)))),2,false),0,1)))"),"James Madison")</f>
        <v>James Madison</v>
      </c>
    </row>
    <row r="42">
      <c r="A42" s="23">
        <v>41.0</v>
      </c>
      <c r="B42" s="23">
        <v>4.0</v>
      </c>
      <c r="C42" s="23">
        <v>2.0</v>
      </c>
      <c r="D42" s="135" t="s">
        <v>125</v>
      </c>
      <c r="E42" s="136" t="str">
        <f>if(F42&lt;&gt;"",VLOOKUP(F42,offset('Teams-Conference'!A:B,0,(counta('Draft Order'!B$2:B134)-10)*2),2,0),"")</f>
        <v>Sun Belt</v>
      </c>
      <c r="F42" s="137" t="s">
        <v>262</v>
      </c>
      <c r="G42" s="138" t="str">
        <f t="shared" si="1"/>
        <v/>
      </c>
      <c r="H42" s="127">
        <f t="shared" si="2"/>
        <v>2</v>
      </c>
      <c r="I42" s="127">
        <f t="shared" si="3"/>
        <v>4</v>
      </c>
      <c r="J42" s="127">
        <f t="shared" si="11"/>
        <v>0</v>
      </c>
      <c r="K42" s="127">
        <f t="shared" si="15"/>
        <v>0</v>
      </c>
      <c r="L42" s="127">
        <v>11.0</v>
      </c>
      <c r="M42" s="127">
        <f>IFERROR(__xludf.DUMMYFUNCTION("counta(iferror(filter(L$2:L41,E$2:E41=E42,L$2:L41&lt;L42)))"),2.0)</f>
        <v>2</v>
      </c>
      <c r="N42" s="127">
        <f>IFERROR(__xludf.DUMMYFUNCTION("counta(iferror(filter(L43:L$131,E43:E$131=E42,L43:L$136&gt;L42)))"),0.0)</f>
        <v>0</v>
      </c>
      <c r="O42" s="129">
        <f t="array" ref="O42:Z42">XLOOKUP(F42,'Current Week'!C:C,'Current Week'!D:O)</f>
        <v>11</v>
      </c>
      <c r="P42" s="127">
        <v>1.0</v>
      </c>
      <c r="Q42" s="128"/>
      <c r="R42" s="128"/>
      <c r="S42" s="128"/>
      <c r="T42" s="128"/>
      <c r="U42" s="128"/>
      <c r="V42" s="131"/>
      <c r="W42" s="128"/>
      <c r="X42" s="131"/>
      <c r="Y42" s="131">
        <v>422.0</v>
      </c>
      <c r="Z42" s="131">
        <v>222.0</v>
      </c>
      <c r="AA42" s="132">
        <f t="shared" si="4"/>
        <v>0</v>
      </c>
      <c r="AB42" s="131">
        <f t="shared" si="5"/>
        <v>29</v>
      </c>
      <c r="AC42" s="131">
        <f>IFERROR(__xludf.DUMMYFUNCTION("iferror(COUNT(filter($O43:$O$397,$O43:$O$397&gt;$O42)))"),0.0)</f>
        <v>0</v>
      </c>
      <c r="AD42" s="133">
        <f t="shared" si="6"/>
        <v>1</v>
      </c>
      <c r="AE42" s="134">
        <f t="shared" si="7"/>
        <v>7</v>
      </c>
      <c r="AF42" s="128" t="str">
        <f>IFERROR(__xludf.DUMMYFUNCTION("iferror(join("","",index(sort(filter($F43:$F$398,$O43:$O$398&gt;$O42),2,false),0,1)))"),"")</f>
        <v/>
      </c>
      <c r="AG42" s="132">
        <f>IFERROR(__xludf.DUMMYFUNCTION("iferror($O42-max(filter($O42:$O$397,$E42:$E$397=$E$2)))"),1.0)</f>
        <v>1</v>
      </c>
      <c r="AH42" s="131">
        <f t="shared" si="8"/>
        <v>2</v>
      </c>
      <c r="AI42" s="131">
        <f>IFERROR(__xludf.DUMMYFUNCTION("iferror(COUNT(filter($O43:$O$397,$O43:$O$397&gt;$O42,$E42:$E$397=$E$2)))"),0.0)</f>
        <v>0</v>
      </c>
      <c r="AJ42" s="133">
        <f t="shared" si="9"/>
        <v>0</v>
      </c>
      <c r="AK42" s="134">
        <f>IFERROR(__xludf.DUMMYFUNCTION("iferror($O42-min(filter($O42:$O$397,$E42:$E$397=$E$2)))"),9.0)</f>
        <v>9</v>
      </c>
      <c r="AL42" s="128" t="str">
        <f>IFERROR(__xludf.DUMMYFUNCTION("iferror(join("","",index(sort(filter($F43:$F$397,$O43:$O$397&gt;$O42,$E43:$E$397=$E$2),2,false),0,1)))"),"")</f>
        <v/>
      </c>
      <c r="AM42" s="128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"""")"),"AAC,,Big Ten,CUSA,MAC,MWC,SEC,Sun Belt")</f>
        <v>AAC,,Big Ten,CUSA,MAC,MWC,SEC,Sun Belt</v>
      </c>
      <c r="AN42" s="132">
        <f>IFERROR(__xludf.DUMMYFUNCTION("iferror($O42-max(filter($O42:$O$397,arrayformula(isnumber(FIND($E42:$E$397,AM42))))))"),0.0)</f>
        <v>0</v>
      </c>
      <c r="AO42" s="131">
        <f t="array" ref="AO42">countifs($O$2:$O41,"&lt;"&amp;$O42,isnumber(FIND($E$2:$E41,AM42)),TRUE)</f>
        <v>17</v>
      </c>
      <c r="AP42" s="131">
        <f>IFERROR(__xludf.DUMMYFUNCTION("iferror(COUNT(filter($O43:$O$397,$O43:$O$397&gt;$O42,arrayformula(isnumber(FIND($E43:$E$397,AM42))))))"),0.0)</f>
        <v>0</v>
      </c>
      <c r="AQ42" s="133">
        <f t="shared" si="10"/>
        <v>1</v>
      </c>
      <c r="AR42" s="134">
        <f>IFERROR(__xludf.DUMMYFUNCTION("$O42-min(filter($O42:$O$397,arrayformula(isnumber(FIND($E42:$E$397,AM42)))))"),10.0)</f>
        <v>10</v>
      </c>
      <c r="AS42" s="128" t="str">
        <f>IFERROR(__xludf.DUMMYFUNCTION("iferror(join("","",index(sort(filter($F43:$F$397,$O43:$O$397&gt;$O42,arrayformula(isnumber(FIND($E43:$E$397,AM42)))),2,false),0,1)))"),"")</f>
        <v/>
      </c>
    </row>
    <row r="43">
      <c r="A43" s="23">
        <v>42.0</v>
      </c>
      <c r="B43" s="23">
        <v>4.0</v>
      </c>
      <c r="C43" s="23">
        <v>3.0</v>
      </c>
      <c r="D43" s="139" t="s">
        <v>69</v>
      </c>
      <c r="E43" s="136" t="str">
        <f>if(F43&lt;&gt;"",VLOOKUP(F43,offset('Teams-Conference'!A:B,0,(counta('Draft Order'!B$2:B134)-10)*2),2,0),"")</f>
        <v>CUSA</v>
      </c>
      <c r="F43" s="137" t="s">
        <v>250</v>
      </c>
      <c r="G43" s="138" t="str">
        <f t="shared" si="1"/>
        <v/>
      </c>
      <c r="H43" s="127">
        <f t="shared" si="2"/>
        <v>0</v>
      </c>
      <c r="I43" s="127">
        <f t="shared" si="3"/>
        <v>3</v>
      </c>
      <c r="J43" s="127">
        <f t="shared" si="11"/>
        <v>0</v>
      </c>
      <c r="K43" s="127">
        <f t="shared" si="15"/>
        <v>1</v>
      </c>
      <c r="L43" s="127">
        <v>3.0</v>
      </c>
      <c r="M43" s="127">
        <f>IFERROR(__xludf.DUMMYFUNCTION("counta(iferror(filter(L$2:L42,E$2:E42=E43,L$2:L42&lt;L43)))"),0.0)</f>
        <v>0</v>
      </c>
      <c r="N43" s="127">
        <f>IFERROR(__xludf.DUMMYFUNCTION("counta(iferror(filter(L44:L$131,E44:E$131=E43,L44:L$136&gt;L43)))"),0.0)</f>
        <v>0</v>
      </c>
      <c r="O43" s="129">
        <f t="array" ref="O43:Z43">XLOOKUP(F43,'Current Week'!C:C,'Current Week'!D:O)</f>
        <v>3</v>
      </c>
      <c r="P43" s="127">
        <v>9.0</v>
      </c>
      <c r="Q43" s="128"/>
      <c r="R43" s="128"/>
      <c r="S43" s="128"/>
      <c r="T43" s="128"/>
      <c r="U43" s="128"/>
      <c r="V43" s="131"/>
      <c r="W43" s="128"/>
      <c r="X43" s="131"/>
      <c r="Y43" s="131">
        <v>311.0</v>
      </c>
      <c r="Z43" s="131">
        <v>401.0</v>
      </c>
      <c r="AA43" s="132">
        <f t="shared" si="4"/>
        <v>-7</v>
      </c>
      <c r="AB43" s="131">
        <f t="shared" si="5"/>
        <v>0</v>
      </c>
      <c r="AC43" s="131">
        <f>IFERROR(__xludf.DUMMYFUNCTION("iferror(COUNT(filter($O44:$O$397,$O44:$O$397&gt;$O43)))"),70.0)</f>
        <v>70</v>
      </c>
      <c r="AD43" s="133">
        <f t="shared" si="6"/>
        <v>0</v>
      </c>
      <c r="AE43" s="134">
        <f t="shared" si="7"/>
        <v>0</v>
      </c>
      <c r="AF43" s="128" t="str">
        <f>IFERROR(__xludf.DUMMYFUNCTION("iferror(join("","",index(sort(filter($F44:$F$398,$O44:$O$398&gt;$O43),2,false),0,1)))"),"Miami-OH,EMU,Ole Miss,Coastal Carolina,Texas Tech,Louisville,Florida Atlantic,Marshall,Miami,Appalachian State,Northern Illinois,Army,UL Lafayette,Wyoming,New Mexico State,North Texas,Maryland,Central Michigan,Utah State,NC State,Jacksonville State,UCF,Ge"&amp;"orgia Southern,Georgia State,Purdue,UNLV,Illinois,Ball State,San José State,Minnesota,Nebraska,Colorado State,Syracuse,Michigan State,Duke,Kansas,Wake Forest,Bowling Green,Navy,Arkansas State,Texas A&amp;M,UAB,Western Michigan,California,Arizona,Arkansas,Kent"&amp;"ucky,South Carolina,Hawaii,Iowa State,BYU,New Mexico,Auburn,Texas State,Rutgers,Tulsa,Florida Intl,Missouri,Boston College,South Florida,Northwestern,Colorado,Old Dominion,Rice,Mississippi State,Georgia Tech,Houston,Florida,Virginia Tech,West Virginia")</f>
        <v>Miami-OH,EMU,Ole Miss,Coastal Carolina,Texas Tech,Louisville,Florida Atlantic,Marshall,Miami,Appalachian State,Northern Illinois,Army,UL Lafayette,Wyoming,New Mexico State,North Texas,Maryland,Central Michigan,Utah State,NC State,Jacksonville State,UCF,Georgia Southern,Georgia State,Purdue,UNLV,Illinois,Ball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43" s="132">
        <f>IFERROR(__xludf.DUMMYFUNCTION("iferror($O43-max(filter($O43:$O$397,$E43:$E$397=$E$2)))"),-7.0)</f>
        <v>-7</v>
      </c>
      <c r="AH43" s="131">
        <f t="shared" si="8"/>
        <v>0</v>
      </c>
      <c r="AI43" s="131">
        <f>IFERROR(__xludf.DUMMYFUNCTION("iferror(COUNT(filter($O44:$O$397,$O44:$O$397&gt;$O43,$E43:$E$397=$E$2)))"),0.0)</f>
        <v>0</v>
      </c>
      <c r="AJ43" s="133">
        <f t="shared" si="9"/>
        <v>0</v>
      </c>
      <c r="AK43" s="134">
        <f>IFERROR(__xludf.DUMMYFUNCTION("iferror($O43-min(filter($O43:$O$397,$E43:$E$397=$E$2)))"),1.0)</f>
        <v>1</v>
      </c>
      <c r="AL43" s="128" t="str">
        <f>IFERROR(__xludf.DUMMYFUNCTION("iferror(join("","",index(sort(filter($F44:$F$397,$O44:$O$397&gt;$O43,$E44:$E$397=$E$2),2,false),0,1)))"),"Ole Miss,Texas A&amp;M,Arkansas,Kentucky,South Carolina,Auburn,Missouri,Mississippi State,Florida")</f>
        <v>Ole Miss,Texas A&amp;M,Arkansas,Kentucky,South Carolina,Auburn,Missouri,Mississippi State,Florida</v>
      </c>
      <c r="AM43" s="128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"""")"),"AAC,ACC,Big 12,,CUSA,MAC,Pac12,Sun Belt")</f>
        <v>AAC,ACC,Big 12,,CUSA,MAC,Pac12,Sun Belt</v>
      </c>
      <c r="AN43" s="132">
        <f>IFERROR(__xludf.DUMMYFUNCTION("iferror($O43-max(filter($O43:$O$397,arrayformula(isnumber(FIND($E43:$E$397,AM43))))))"),-7.0)</f>
        <v>-7</v>
      </c>
      <c r="AO43" s="131">
        <f t="array" ref="AO43">countifs($O$2:$O42,"&lt;"&amp;$O43,isnumber(FIND($E$2:$E42,AM43)),TRUE)</f>
        <v>0</v>
      </c>
      <c r="AP43" s="131">
        <f>IFERROR(__xludf.DUMMYFUNCTION("iferror(COUNT(filter($O44:$O$397,$O44:$O$397&gt;$O43,arrayformula(isnumber(FIND($E44:$E$397,AM43))))))"),47.0)</f>
        <v>47</v>
      </c>
      <c r="AQ43" s="133">
        <f t="shared" si="10"/>
        <v>0</v>
      </c>
      <c r="AR43" s="134">
        <f>IFERROR(__xludf.DUMMYFUNCTION("$O43-min(filter($O43:$O$397,arrayformula(isnumber(FIND($E43:$E$397,AM43)))))"),2.0)</f>
        <v>2</v>
      </c>
      <c r="AS43" s="128" t="str">
        <f>IFERROR(__xludf.DUMMYFUNCTION("iferror(join("","",index(sort(filter($F44:$F$397,$O44:$O$397&gt;$O43,arrayformula(isnumber(FIND($E44:$E$397,AM43)))),2,false),0,1)))"),"Miami-OH,EMU,Coastal Carolina,Texas Tech,Louisville,Florida Atlantic,Marshall,Miami,Appalachian State,Northern Illinois,Army,UL Lafayette,New Mexico State,North Texas,Central Michigan,NC State,Jacksonville State,UCF,Georgia Southern,Georgia State,Ball Sta"&amp;"te,Syracuse,Duke,Kansas,Wake Forest,Bowling Green,Navy,Arkansas State,UAB,Western Michigan,California,Arizona,Iowa State,BYU,Texas State,Rutgers,Tulsa,Florida Intl,Boston College,South Florida,Colorado,Old Dominion,Rice,Georgia Tech,Houston,Virginia Tech,"&amp;"West Virginia")</f>
        <v>Miami-OH,EMU,Coastal Carolina,Texas Tech,Louisville,Florida Atlantic,Marshall,Miami,Appalachian State,Northern Illinois,Army,UL Lafayette,New Mexico State,North Texas,Central Michigan,NC State,Jacksonville State,UCF,Georgia Southern,Georgia State,Ball State,Syracuse,Duke,Kansas,Wake Forest,Bowling Green,Navy,Arkansas State,UAB,Western Michigan,California,Arizona,Iowa State,BYU,Texas State,Rutgers,Tulsa,Florida Intl,Boston College,South Florida,Colorado,Old Dominion,Rice,Georgia Tech,Houston,Virginia Tech,West Virginia</v>
      </c>
    </row>
    <row r="44">
      <c r="A44" s="23">
        <v>43.0</v>
      </c>
      <c r="B44" s="23">
        <v>4.0</v>
      </c>
      <c r="C44" s="23">
        <v>4.0</v>
      </c>
      <c r="D44" s="135" t="s">
        <v>62</v>
      </c>
      <c r="E44" s="136" t="str">
        <f>if(F44&lt;&gt;"",VLOOKUP(F44,offset('Teams-Conference'!A:B,0,(counta('Draft Order'!B$2:B134)-10)*2),2,0),"")</f>
        <v>MAC</v>
      </c>
      <c r="F44" s="137" t="s">
        <v>240</v>
      </c>
      <c r="G44" s="138" t="str">
        <f t="shared" si="1"/>
        <v/>
      </c>
      <c r="H44" s="127">
        <f t="shared" si="2"/>
        <v>2</v>
      </c>
      <c r="I44" s="127">
        <f t="shared" si="3"/>
        <v>4</v>
      </c>
      <c r="J44" s="127">
        <f t="shared" si="11"/>
        <v>1</v>
      </c>
      <c r="K44" s="127">
        <f t="shared" si="15"/>
        <v>2</v>
      </c>
      <c r="L44" s="127">
        <v>10.0</v>
      </c>
      <c r="M44" s="127">
        <f>IFERROR(__xludf.DUMMYFUNCTION("counta(iferror(filter(L$2:L43,E$2:E43=E44,L$2:L43&lt;L44)))"),1.0)</f>
        <v>1</v>
      </c>
      <c r="N44" s="127">
        <f>IFERROR(__xludf.DUMMYFUNCTION("counta(iferror(filter(L45:L$131,E45:E$131=E44,L45:L$136&gt;L44)))"),0.0)</f>
        <v>0</v>
      </c>
      <c r="O44" s="129">
        <f t="array" ref="O44:Z44">XLOOKUP(F44,'Current Week'!C:C,'Current Week'!D:O)</f>
        <v>10</v>
      </c>
      <c r="P44" s="127">
        <v>2.0</v>
      </c>
      <c r="Q44" s="128" t="s">
        <v>121</v>
      </c>
      <c r="R44" s="130">
        <v>45262.5</v>
      </c>
      <c r="S44" s="128" t="s">
        <v>56</v>
      </c>
      <c r="T44" s="128"/>
      <c r="U44" s="128"/>
      <c r="V44" s="131"/>
      <c r="W44" s="128"/>
      <c r="X44" s="131"/>
      <c r="Y44" s="131">
        <v>327.0</v>
      </c>
      <c r="Z44" s="131">
        <v>196.0</v>
      </c>
      <c r="AA44" s="132">
        <f t="shared" si="4"/>
        <v>0</v>
      </c>
      <c r="AB44" s="131">
        <f t="shared" si="5"/>
        <v>25</v>
      </c>
      <c r="AC44" s="131">
        <f>IFERROR(__xludf.DUMMYFUNCTION("iferror(COUNT(filter($O45:$O$397,$O45:$O$397&gt;$O44)))"),0.0)</f>
        <v>0</v>
      </c>
      <c r="AD44" s="133">
        <f t="shared" si="6"/>
        <v>1</v>
      </c>
      <c r="AE44" s="134">
        <f t="shared" si="7"/>
        <v>7</v>
      </c>
      <c r="AF44" s="128" t="str">
        <f>IFERROR(__xludf.DUMMYFUNCTION("iferror(join("","",index(sort(filter($F45:$F$398,$O45:$O$398&gt;$O44),2,false),0,1)))"),"")</f>
        <v/>
      </c>
      <c r="AG44" s="132">
        <f>IFERROR(__xludf.DUMMYFUNCTION("iferror($O44-max(filter($O44:$O$397,$E44:$E$397=$E$2)))"),0.0)</f>
        <v>0</v>
      </c>
      <c r="AH44" s="131">
        <f t="shared" si="8"/>
        <v>2</v>
      </c>
      <c r="AI44" s="131">
        <f>IFERROR(__xludf.DUMMYFUNCTION("iferror(COUNT(filter($O45:$O$397,$O45:$O$397&gt;$O44,$E44:$E$397=$E$2)))"),0.0)</f>
        <v>0</v>
      </c>
      <c r="AJ44" s="133">
        <f t="shared" si="9"/>
        <v>1</v>
      </c>
      <c r="AK44" s="134">
        <f>IFERROR(__xludf.DUMMYFUNCTION("iferror($O44-min(filter($O44:$O$397,$E44:$E$397=$E$2)))"),8.0)</f>
        <v>8</v>
      </c>
      <c r="AL44" s="128" t="str">
        <f>IFERROR(__xludf.DUMMYFUNCTION("iferror(join("","",index(sort(filter($F45:$F$397,$O45:$O$397&gt;$O44,$E45:$E$397=$E$2),2,false),0,1)))"),"")</f>
        <v/>
      </c>
      <c r="AM44" s="128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"""")"),"AAC,ACC,Big 12,Big Ten,,MAC,SEC,Sun Belt")</f>
        <v>AAC,ACC,Big 12,Big Ten,,MAC,SEC,Sun Belt</v>
      </c>
      <c r="AN44" s="132">
        <f>IFERROR(__xludf.DUMMYFUNCTION("iferror($O44-max(filter($O44:$O$397,arrayformula(isnumber(FIND($E44:$E$397,AM44))))))"),0.0)</f>
        <v>0</v>
      </c>
      <c r="AO44" s="131">
        <f t="array" ref="AO44">countifs($O$2:$O43,"&lt;"&amp;$O44,isnumber(FIND($E$2:$E43,AM44)),TRUE)</f>
        <v>12</v>
      </c>
      <c r="AP44" s="131">
        <f>IFERROR(__xludf.DUMMYFUNCTION("iferror(COUNT(filter($O45:$O$397,$O45:$O$397&gt;$O44,arrayformula(isnumber(FIND($E45:$E$397,AM44))))))"),0.0)</f>
        <v>0</v>
      </c>
      <c r="AQ44" s="133">
        <f t="shared" si="10"/>
        <v>1</v>
      </c>
      <c r="AR44" s="134">
        <f>IFERROR(__xludf.DUMMYFUNCTION("$O44-min(filter($O44:$O$397,arrayformula(isnumber(FIND($E44:$E$397,AM44)))))"),9.0)</f>
        <v>9</v>
      </c>
      <c r="AS44" s="128" t="str">
        <f>IFERROR(__xludf.DUMMYFUNCTION("iferror(join("","",index(sort(filter($F45:$F$397,$O45:$O$397&gt;$O44,arrayformula(isnumber(FIND($E45:$E$397,AM44)))),2,false),0,1)))"),"")</f>
        <v/>
      </c>
    </row>
    <row r="45">
      <c r="A45" s="23">
        <v>44.0</v>
      </c>
      <c r="B45" s="23">
        <v>4.0</v>
      </c>
      <c r="C45" s="23">
        <v>5.0</v>
      </c>
      <c r="D45" s="135" t="s">
        <v>59</v>
      </c>
      <c r="E45" s="136" t="str">
        <f>if(F45&lt;&gt;"",VLOOKUP(F45,offset('Teams-Conference'!A:B,0,(counta('Draft Order'!B$2:B134)-10)*2),2,0),"")</f>
        <v>MAC</v>
      </c>
      <c r="F45" s="140" t="s">
        <v>238</v>
      </c>
      <c r="G45" s="138" t="str">
        <f t="shared" si="1"/>
        <v/>
      </c>
      <c r="H45" s="127">
        <f t="shared" si="2"/>
        <v>2</v>
      </c>
      <c r="I45" s="127">
        <f t="shared" si="3"/>
        <v>3</v>
      </c>
      <c r="J45" s="127">
        <f t="shared" si="11"/>
        <v>1</v>
      </c>
      <c r="K45" s="127">
        <f t="shared" si="15"/>
        <v>0</v>
      </c>
      <c r="L45" s="127">
        <v>6.0</v>
      </c>
      <c r="M45" s="127">
        <f>IFERROR(__xludf.DUMMYFUNCTION("counta(iferror(filter(L$2:L44,E$2:E44=E45,L$2:L44&lt;L45)))"),0.0)</f>
        <v>0</v>
      </c>
      <c r="N45" s="127">
        <f>IFERROR(__xludf.DUMMYFUNCTION("counta(iferror(filter(L46:L$131,E46:E$131=E45,L46:L$136&gt;L45)))"),0.0)</f>
        <v>0</v>
      </c>
      <c r="O45" s="129">
        <f t="array" ref="O45:Z45">XLOOKUP(F45,'Current Week'!C:C,'Current Week'!D:O)</f>
        <v>6</v>
      </c>
      <c r="P45" s="127">
        <v>6.0</v>
      </c>
      <c r="Q45" s="128"/>
      <c r="R45" s="128"/>
      <c r="S45" s="128"/>
      <c r="T45" s="128"/>
      <c r="U45" s="128"/>
      <c r="V45" s="131"/>
      <c r="W45" s="128"/>
      <c r="X45" s="131"/>
      <c r="Y45" s="131">
        <v>244.0</v>
      </c>
      <c r="Z45" s="131">
        <v>288.0</v>
      </c>
      <c r="AA45" s="132">
        <f t="shared" si="4"/>
        <v>-4</v>
      </c>
      <c r="AB45" s="131">
        <f t="shared" si="5"/>
        <v>5</v>
      </c>
      <c r="AC45" s="131">
        <f>IFERROR(__xludf.DUMMYFUNCTION("iferror(COUNT(filter($O46:$O$397,$O46:$O$397&gt;$O45)))"),23.0)</f>
        <v>23</v>
      </c>
      <c r="AD45" s="133">
        <f t="shared" si="6"/>
        <v>0</v>
      </c>
      <c r="AE45" s="134">
        <f t="shared" si="7"/>
        <v>3</v>
      </c>
      <c r="AF45" s="128" t="str">
        <f>IFERROR(__xludf.DUMMYFUNCTION("iferror(join("","",index(sort(filter($F46:$F$398,$O46:$O$398&gt;$O45),2,false),0,1)))"),"Ole Miss,Coastal Carolina,Louisville,Miami,Appalachian State,Wyoming,New Mexico State,Maryland,NC State,Jacksonville State,UNLV,San José State,Duke,Kansas,Bowling Green,Texas A&amp;M,Arizona,Kentucky,Iowa State,Texas State,Missouri,Northwestern,West Virginia")</f>
        <v>Ole Miss,Coastal Carolina,Louisville,Miami,Appalachian State,Wyoming,New Mexico State,Maryland,NC State,Jacksonville State,UNLV,San José State,Duke,Kansas,Bowling Green,Texas A&amp;M,Arizona,Kentucky,Iowa State,Texas State,Missouri,Northwestern,West Virginia</v>
      </c>
      <c r="AG45" s="132">
        <f>IFERROR(__xludf.DUMMYFUNCTION("iferror($O45-max(filter($O45:$O$397,$E45:$E$397=$E$2)))"),-4.0)</f>
        <v>-4</v>
      </c>
      <c r="AH45" s="131">
        <f t="shared" si="8"/>
        <v>0</v>
      </c>
      <c r="AI45" s="131">
        <f>IFERROR(__xludf.DUMMYFUNCTION("iferror(COUNT(filter($O46:$O$397,$O46:$O$397&gt;$O45,$E45:$E$397=$E$2)))"),0.0)</f>
        <v>0</v>
      </c>
      <c r="AJ45" s="133">
        <f t="shared" si="9"/>
        <v>0</v>
      </c>
      <c r="AK45" s="134">
        <f>IFERROR(__xludf.DUMMYFUNCTION("iferror($O45-min(filter($O45:$O$397,$E45:$E$397=$E$2)))"),4.0)</f>
        <v>4</v>
      </c>
      <c r="AL45" s="128" t="str">
        <f>IFERROR(__xludf.DUMMYFUNCTION("iferror(join("","",index(sort(filter($F46:$F$397,$O46:$O$397&gt;$O45,$E46:$E$397=$E$2),2,false),0,1)))"),"Ole Miss,Texas A&amp;M,Kentucky,Missouri")</f>
        <v>Ole Miss,Texas A&amp;M,Kentucky,Missouri</v>
      </c>
      <c r="AM45" s="128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"""")"),"AAC,ACC,Big 12,,CUSA,MAC,SEC,Sun Belt")</f>
        <v>AAC,ACC,Big 12,,CUSA,MAC,SEC,Sun Belt</v>
      </c>
      <c r="AN45" s="132">
        <f>IFERROR(__xludf.DUMMYFUNCTION("iferror($O45-max(filter($O45:$O$397,arrayformula(isnumber(FIND($E45:$E$397,AM45))))))"),-4.0)</f>
        <v>-4</v>
      </c>
      <c r="AO45" s="131">
        <f t="array" ref="AO45">countifs($O$2:$O44,"&lt;"&amp;$O45,isnumber(FIND($E$2:$E44,AM45)),TRUE)</f>
        <v>3</v>
      </c>
      <c r="AP45" s="131">
        <f>IFERROR(__xludf.DUMMYFUNCTION("iferror(COUNT(filter($O46:$O$397,$O46:$O$397&gt;$O45,arrayformula(isnumber(FIND($E46:$E$397,AM45))))))"),17.0)</f>
        <v>17</v>
      </c>
      <c r="AQ45" s="133">
        <f t="shared" si="10"/>
        <v>0</v>
      </c>
      <c r="AR45" s="134">
        <f>IFERROR(__xludf.DUMMYFUNCTION("$O45-min(filter($O45:$O$397,arrayformula(isnumber(FIND($E45:$E$397,AM45)))))"),5.0)</f>
        <v>5</v>
      </c>
      <c r="AS45" s="128" t="str">
        <f>IFERROR(__xludf.DUMMYFUNCTION("iferror(join("","",index(sort(filter($F46:$F$397,$O46:$O$397&gt;$O45,arrayformula(isnumber(FIND($E46:$E$397,AM45)))),2,false),0,1)))"),"Ole Miss,Coastal Carolina,Louisville,Miami,Appalachian State,New Mexico State,NC State,Jacksonville State,Duke,Kansas,Bowling Green,Texas A&amp;M,Kentucky,Iowa State,Texas State,Missouri,West Virginia")</f>
        <v>Ole Miss,Coastal Carolina,Louisville,Miami,Appalachian State,New Mexico State,NC State,Jacksonville State,Duke,Kansas,Bowling Green,Texas A&amp;M,Kentucky,Iowa State,Texas State,Missouri,West Virginia</v>
      </c>
    </row>
    <row r="46">
      <c r="A46" s="23">
        <v>45.0</v>
      </c>
      <c r="B46" s="23">
        <v>4.0</v>
      </c>
      <c r="C46" s="23">
        <v>6.0</v>
      </c>
      <c r="D46" s="135" t="s">
        <v>67</v>
      </c>
      <c r="E46" s="136" t="str">
        <f>if(F46&lt;&gt;"",VLOOKUP(F46,offset('Teams-Conference'!A:B,0,(counta('Draft Order'!B$2:B134)-10)*2),2,0),"")</f>
        <v>SEC</v>
      </c>
      <c r="F46" s="137" t="s">
        <v>225</v>
      </c>
      <c r="G46" s="138" t="str">
        <f t="shared" si="1"/>
        <v/>
      </c>
      <c r="H46" s="127">
        <f t="shared" si="2"/>
        <v>0</v>
      </c>
      <c r="I46" s="127">
        <f t="shared" si="3"/>
        <v>0</v>
      </c>
      <c r="J46" s="127">
        <f t="shared" si="11"/>
        <v>0</v>
      </c>
      <c r="K46" s="127">
        <f t="shared" si="15"/>
        <v>1</v>
      </c>
      <c r="L46" s="127">
        <v>10.0</v>
      </c>
      <c r="M46" s="127">
        <f>IFERROR(__xludf.DUMMYFUNCTION("counta(iferror(filter(L$2:L45,E$2:E45=E46,L$2:L45&lt;L46)))"),2.0)</f>
        <v>2</v>
      </c>
      <c r="N46" s="127">
        <f>IFERROR(__xludf.DUMMYFUNCTION("counta(iferror(filter(L47:L$131,E47:E$131=E46,L47:L$136&gt;L46)))"),0.0)</f>
        <v>0</v>
      </c>
      <c r="O46" s="129">
        <f t="array" ref="O46:Z46">XLOOKUP(F46,'Current Week'!C:C,'Current Week'!D:O)</f>
        <v>10</v>
      </c>
      <c r="P46" s="127">
        <v>2.0</v>
      </c>
      <c r="Q46" s="128"/>
      <c r="R46" s="128"/>
      <c r="S46" s="128"/>
      <c r="T46" s="128"/>
      <c r="U46" s="128"/>
      <c r="V46" s="131"/>
      <c r="W46" s="128"/>
      <c r="X46" s="131"/>
      <c r="Y46" s="131">
        <v>418.0</v>
      </c>
      <c r="Z46" s="131">
        <v>268.0</v>
      </c>
      <c r="AA46" s="132">
        <f t="shared" si="4"/>
        <v>0</v>
      </c>
      <c r="AB46" s="131">
        <f t="shared" si="5"/>
        <v>26</v>
      </c>
      <c r="AC46" s="131">
        <f>IFERROR(__xludf.DUMMYFUNCTION("iferror(COUNT(filter($O47:$O$397,$O47:$O$397&gt;$O46)))"),0.0)</f>
        <v>0</v>
      </c>
      <c r="AD46" s="133">
        <f t="shared" si="6"/>
        <v>1</v>
      </c>
      <c r="AE46" s="134">
        <f t="shared" si="7"/>
        <v>7</v>
      </c>
      <c r="AF46" s="128" t="str">
        <f>IFERROR(__xludf.DUMMYFUNCTION("iferror(join("","",index(sort(filter($F47:$F$398,$O47:$O$398&gt;$O46),2,false),0,1)))"),"")</f>
        <v/>
      </c>
      <c r="AG46" s="132">
        <f>IFERROR(__xludf.DUMMYFUNCTION("iferror($O46-max(filter($O46:$O$397,$E46:$E$397=$E$2)))"),0.0)</f>
        <v>0</v>
      </c>
      <c r="AH46" s="131">
        <f t="shared" si="8"/>
        <v>2</v>
      </c>
      <c r="AI46" s="131">
        <f>IFERROR(__xludf.DUMMYFUNCTION("iferror(COUNT(filter($O47:$O$397,$O47:$O$397&gt;$O46,$E46:$E$397=$E$2)))"),0.0)</f>
        <v>0</v>
      </c>
      <c r="AJ46" s="133">
        <f t="shared" si="9"/>
        <v>1</v>
      </c>
      <c r="AK46" s="134">
        <f>IFERROR(__xludf.DUMMYFUNCTION("iferror($O46-min(filter($O46:$O$397,$E46:$E$397=$E$2)))"),8.0)</f>
        <v>8</v>
      </c>
      <c r="AL46" s="128" t="str">
        <f>IFERROR(__xludf.DUMMYFUNCTION("iferror(join("","",index(sort(filter($F47:$F$397,$O47:$O$397&gt;$O46,$E47:$E$397=$E$2),2,false),0,1)))"),"")</f>
        <v/>
      </c>
      <c r="AM46" s="128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"""")"),"AAC,,Big Ten,CUSA,MAC,MWC,Pac12,SEC")</f>
        <v>AAC,,Big Ten,CUSA,MAC,MWC,Pac12,SEC</v>
      </c>
      <c r="AN46" s="132">
        <f>IFERROR(__xludf.DUMMYFUNCTION("iferror($O46-max(filter($O46:$O$397,arrayformula(isnumber(FIND($E46:$E$397,AM46))))))"),0.0)</f>
        <v>0</v>
      </c>
      <c r="AO46" s="131">
        <f t="array" ref="AO46">countifs($O$2:$O45,"&lt;"&amp;$O46,isnumber(FIND($E$2:$E45,AM46)),TRUE)</f>
        <v>20</v>
      </c>
      <c r="AP46" s="131">
        <f>IFERROR(__xludf.DUMMYFUNCTION("iferror(COUNT(filter($O47:$O$397,$O47:$O$397&gt;$O46,arrayformula(isnumber(FIND($E47:$E$397,AM46))))))"),0.0)</f>
        <v>0</v>
      </c>
      <c r="AQ46" s="133">
        <f t="shared" si="10"/>
        <v>1</v>
      </c>
      <c r="AR46" s="134">
        <f>IFERROR(__xludf.DUMMYFUNCTION("$O46-min(filter($O46:$O$397,arrayformula(isnumber(FIND($E46:$E$397,AM46)))))"),9.0)</f>
        <v>9</v>
      </c>
      <c r="AS46" s="128" t="str">
        <f>IFERROR(__xludf.DUMMYFUNCTION("iferror(join("","",index(sort(filter($F47:$F$397,$O47:$O$397&gt;$O46,arrayformula(isnumber(FIND($E47:$E$397,AM46)))),2,false),0,1)))"),"")</f>
        <v/>
      </c>
    </row>
    <row r="47">
      <c r="A47" s="23">
        <v>46.0</v>
      </c>
      <c r="B47" s="23">
        <v>4.0</v>
      </c>
      <c r="C47" s="23">
        <v>7.0</v>
      </c>
      <c r="D47" s="135" t="s">
        <v>57</v>
      </c>
      <c r="E47" s="136" t="str">
        <f>if(F47&lt;&gt;"",VLOOKUP(F47,offset('Teams-Conference'!A:B,0,(counta('Draft Order'!B$2:B134)-10)*2),2,0),"")</f>
        <v>Sun Belt</v>
      </c>
      <c r="F47" s="140" t="s">
        <v>206</v>
      </c>
      <c r="G47" s="138" t="str">
        <f t="shared" si="1"/>
        <v/>
      </c>
      <c r="H47" s="127">
        <f t="shared" si="2"/>
        <v>3</v>
      </c>
      <c r="I47" s="127">
        <f t="shared" si="3"/>
        <v>3</v>
      </c>
      <c r="J47" s="127">
        <f t="shared" si="11"/>
        <v>1</v>
      </c>
      <c r="K47" s="127">
        <f t="shared" ref="K47:K51" si="16">countif(E28:E47,E48)</f>
        <v>3</v>
      </c>
      <c r="L47" s="127">
        <v>7.0</v>
      </c>
      <c r="M47" s="127">
        <f>IFERROR(__xludf.DUMMYFUNCTION("counta(iferror(filter(L$2:L46,E$2:E46=E47,L$2:L46&lt;L47)))"),1.0)</f>
        <v>1</v>
      </c>
      <c r="N47" s="127">
        <f>IFERROR(__xludf.DUMMYFUNCTION("counta(iferror(filter(L48:L$131,E48:E$131=E47,L48:L$136&gt;L47)))"),0.0)</f>
        <v>0</v>
      </c>
      <c r="O47" s="129">
        <f t="array" ref="O47:Z47">XLOOKUP(F47,'Current Week'!C:C,'Current Week'!D:O)</f>
        <v>7</v>
      </c>
      <c r="P47" s="127">
        <v>5.0</v>
      </c>
      <c r="Q47" s="128"/>
      <c r="R47" s="128"/>
      <c r="S47" s="128"/>
      <c r="T47" s="128"/>
      <c r="U47" s="128"/>
      <c r="V47" s="131"/>
      <c r="W47" s="128"/>
      <c r="X47" s="131"/>
      <c r="Y47" s="131">
        <v>336.0</v>
      </c>
      <c r="Z47" s="131">
        <v>296.0</v>
      </c>
      <c r="AA47" s="132">
        <f t="shared" si="4"/>
        <v>-3</v>
      </c>
      <c r="AB47" s="131">
        <f t="shared" si="5"/>
        <v>7</v>
      </c>
      <c r="AC47" s="131">
        <f>IFERROR(__xludf.DUMMYFUNCTION("iferror(COUNT(filter($O48:$O$397,$O48:$O$397&gt;$O47)))"),11.0)</f>
        <v>11</v>
      </c>
      <c r="AD47" s="133">
        <f t="shared" si="6"/>
        <v>0</v>
      </c>
      <c r="AE47" s="134">
        <f t="shared" si="7"/>
        <v>4</v>
      </c>
      <c r="AF47" s="128" t="str">
        <f>IFERROR(__xludf.DUMMYFUNCTION("iferror(join("","",index(sort(filter($F48:$F$398,$O48:$O$398&gt;$O47),2,false),0,1)))"),"Louisville,Appalachian State,Wyoming,New Mexico State,NC State,Jacksonville State,UNLV,Kansas,Arizona,Missouri,West Virginia")</f>
        <v>Louisville,Appalachian State,Wyoming,New Mexico State,NC State,Jacksonville State,UNLV,Kansas,Arizona,Missouri,West Virginia</v>
      </c>
      <c r="AG47" s="132">
        <f>IFERROR(__xludf.DUMMYFUNCTION("iferror($O47-max(filter($O47:$O$397,$E47:$E$397=$E$2)))"),-3.0)</f>
        <v>-3</v>
      </c>
      <c r="AH47" s="131">
        <f t="shared" si="8"/>
        <v>0</v>
      </c>
      <c r="AI47" s="131">
        <f>IFERROR(__xludf.DUMMYFUNCTION("iferror(COUNT(filter($O48:$O$397,$O48:$O$397&gt;$O47,$E47:$E$397=$E$2)))"),0.0)</f>
        <v>0</v>
      </c>
      <c r="AJ47" s="133">
        <f t="shared" si="9"/>
        <v>0</v>
      </c>
      <c r="AK47" s="134">
        <f>IFERROR(__xludf.DUMMYFUNCTION("iferror($O47-min(filter($O47:$O$397,$E47:$E$397=$E$2)))"),5.0)</f>
        <v>5</v>
      </c>
      <c r="AL47" s="128" t="str">
        <f>IFERROR(__xludf.DUMMYFUNCTION("iferror(join("","",index(sort(filter($F48:$F$397,$O48:$O$397&gt;$O47,$E48:$E$397=$E$2),2,false),0,1)))"),"Missouri")</f>
        <v>Missouri</v>
      </c>
      <c r="AM47" s="128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"""")"),"AAC,ACC,Big 12,,CUSA,MWC,SEC,Sun Belt")</f>
        <v>AAC,ACC,Big 12,,CUSA,MWC,SEC,Sun Belt</v>
      </c>
      <c r="AN47" s="132">
        <f>IFERROR(__xludf.DUMMYFUNCTION("iferror($O47-max(filter($O47:$O$397,arrayformula(isnumber(FIND($E47:$E$397,AM47))))))"),-3.0)</f>
        <v>-3</v>
      </c>
      <c r="AO47" s="131">
        <f t="array" ref="AO47">countifs($O$2:$O46,"&lt;"&amp;$O47,isnumber(FIND($E$2:$E46,AM47)),TRUE)</f>
        <v>5</v>
      </c>
      <c r="AP47" s="131">
        <f>IFERROR(__xludf.DUMMYFUNCTION("iferror(COUNT(filter($O48:$O$397,$O48:$O$397&gt;$O47,arrayformula(isnumber(FIND($E48:$E$397,AM47))))))"),10.0)</f>
        <v>10</v>
      </c>
      <c r="AQ47" s="133">
        <f t="shared" si="10"/>
        <v>0</v>
      </c>
      <c r="AR47" s="134">
        <f>IFERROR(__xludf.DUMMYFUNCTION("$O47-min(filter($O47:$O$397,arrayformula(isnumber(FIND($E47:$E$397,AM47)))))"),5.0)</f>
        <v>5</v>
      </c>
      <c r="AS47" s="128" t="str">
        <f>IFERROR(__xludf.DUMMYFUNCTION("iferror(join("","",index(sort(filter($F48:$F$397,$O48:$O$397&gt;$O47,arrayformula(isnumber(FIND($E48:$E$397,AM47)))),2,false),0,1)))"),"Louisville,Appalachian State,Wyoming,New Mexico State,NC State,Jacksonville State,UNLV,Kansas,Missouri,West Virginia")</f>
        <v>Louisville,Appalachian State,Wyoming,New Mexico State,NC State,Jacksonville State,UNLV,Kansas,Missouri,West Virginia</v>
      </c>
    </row>
    <row r="48">
      <c r="A48" s="23">
        <v>47.0</v>
      </c>
      <c r="B48" s="23">
        <v>4.0</v>
      </c>
      <c r="C48" s="23">
        <v>8.0</v>
      </c>
      <c r="D48" s="135" t="s">
        <v>70</v>
      </c>
      <c r="E48" s="136" t="str">
        <f>if(F48&lt;&gt;"",VLOOKUP(F48,offset('Teams-Conference'!A:B,0,(counta('Draft Order'!B$2:B134)-10)*2),2,0),"")</f>
        <v>MAC</v>
      </c>
      <c r="F48" s="140" t="s">
        <v>199</v>
      </c>
      <c r="G48" s="138" t="str">
        <f t="shared" si="1"/>
        <v/>
      </c>
      <c r="H48" s="127">
        <f t="shared" si="2"/>
        <v>1</v>
      </c>
      <c r="I48" s="127">
        <f t="shared" si="3"/>
        <v>2</v>
      </c>
      <c r="J48" s="127">
        <f t="shared" si="11"/>
        <v>2</v>
      </c>
      <c r="K48" s="127">
        <f t="shared" si="16"/>
        <v>2</v>
      </c>
      <c r="L48" s="127">
        <v>3.0</v>
      </c>
      <c r="M48" s="127">
        <f>IFERROR(__xludf.DUMMYFUNCTION("counta(iferror(filter(L$2:L47,E$2:E47=E48,L$2:L47&lt;L48)))"),0.0)</f>
        <v>0</v>
      </c>
      <c r="N48" s="127">
        <f>IFERROR(__xludf.DUMMYFUNCTION("counta(iferror(filter(L49:L$131,E49:E$131=E48,L49:L$136&gt;L48)))"),0.0)</f>
        <v>0</v>
      </c>
      <c r="O48" s="129">
        <f t="array" ref="O48:Z48">XLOOKUP(F48,'Current Week'!C:C,'Current Week'!D:O)</f>
        <v>3</v>
      </c>
      <c r="P48" s="127">
        <v>9.0</v>
      </c>
      <c r="Q48" s="128"/>
      <c r="R48" s="128"/>
      <c r="S48" s="128"/>
      <c r="T48" s="128"/>
      <c r="U48" s="128"/>
      <c r="V48" s="131"/>
      <c r="W48" s="128"/>
      <c r="X48" s="131"/>
      <c r="Y48" s="131">
        <v>251.0</v>
      </c>
      <c r="Z48" s="131">
        <v>329.0</v>
      </c>
      <c r="AA48" s="132">
        <f t="shared" si="4"/>
        <v>-7</v>
      </c>
      <c r="AB48" s="131">
        <f t="shared" si="5"/>
        <v>0</v>
      </c>
      <c r="AC48" s="131">
        <f>IFERROR(__xludf.DUMMYFUNCTION("iferror(COUNT(filter($O49:$O$397,$O49:$O$397&gt;$O48)))"),66.0)</f>
        <v>66</v>
      </c>
      <c r="AD48" s="133">
        <f t="shared" si="6"/>
        <v>0</v>
      </c>
      <c r="AE48" s="134">
        <f t="shared" si="7"/>
        <v>0</v>
      </c>
      <c r="AF48" s="128" t="str">
        <f>IFERROR(__xludf.DUMMYFUNCTION("iferror(join("","",index(sort(filter($F49:$F$398,$O49:$O$398&gt;$O48),2,false),0,1)))"),"Texas Tech,Louisville,Florida Atlantic,Marshall,Miami,Appalachian State,Northern Illinois,Army,UL Lafayette,Wyoming,New Mexico State,North Texas,Maryland,Central Michigan,Utah State,NC State,Jacksonville State,UCF,Georgia Southern,Georgia State,Purdue,UNL"&amp;"V,Illinois,Ball State,San José State,Minnesota,Nebraska,Colorado State,Syracuse,Michigan State,Duke,Kansas,Wake Forest,Bowling Green,Navy,Arkansas State,Texas A&amp;M,UAB,Western Michigan,California,Arizona,Arkansas,Kentucky,South Carolina,Hawaii,Iowa State,B"&amp;"YU,New Mexico,Auburn,Texas State,Rutgers,Tulsa,Florida Intl,Missouri,Boston College,South Florida,Northwestern,Colorado,Old Dominion,Rice,Mississippi State,Georgia Tech,Houston,Florida,Virginia Tech,West Virginia")</f>
        <v>Texas Tech,Louisville,Florida Atlantic,Marshall,Miami,Appalachian State,Northern Illinois,Army,UL Lafayette,Wyoming,New Mexico State,North Texas,Maryland,Central Michigan,Utah State,NC State,Jacksonville State,UCF,Georgia Southern,Georgia State,Purdue,UNLV,Illinois,Ball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48" s="132">
        <f>IFERROR(__xludf.DUMMYFUNCTION("iferror($O48-max(filter($O48:$O$397,$E48:$E$397=$E$2)))"),-7.0)</f>
        <v>-7</v>
      </c>
      <c r="AH48" s="131">
        <f t="shared" si="8"/>
        <v>0</v>
      </c>
      <c r="AI48" s="131">
        <f>IFERROR(__xludf.DUMMYFUNCTION("iferror(COUNT(filter($O49:$O$397,$O49:$O$397&gt;$O48,$E48:$E$397=$E$2)))"),0.0)</f>
        <v>0</v>
      </c>
      <c r="AJ48" s="133">
        <f t="shared" si="9"/>
        <v>0</v>
      </c>
      <c r="AK48" s="134">
        <f>IFERROR(__xludf.DUMMYFUNCTION("iferror($O48-min(filter($O48:$O$397,$E48:$E$397=$E$2)))"),1.0)</f>
        <v>1</v>
      </c>
      <c r="AL48" s="128" t="str">
        <f>IFERROR(__xludf.DUMMYFUNCTION("iferror(join("","",index(sort(filter($F49:$F$397,$O49:$O$397&gt;$O48,$E49:$E$397=$E$2),2,false),0,1)))"),"Texas A&amp;M,Arkansas,Kentucky,South Carolina,Auburn,Missouri,Mississippi State,Florida")</f>
        <v>Texas A&amp;M,Arkansas,Kentucky,South Carolina,Auburn,Missouri,Mississippi State,Florida</v>
      </c>
      <c r="AM48" s="128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"""")"),"Big 12,Big Ten,CUSA,MAC,Pac12,SEC,Sun Belt")</f>
        <v>Big 12,Big Ten,CUSA,MAC,Pac12,SEC,Sun Belt</v>
      </c>
      <c r="AN48" s="132">
        <f>IFERROR(__xludf.DUMMYFUNCTION("iferror($O48-max(filter($O48:$O$397,arrayformula(isnumber(FIND($E48:$E$397,AM48))))))"),-7.0)</f>
        <v>-7</v>
      </c>
      <c r="AO48" s="131">
        <f t="array" ref="AO48">countifs($O$2:$O47,"&lt;"&amp;$O48,isnumber(FIND($E$2:$E47,AM48)),TRUE)</f>
        <v>0</v>
      </c>
      <c r="AP48" s="131">
        <f>IFERROR(__xludf.DUMMYFUNCTION("iferror(COUNT(filter($O49:$O$397,$O49:$O$397&gt;$O48,arrayformula(isnumber(FIND($E49:$E$397,AM48))))))"),43.0)</f>
        <v>43</v>
      </c>
      <c r="AQ48" s="133">
        <f t="shared" si="10"/>
        <v>0</v>
      </c>
      <c r="AR48" s="134">
        <f>IFERROR(__xludf.DUMMYFUNCTION("$O48-min(filter($O48:$O$397,arrayformula(isnumber(FIND($E48:$E$397,AM48)))))"),2.0)</f>
        <v>2</v>
      </c>
      <c r="AS48" s="128" t="str">
        <f>IFERROR(__xludf.DUMMYFUNCTION("iferror(join("","",index(sort(filter($F49:$F$397,$O49:$O$397&gt;$O48,arrayformula(isnumber(FIND($E49:$E$397,AM48)))),2,false),0,1)))"),"Texas Tech,Marshall,Appalachian State,Northern Illinois,Army,UL Lafayette,New Mexico State,Maryland,Central Michigan,Jacksonville State,UCF,Georgia Southern,Georgia State,Purdue,Illinois,Ball State,Minnesota,Nebraska,Michigan State,Kansas,Bowling Green,Ar"&amp;"kansas State,Texas A&amp;M,Western Michigan,California,Arizona,Arkansas,Kentucky,South Carolina,Iowa State,BYU,Auburn,Texas State,Rutgers,Florida Intl,Missouri,Northwestern,Colorado,Old Dominion,Mississippi State,Houston,Florida,West Virginia")</f>
        <v>Texas Tech,Marshall,Appalachian State,Northern Illinois,Army,UL Lafayette,New Mexico State,Maryland,Central Michigan,Jacksonville State,UCF,Georgia Southern,Georgia State,Purdue,Illinois,Ball State,Minnesota,Nebraska,Michigan State,Kansas,Bowling Green,Arkansas State,Texas A&amp;M,Western Michigan,California,Arizona,Arkansas,Kentucky,South Carolina,Iowa State,BYU,Auburn,Texas State,Rutgers,Florida Intl,Missouri,Northwestern,Colorado,Old Dominion,Mississippi State,Houston,Florida,West Virginia</v>
      </c>
    </row>
    <row r="49">
      <c r="A49" s="23">
        <v>48.0</v>
      </c>
      <c r="B49" s="23">
        <v>4.0</v>
      </c>
      <c r="C49" s="23">
        <v>9.0</v>
      </c>
      <c r="D49" s="135" t="s">
        <v>46</v>
      </c>
      <c r="E49" s="136" t="str">
        <f>if(F49&lt;&gt;"",VLOOKUP(F49,offset('Teams-Conference'!A:B,0,(counta('Draft Order'!B$2:B134)-10)*2),2,0),"")</f>
        <v>Big 12</v>
      </c>
      <c r="F49" s="140" t="s">
        <v>188</v>
      </c>
      <c r="G49" s="138" t="str">
        <f t="shared" si="1"/>
        <v/>
      </c>
      <c r="H49" s="127">
        <f t="shared" si="2"/>
        <v>0</v>
      </c>
      <c r="I49" s="127">
        <f t="shared" si="3"/>
        <v>2</v>
      </c>
      <c r="J49" s="127">
        <f t="shared" si="11"/>
        <v>1</v>
      </c>
      <c r="K49" s="127">
        <f t="shared" si="16"/>
        <v>0</v>
      </c>
      <c r="L49" s="127">
        <v>6.0</v>
      </c>
      <c r="M49" s="127">
        <f>IFERROR(__xludf.DUMMYFUNCTION("counta(iferror(filter(L$2:L48,E$2:E48=E49,L$2:L48&lt;L49)))"),1.0)</f>
        <v>1</v>
      </c>
      <c r="N49" s="127">
        <f>IFERROR(__xludf.DUMMYFUNCTION("counta(iferror(filter(L50:L$131,E50:E$131=E49,L50:L$136&gt;L49)))"),0.0)</f>
        <v>0</v>
      </c>
      <c r="O49" s="129">
        <f t="array" ref="O49:Z49">XLOOKUP(F49,'Current Week'!C:C,'Current Week'!D:O)</f>
        <v>6</v>
      </c>
      <c r="P49" s="127">
        <v>6.0</v>
      </c>
      <c r="Q49" s="128"/>
      <c r="R49" s="128"/>
      <c r="S49" s="128"/>
      <c r="T49" s="128"/>
      <c r="U49" s="128"/>
      <c r="V49" s="131"/>
      <c r="W49" s="128"/>
      <c r="X49" s="131"/>
      <c r="Y49" s="131">
        <v>322.0</v>
      </c>
      <c r="Z49" s="131">
        <v>324.0</v>
      </c>
      <c r="AA49" s="132">
        <f t="shared" si="4"/>
        <v>-4</v>
      </c>
      <c r="AB49" s="131">
        <f t="shared" si="5"/>
        <v>6</v>
      </c>
      <c r="AC49" s="131">
        <f>IFERROR(__xludf.DUMMYFUNCTION("iferror(COUNT(filter($O50:$O$397,$O50:$O$397&gt;$O49)))"),21.0)</f>
        <v>21</v>
      </c>
      <c r="AD49" s="133">
        <f t="shared" si="6"/>
        <v>0</v>
      </c>
      <c r="AE49" s="134">
        <f t="shared" si="7"/>
        <v>3</v>
      </c>
      <c r="AF49" s="128" t="str">
        <f>IFERROR(__xludf.DUMMYFUNCTION("iferror(join("","",index(sort(filter($F50:$F$398,$O50:$O$398&gt;$O49),2,false),0,1)))"),"Louisville,Miami,Appalachian State,Wyoming,New Mexico State,Maryland,NC State,Jacksonville State,UNLV,San José State,Duke,Kansas,Bowling Green,Texas A&amp;M,Arizona,Kentucky,Iowa State,Texas State,Missouri,Northwestern,West Virginia")</f>
        <v>Louisville,Miami,Appalachian State,Wyoming,New Mexico State,Maryland,NC State,Jacksonville State,UNLV,San José State,Duke,Kansas,Bowling Green,Texas A&amp;M,Arizona,Kentucky,Iowa State,Texas State,Missouri,Northwestern,West Virginia</v>
      </c>
      <c r="AG49" s="132">
        <f>IFERROR(__xludf.DUMMYFUNCTION("iferror($O49-max(filter($O49:$O$397,$E49:$E$397=$E$2)))"),-4.0)</f>
        <v>-4</v>
      </c>
      <c r="AH49" s="131">
        <f t="shared" si="8"/>
        <v>0</v>
      </c>
      <c r="AI49" s="131">
        <f>IFERROR(__xludf.DUMMYFUNCTION("iferror(COUNT(filter($O50:$O$397,$O50:$O$397&gt;$O49,$E49:$E$397=$E$2)))"),0.0)</f>
        <v>0</v>
      </c>
      <c r="AJ49" s="133">
        <f t="shared" si="9"/>
        <v>0</v>
      </c>
      <c r="AK49" s="134">
        <f>IFERROR(__xludf.DUMMYFUNCTION("iferror($O49-min(filter($O49:$O$397,$E49:$E$397=$E$2)))"),4.0)</f>
        <v>4</v>
      </c>
      <c r="AL49" s="128" t="str">
        <f>IFERROR(__xludf.DUMMYFUNCTION("iferror(join("","",index(sort(filter($F50:$F$397,$O50:$O$397&gt;$O49,$E50:$E$397=$E$2),2,false),0,1)))"),"Texas A&amp;M,Kentucky,Missouri")</f>
        <v>Texas A&amp;M,Kentucky,Missouri</v>
      </c>
      <c r="AM49" s="128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"""")"),"ACC,Big 12,Big Ten,CUSA,MAC,MWC,SEC")</f>
        <v>ACC,Big 12,Big Ten,CUSA,MAC,MWC,SEC</v>
      </c>
      <c r="AN49" s="132">
        <f>IFERROR(__xludf.DUMMYFUNCTION("iferror($O49-max(filter($O49:$O$397,arrayformula(isnumber(FIND($E49:$E$397,AM49))))))"),-4.0)</f>
        <v>-4</v>
      </c>
      <c r="AO49" s="131">
        <f t="array" ref="AO49">countifs($O$2:$O48,"&lt;"&amp;$O49,isnumber(FIND($E$2:$E48,AM49)),TRUE)</f>
        <v>5</v>
      </c>
      <c r="AP49" s="131">
        <f>IFERROR(__xludf.DUMMYFUNCTION("iferror(COUNT(filter($O50:$O$397,$O50:$O$397&gt;$O49,arrayformula(isnumber(FIND($E50:$E$397,AM49))))))"),18.0)</f>
        <v>18</v>
      </c>
      <c r="AQ49" s="133">
        <f t="shared" si="10"/>
        <v>0</v>
      </c>
      <c r="AR49" s="134">
        <f>IFERROR(__xludf.DUMMYFUNCTION("$O49-min(filter($O49:$O$397,arrayformula(isnumber(FIND($E49:$E$397,AM49)))))"),5.0)</f>
        <v>5</v>
      </c>
      <c r="AS49" s="128" t="str">
        <f>IFERROR(__xludf.DUMMYFUNCTION("iferror(join("","",index(sort(filter($F50:$F$397,$O50:$O$397&gt;$O49,arrayformula(isnumber(FIND($E50:$E$397,AM49)))),2,false),0,1)))"),"Louisville,Miami,Wyoming,New Mexico State,Maryland,NC State,Jacksonville State,UNLV,San José State,Duke,Kansas,Bowling Green,Texas A&amp;M,Kentucky,Iowa State,Missouri,Northwestern,West Virginia")</f>
        <v>Louisville,Miami,Wyoming,New Mexico State,Maryland,NC State,Jacksonville State,UNLV,San José State,Duke,Kansas,Bowling Green,Texas A&amp;M,Kentucky,Iowa State,Missouri,Northwestern,West Virginia</v>
      </c>
    </row>
    <row r="50">
      <c r="A50" s="23">
        <v>49.0</v>
      </c>
      <c r="B50" s="23">
        <v>4.0</v>
      </c>
      <c r="C50" s="23">
        <v>10.0</v>
      </c>
      <c r="D50" s="135" t="s">
        <v>60</v>
      </c>
      <c r="E50" s="136" t="str">
        <f>if(F50&lt;&gt;"",VLOOKUP(F50,offset('Teams-Conference'!A:B,0,(counta('Draft Order'!B$2:B134)-10)*2),2,0),"")</f>
        <v>ACC</v>
      </c>
      <c r="F50" s="140" t="s">
        <v>164</v>
      </c>
      <c r="G50" s="138" t="str">
        <f t="shared" si="1"/>
        <v/>
      </c>
      <c r="H50" s="127">
        <f t="shared" si="2"/>
        <v>1</v>
      </c>
      <c r="I50" s="127">
        <f t="shared" si="3"/>
        <v>3</v>
      </c>
      <c r="J50" s="127">
        <f t="shared" si="11"/>
        <v>0</v>
      </c>
      <c r="K50" s="127">
        <f t="shared" si="16"/>
        <v>2</v>
      </c>
      <c r="L50" s="127">
        <v>10.0</v>
      </c>
      <c r="M50" s="127">
        <f>IFERROR(__xludf.DUMMYFUNCTION("counta(iferror(filter(L$2:L49,E$2:E49=E50,L$2:L49&lt;L50)))"),2.0)</f>
        <v>2</v>
      </c>
      <c r="N50" s="127">
        <f>IFERROR(__xludf.DUMMYFUNCTION("counta(iferror(filter(L51:L$131,E51:E$131=E50,L51:L$136&gt;L50)))"),0.0)</f>
        <v>0</v>
      </c>
      <c r="O50" s="129">
        <f t="array" ref="O50:Z50">XLOOKUP(F50,'Current Week'!C:C,'Current Week'!D:O)</f>
        <v>10</v>
      </c>
      <c r="P50" s="127">
        <v>2.0</v>
      </c>
      <c r="Q50" s="128" t="s">
        <v>108</v>
      </c>
      <c r="R50" s="130">
        <v>45262.833333333336</v>
      </c>
      <c r="S50" s="128" t="s">
        <v>125</v>
      </c>
      <c r="T50" s="128" t="s">
        <v>82</v>
      </c>
      <c r="U50" s="128">
        <v>6.5</v>
      </c>
      <c r="V50" s="131">
        <v>2.5</v>
      </c>
      <c r="W50" s="128">
        <v>118.0</v>
      </c>
      <c r="X50" s="131" t="s">
        <v>151</v>
      </c>
      <c r="Y50" s="131">
        <v>396.0</v>
      </c>
      <c r="Z50" s="131">
        <v>240.0</v>
      </c>
      <c r="AA50" s="132">
        <f t="shared" si="4"/>
        <v>0</v>
      </c>
      <c r="AB50" s="131">
        <f t="shared" si="5"/>
        <v>29</v>
      </c>
      <c r="AC50" s="131">
        <f>IFERROR(__xludf.DUMMYFUNCTION("iferror(COUNT(filter($O51:$O$397,$O51:$O$397&gt;$O50)))"),0.0)</f>
        <v>0</v>
      </c>
      <c r="AD50" s="133">
        <f t="shared" si="6"/>
        <v>1</v>
      </c>
      <c r="AE50" s="134">
        <f t="shared" si="7"/>
        <v>7</v>
      </c>
      <c r="AF50" s="128" t="str">
        <f>IFERROR(__xludf.DUMMYFUNCTION("iferror(join("","",index(sort(filter($F51:$F$398,$O51:$O$398&gt;$O50),2,false),0,1)))"),"")</f>
        <v/>
      </c>
      <c r="AG50" s="132">
        <f>IFERROR(__xludf.DUMMYFUNCTION("iferror($O50-max(filter($O50:$O$397,$E50:$E$397=$E$2)))"),0.0)</f>
        <v>0</v>
      </c>
      <c r="AH50" s="131">
        <f t="shared" si="8"/>
        <v>2</v>
      </c>
      <c r="AI50" s="131">
        <f>IFERROR(__xludf.DUMMYFUNCTION("iferror(COUNT(filter($O51:$O$397,$O51:$O$397&gt;$O50,$E50:$E$397=$E$2)))"),0.0)</f>
        <v>0</v>
      </c>
      <c r="AJ50" s="133">
        <f t="shared" si="9"/>
        <v>1</v>
      </c>
      <c r="AK50" s="134">
        <f>IFERROR(__xludf.DUMMYFUNCTION("iferror($O50-min(filter($O50:$O$397,$E50:$E$397=$E$2)))"),8.0)</f>
        <v>8</v>
      </c>
      <c r="AL50" s="128" t="str">
        <f>IFERROR(__xludf.DUMMYFUNCTION("iferror(join("","",index(sort(filter($F51:$F$397,$O51:$O$397&gt;$O50,$E51:$E$397=$E$2),2,false),0,1)))"),"")</f>
        <v/>
      </c>
      <c r="AM50" s="128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"""")"),"ACC,Big Ten,CUSA,MAC,MWC,Pac12,Sun Belt")</f>
        <v>ACC,Big Ten,CUSA,MAC,MWC,Pac12,Sun Belt</v>
      </c>
      <c r="AN50" s="132">
        <f>IFERROR(__xludf.DUMMYFUNCTION("iferror($O50-max(filter($O50:$O$397,arrayformula(isnumber(FIND($E50:$E$397,AM50))))))"),0.0)</f>
        <v>0</v>
      </c>
      <c r="AO50" s="131">
        <f t="array" ref="AO50">countifs($O$2:$O49,"&lt;"&amp;$O50,isnumber(FIND($E$2:$E49,AM50)),TRUE)</f>
        <v>21</v>
      </c>
      <c r="AP50" s="131">
        <f>IFERROR(__xludf.DUMMYFUNCTION("iferror(COUNT(filter($O51:$O$397,$O51:$O$397&gt;$O50,arrayformula(isnumber(FIND($E51:$E$397,AM50))))))"),0.0)</f>
        <v>0</v>
      </c>
      <c r="AQ50" s="133">
        <f t="shared" si="10"/>
        <v>1</v>
      </c>
      <c r="AR50" s="134">
        <f>IFERROR(__xludf.DUMMYFUNCTION("$O50-min(filter($O50:$O$397,arrayformula(isnumber(FIND($E50:$E$397,AM50)))))"),9.0)</f>
        <v>9</v>
      </c>
      <c r="AS50" s="128" t="str">
        <f>IFERROR(__xludf.DUMMYFUNCTION("iferror(join("","",index(sort(filter($F51:$F$397,$O51:$O$397&gt;$O50,arrayformula(isnumber(FIND($E51:$E$397,AM50)))),2,false),0,1)))"),"")</f>
        <v/>
      </c>
    </row>
    <row r="51">
      <c r="A51" s="23">
        <v>50.0</v>
      </c>
      <c r="B51" s="23">
        <v>4.0</v>
      </c>
      <c r="C51" s="23">
        <v>11.0</v>
      </c>
      <c r="D51" s="135" t="s">
        <v>56</v>
      </c>
      <c r="E51" s="136" t="str">
        <f>if(F51&lt;&gt;"",VLOOKUP(F51,offset('Teams-Conference'!A:B,0,(counta('Draft Order'!B$2:B134)-10)*2),2,0),"")</f>
        <v>AAC</v>
      </c>
      <c r="F51" s="140" t="s">
        <v>133</v>
      </c>
      <c r="G51" s="138" t="str">
        <f t="shared" si="1"/>
        <v/>
      </c>
      <c r="H51" s="127">
        <f t="shared" si="2"/>
        <v>1</v>
      </c>
      <c r="I51" s="127">
        <f t="shared" si="3"/>
        <v>1</v>
      </c>
      <c r="J51" s="127">
        <f t="shared" si="11"/>
        <v>0</v>
      </c>
      <c r="K51" s="127">
        <f t="shared" si="16"/>
        <v>2</v>
      </c>
      <c r="L51" s="127">
        <v>4.0</v>
      </c>
      <c r="M51" s="127">
        <f>IFERROR(__xludf.DUMMYFUNCTION("counta(iferror(filter(L$2:L50,E$2:E50=E51,L$2:L50&lt;L51)))"),0.0)</f>
        <v>0</v>
      </c>
      <c r="N51" s="127">
        <f>IFERROR(__xludf.DUMMYFUNCTION("counta(iferror(filter(L52:L$131,E52:E$131=E51,L52:L$136&gt;L51)))"),0.0)</f>
        <v>0</v>
      </c>
      <c r="O51" s="129">
        <f t="array" ref="O51:Z51">XLOOKUP(F51,'Current Week'!C:C,'Current Week'!D:O)</f>
        <v>4</v>
      </c>
      <c r="P51" s="127">
        <v>8.0</v>
      </c>
      <c r="Q51" s="128"/>
      <c r="R51" s="128"/>
      <c r="S51" s="128"/>
      <c r="T51" s="128"/>
      <c r="U51" s="128"/>
      <c r="V51" s="131"/>
      <c r="W51" s="128"/>
      <c r="X51" s="131"/>
      <c r="Y51" s="131">
        <v>285.0</v>
      </c>
      <c r="Z51" s="131">
        <v>306.0</v>
      </c>
      <c r="AA51" s="132">
        <f t="shared" si="4"/>
        <v>-6</v>
      </c>
      <c r="AB51" s="131">
        <f t="shared" si="5"/>
        <v>2</v>
      </c>
      <c r="AC51" s="131">
        <f>IFERROR(__xludf.DUMMYFUNCTION("iferror(COUNT(filter($O52:$O$397,$O52:$O$397&gt;$O51)))"),51.0)</f>
        <v>51</v>
      </c>
      <c r="AD51" s="133">
        <f t="shared" si="6"/>
        <v>0</v>
      </c>
      <c r="AE51" s="134">
        <f t="shared" si="7"/>
        <v>1</v>
      </c>
      <c r="AF51" s="128" t="str">
        <f>IFERROR(__xludf.DUMMYFUNCTION("iferror(join("","",index(sort(filter($F52:$F$398,$O52:$O$398&gt;$O51),2,false),0,1)))"),"Marshall,Miami,Appalachian State,Northern Illinois,Army,UL Lafayette,Wyoming,New Mexico State,North Texas,Maryland,Central Michigan,Utah State,NC State,Jacksonville State,UCF,Georgia Southern,Georgia State,UNLV,Illinois,San José State,Minnesota,Nebraska,C"&amp;"olorado State,Syracuse,Duke,Kansas,Bowling Green,Navy,Arkansas State,Texas A&amp;M,California,Arizona,Kentucky,South Carolina,Hawaii,Iowa State,BYU,Auburn,Texas State,Rutgers,Missouri,Boston College,South Florida,Northwestern,Old Dominion,Rice,Mississippi Sta"&amp;"te,Georgia Tech,Florida,Virginia Tech,West Virginia")</f>
        <v>Marshall,Miami,Appalachian State,Northern Illinois,Army,UL Lafayette,Wyoming,New Mexico State,North Texas,Maryland,Central Michigan,Utah State,NC State,Jacksonville State,UCF,Georgia Southern,Georgia State,UNLV,Illinois,San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51" s="132">
        <f>IFERROR(__xludf.DUMMYFUNCTION("iferror($O51-max(filter($O51:$O$397,$E51:$E$397=$E$2)))"),-6.0)</f>
        <v>-6</v>
      </c>
      <c r="AH51" s="131">
        <f t="shared" si="8"/>
        <v>0</v>
      </c>
      <c r="AI51" s="131">
        <f>IFERROR(__xludf.DUMMYFUNCTION("iferror(COUNT(filter($O52:$O$397,$O52:$O$397&gt;$O51,$E51:$E$397=$E$2)))"),0.0)</f>
        <v>0</v>
      </c>
      <c r="AJ51" s="133">
        <f t="shared" si="9"/>
        <v>0</v>
      </c>
      <c r="AK51" s="134">
        <f>IFERROR(__xludf.DUMMYFUNCTION("iferror($O51-min(filter($O51:$O$397,$E51:$E$397=$E$2)))"),2.0)</f>
        <v>2</v>
      </c>
      <c r="AL51" s="128" t="str">
        <f>IFERROR(__xludf.DUMMYFUNCTION("iferror(join("","",index(sort(filter($F52:$F$397,$O52:$O$397&gt;$O51,$E52:$E$397=$E$2),2,false),0,1)))"),"Texas A&amp;M,Kentucky,South Carolina,Auburn,Missouri,Mississippi State,Florida")</f>
        <v>Texas A&amp;M,Kentucky,South Carolina,Auburn,Missouri,Mississippi State,Florida</v>
      </c>
      <c r="AM51" s="128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"""")"),"AAC,ACC,Big 12,,CUSA,MWC,SEC,Sun Belt")</f>
        <v>AAC,ACC,Big 12,,CUSA,MWC,SEC,Sun Belt</v>
      </c>
      <c r="AN51" s="132">
        <f>IFERROR(__xludf.DUMMYFUNCTION("iferror($O51-max(filter($O51:$O$397,arrayformula(isnumber(FIND($E51:$E$397,AM51))))))"),-6.0)</f>
        <v>-6</v>
      </c>
      <c r="AO51" s="131">
        <f t="array" ref="AO51">countifs($O$2:$O50,"&lt;"&amp;$O51,isnumber(FIND($E$2:$E50,AM51)),TRUE)</f>
        <v>1</v>
      </c>
      <c r="AP51" s="131">
        <f>IFERROR(__xludf.DUMMYFUNCTION("iferror(COUNT(filter($O52:$O$397,$O52:$O$397&gt;$O51,arrayformula(isnumber(FIND($E52:$E$397,AM51))))))"),41.0)</f>
        <v>41</v>
      </c>
      <c r="AQ51" s="133">
        <f t="shared" si="10"/>
        <v>0</v>
      </c>
      <c r="AR51" s="134">
        <f>IFERROR(__xludf.DUMMYFUNCTION("$O51-min(filter($O51:$O$397,arrayformula(isnumber(FIND($E51:$E$397,AM51)))))"),2.0)</f>
        <v>2</v>
      </c>
      <c r="AS51" s="128" t="str">
        <f>IFERROR(__xludf.DUMMYFUNCTION("iferror(join("","",index(sort(filter($F52:$F$397,$O52:$O$397&gt;$O51,arrayformula(isnumber(FIND($E52:$E$397,AM51)))),2,false),0,1)))"),"Marshall,Miami,Appalachian State,Army,UL Lafayette,Wyoming,New Mexico State,North Texas,Utah State,NC State,Jacksonville State,UCF,Georgia Southern,Georgia State,UNLV,San José State,Colorado State,Syracuse,Duke,Kansas,Navy,Arkansas State,Texas A&amp;M,Kentuck"&amp;"y,South Carolina,Hawaii,Iowa State,BYU,Auburn,Texas State,Rutgers,Missouri,Boston College,South Florida,Old Dominion,Rice,Mississippi State,Georgia Tech,Florida,Virginia Tech,West Virginia")</f>
        <v>Marshall,Miami,Appalachian State,Army,UL Lafayette,Wyoming,New Mexico State,North Texas,Utah State,NC State,Jacksonville State,UCF,Georgia Southern,Georgia State,UNLV,San José State,Colorado State,Syracuse,Duke,Kansas,Navy,Arkansas State,Texas A&amp;M,Kentucky,South Carolina,Hawaii,Iowa State,BYU,Auburn,Texas State,Rutgers,Missouri,Boston College,South Florida,Old Dominion,Rice,Mississippi State,Georgia Tech,Florida,Virginia Tech,West Virginia</v>
      </c>
    </row>
    <row r="52">
      <c r="A52" s="23">
        <v>51.0</v>
      </c>
      <c r="B52" s="23">
        <v>4.0</v>
      </c>
      <c r="C52" s="23">
        <v>12.0</v>
      </c>
      <c r="D52" s="135" t="s">
        <v>58</v>
      </c>
      <c r="E52" t="str">
        <f>if(F52&lt;&gt;"",VLOOKUP(F52,offset('Teams-Conference'!A:B,0,(counta('Draft Order'!B$2:B134)-10)*2),2,0),"")</f>
        <v>Sun Belt</v>
      </c>
      <c r="F52" s="140" t="s">
        <v>111</v>
      </c>
      <c r="G52" s="138" t="str">
        <f t="shared" si="1"/>
        <v/>
      </c>
      <c r="H52" s="127">
        <f t="shared" si="2"/>
        <v>2</v>
      </c>
      <c r="I52" s="127">
        <f t="shared" si="3"/>
        <v>5</v>
      </c>
      <c r="J52" s="127">
        <f t="shared" si="11"/>
        <v>2</v>
      </c>
      <c r="K52" s="127">
        <f>countif(E33:E52,E54)</f>
        <v>3</v>
      </c>
      <c r="L52" s="127">
        <v>6.0</v>
      </c>
      <c r="M52" s="127">
        <f>IFERROR(__xludf.DUMMYFUNCTION("counta(iferror(filter(L$2:L51,E$2:E51=E52,L$2:L51&lt;L52)))"),0.0)</f>
        <v>0</v>
      </c>
      <c r="N52" s="127">
        <f>IFERROR(__xludf.DUMMYFUNCTION("counta(iferror(filter(L53:L$131,E53:E$131=E52,L53:L$136&gt;L52)))"),0.0)</f>
        <v>0</v>
      </c>
      <c r="O52" s="129">
        <f t="array" ref="O52:Z52">XLOOKUP(F52,'Current Week'!C:C,'Current Week'!D:O)</f>
        <v>6</v>
      </c>
      <c r="P52" s="127">
        <v>6.0</v>
      </c>
      <c r="Q52" s="128"/>
      <c r="R52" s="128"/>
      <c r="S52" s="128"/>
      <c r="T52" s="128"/>
      <c r="U52" s="128"/>
      <c r="V52" s="131"/>
      <c r="W52" s="128"/>
      <c r="X52" s="131"/>
      <c r="Y52" s="131">
        <v>279.0</v>
      </c>
      <c r="Z52" s="131">
        <v>338.0</v>
      </c>
      <c r="AA52" s="132">
        <f t="shared" si="4"/>
        <v>-4</v>
      </c>
      <c r="AB52" s="131">
        <f t="shared" si="5"/>
        <v>7</v>
      </c>
      <c r="AC52" s="131">
        <f>IFERROR(__xludf.DUMMYFUNCTION("iferror(COUNT(filter($O53:$O$397,$O53:$O$397&gt;$O52)))"),20.0)</f>
        <v>20</v>
      </c>
      <c r="AD52" s="133">
        <f t="shared" si="6"/>
        <v>0</v>
      </c>
      <c r="AE52" s="134">
        <f t="shared" si="7"/>
        <v>3</v>
      </c>
      <c r="AF52" s="128" t="str">
        <f>IFERROR(__xludf.DUMMYFUNCTION("iferror(join("","",index(sort(filter($F53:$F$398,$O53:$O$398&gt;$O52),2,false),0,1)))"),"Miami,Appalachian State,Wyoming,New Mexico State,Maryland,NC State,Jacksonville State,UNLV,San José State,Duke,Kansas,Bowling Green,Texas A&amp;M,Arizona,Kentucky,Iowa State,Texas State,Missouri,Northwestern,West Virginia")</f>
        <v>Miami,Appalachian State,Wyoming,New Mexico State,Maryland,NC State,Jacksonville State,UNLV,San José State,Duke,Kansas,Bowling Green,Texas A&amp;M,Arizona,Kentucky,Iowa State,Texas State,Missouri,Northwestern,West Virginia</v>
      </c>
      <c r="AG52" s="132">
        <f>IFERROR(__xludf.DUMMYFUNCTION("iferror($O52-max(filter($O52:$O$397,$E52:$E$397=$E$2)))"),-4.0)</f>
        <v>-4</v>
      </c>
      <c r="AH52" s="131">
        <f t="shared" si="8"/>
        <v>0</v>
      </c>
      <c r="AI52" s="131">
        <f>IFERROR(__xludf.DUMMYFUNCTION("iferror(COUNT(filter($O53:$O$397,$O53:$O$397&gt;$O52,$E52:$E$397=$E$2)))"),0.0)</f>
        <v>0</v>
      </c>
      <c r="AJ52" s="133">
        <f t="shared" si="9"/>
        <v>0</v>
      </c>
      <c r="AK52" s="134">
        <f>IFERROR(__xludf.DUMMYFUNCTION("iferror($O52-min(filter($O52:$O$397,$E52:$E$397=$E$2)))"),4.0)</f>
        <v>4</v>
      </c>
      <c r="AL52" s="128" t="str">
        <f>IFERROR(__xludf.DUMMYFUNCTION("iferror(join("","",index(sort(filter($F53:$F$397,$O53:$O$397&gt;$O52,$E53:$E$397=$E$2),2,false),0,1)))"),"Texas A&amp;M,Kentucky,Missouri")</f>
        <v>Texas A&amp;M,Kentucky,Missouri</v>
      </c>
      <c r="AM52" s="128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"""")"),"ACC,Big 12,Big Ten,MAC,MWC,SEC,Sun Belt")</f>
        <v>ACC,Big 12,Big Ten,MAC,MWC,SEC,Sun Belt</v>
      </c>
      <c r="AN52" s="132">
        <f>IFERROR(__xludf.DUMMYFUNCTION("iferror($O52-max(filter($O52:$O$397,arrayformula(isnumber(FIND($E52:$E$397,AM52))))))"),-4.0)</f>
        <v>-4</v>
      </c>
      <c r="AO52" s="131">
        <f t="array" ref="AO52">countifs($O$2:$O51,"&lt;"&amp;$O52,isnumber(FIND($E$2:$E51,AM52)),TRUE)</f>
        <v>3</v>
      </c>
      <c r="AP52" s="131">
        <f>IFERROR(__xludf.DUMMYFUNCTION("iferror(COUNT(filter($O53:$O$397,$O53:$O$397&gt;$O52,arrayformula(isnumber(FIND($E53:$E$397,AM52))))))"),17.0)</f>
        <v>17</v>
      </c>
      <c r="AQ52" s="133">
        <f t="shared" si="10"/>
        <v>0</v>
      </c>
      <c r="AR52" s="134">
        <f>IFERROR(__xludf.DUMMYFUNCTION("$O52-min(filter($O52:$O$397,arrayformula(isnumber(FIND($E52:$E$397,AM52)))))"),5.0)</f>
        <v>5</v>
      </c>
      <c r="AS52" s="128" t="str">
        <f>IFERROR(__xludf.DUMMYFUNCTION("iferror(join("","",index(sort(filter($F53:$F$397,$O53:$O$397&gt;$O52,arrayformula(isnumber(FIND($E53:$E$397,AM52)))),2,false),0,1)))"),"Miami,Appalachian State,Wyoming,Maryland,NC State,UNLV,San José State,Duke,Kansas,Bowling Green,Texas A&amp;M,Kentucky,Iowa State,Texas State,Missouri,Northwestern,West Virginia")</f>
        <v>Miami,Appalachian State,Wyoming,Maryland,NC State,UNLV,San José State,Duke,Kansas,Bowling Green,Texas A&amp;M,Kentucky,Iowa State,Texas State,Missouri,Northwestern,West Virginia</v>
      </c>
    </row>
    <row r="53">
      <c r="A53" s="141">
        <v>52.0</v>
      </c>
      <c r="B53" s="141">
        <v>4.0</v>
      </c>
      <c r="C53" s="141">
        <v>13.0</v>
      </c>
      <c r="D53" s="142" t="s">
        <v>35</v>
      </c>
      <c r="E53" s="143" t="str">
        <f>if(F53&lt;&gt;"",VLOOKUP(F53,offset('Teams-Conference'!A:B,0,(counta('Draft Order'!B$2:B134)-10)*2),2,0),"")</f>
        <v>ACC</v>
      </c>
      <c r="F53" s="144" t="s">
        <v>79</v>
      </c>
      <c r="G53" s="145" t="str">
        <f t="shared" si="1"/>
        <v/>
      </c>
      <c r="H53" s="127">
        <f t="shared" si="2"/>
        <v>0</v>
      </c>
      <c r="I53" s="127">
        <f t="shared" si="3"/>
        <v>2</v>
      </c>
      <c r="J53" s="127">
        <f t="shared" si="11"/>
        <v>1</v>
      </c>
      <c r="K53" s="128"/>
      <c r="L53" s="127">
        <v>7.0</v>
      </c>
      <c r="M53" s="127">
        <f>IFERROR(__xludf.DUMMYFUNCTION("counta(iferror(filter(L$2:L52,E$2:E52=E53,L$2:L52&lt;L53)))"),0.0)</f>
        <v>0</v>
      </c>
      <c r="N53" s="127">
        <f>IFERROR(__xludf.DUMMYFUNCTION("counta(iferror(filter(L54:L$131,E54:E$131=E53,L54:L$136&gt;L53)))"),0.0)</f>
        <v>0</v>
      </c>
      <c r="O53" s="129">
        <f t="array" ref="O53:Z53">XLOOKUP(F53,'Current Week'!C:C,'Current Week'!D:O)</f>
        <v>7</v>
      </c>
      <c r="P53" s="127">
        <v>5.0</v>
      </c>
      <c r="Q53" s="128"/>
      <c r="R53" s="128"/>
      <c r="S53" s="128"/>
      <c r="T53" s="128"/>
      <c r="U53" s="128"/>
      <c r="V53" s="131"/>
      <c r="W53" s="128"/>
      <c r="X53" s="131"/>
      <c r="Y53" s="131">
        <v>385.0</v>
      </c>
      <c r="Z53" s="131">
        <v>265.0</v>
      </c>
      <c r="AA53" s="132">
        <f t="shared" si="4"/>
        <v>-3</v>
      </c>
      <c r="AB53" s="131">
        <f t="shared" si="5"/>
        <v>11</v>
      </c>
      <c r="AC53" s="131">
        <f>IFERROR(__xludf.DUMMYFUNCTION("iferror(COUNT(filter($O54:$O$397,$O54:$O$397&gt;$O53)))"),10.0)</f>
        <v>10</v>
      </c>
      <c r="AD53" s="133">
        <f t="shared" si="6"/>
        <v>0</v>
      </c>
      <c r="AE53" s="134">
        <f t="shared" si="7"/>
        <v>4</v>
      </c>
      <c r="AF53" s="128" t="str">
        <f>IFERROR(__xludf.DUMMYFUNCTION("iferror(join("","",index(sort(filter($F54:$F$398,$O54:$O$398&gt;$O53),2,false),0,1)))"),"Appalachian State,Wyoming,New Mexico State,NC State,Jacksonville State,UNLV,Kansas,Arizona,Missouri,West Virginia")</f>
        <v>Appalachian State,Wyoming,New Mexico State,NC State,Jacksonville State,UNLV,Kansas,Arizona,Missouri,West Virginia</v>
      </c>
      <c r="AG53" s="132">
        <f>IFERROR(__xludf.DUMMYFUNCTION("iferror($O53-max(filter($O53:$O$397,$E53:$E$397=$E$2)))"),-3.0)</f>
        <v>-3</v>
      </c>
      <c r="AH53" s="131">
        <f t="shared" si="8"/>
        <v>0</v>
      </c>
      <c r="AI53" s="131">
        <f>IFERROR(__xludf.DUMMYFUNCTION("iferror(COUNT(filter($O54:$O$397,$O54:$O$397&gt;$O53,$E53:$E$397=$E$2)))"),0.0)</f>
        <v>0</v>
      </c>
      <c r="AJ53" s="133">
        <f t="shared" si="9"/>
        <v>0</v>
      </c>
      <c r="AK53" s="134">
        <f>IFERROR(__xludf.DUMMYFUNCTION("iferror($O53-min(filter($O53:$O$397,$E53:$E$397=$E$2)))"),5.0)</f>
        <v>5</v>
      </c>
      <c r="AL53" s="128" t="str">
        <f>IFERROR(__xludf.DUMMYFUNCTION("iferror(join("","",index(sort(filter($F54:$F$397,$O54:$O$397&gt;$O53,$E54:$E$397=$E$2),2,false),0,1)))"),"Missouri")</f>
        <v>Missouri</v>
      </c>
      <c r="AM53" s="128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"""")"),"AAC,ACC,,Big Ten,CUSA,MAC,MWC,Sun Belt")</f>
        <v>AAC,ACC,,Big Ten,CUSA,MAC,MWC,Sun Belt</v>
      </c>
      <c r="AN53" s="132">
        <f>IFERROR(__xludf.DUMMYFUNCTION("iferror($O53-max(filter($O53:$O$397,arrayformula(isnumber(FIND($E53:$E$397,AM53))))))"),-3.0)</f>
        <v>-3</v>
      </c>
      <c r="AO53" s="131">
        <f t="array" ref="AO53">countifs($O$2:$O52,"&lt;"&amp;$O53,isnumber(FIND($E$2:$E52,AM53)),TRUE)</f>
        <v>8</v>
      </c>
      <c r="AP53" s="131">
        <f>IFERROR(__xludf.DUMMYFUNCTION("iferror(COUNT(filter($O54:$O$397,$O54:$O$397&gt;$O53,arrayformula(isnumber(FIND($E54:$E$397,AM53))))))"),6.0)</f>
        <v>6</v>
      </c>
      <c r="AQ53" s="133">
        <f t="shared" si="10"/>
        <v>0</v>
      </c>
      <c r="AR53" s="134">
        <f>IFERROR(__xludf.DUMMYFUNCTION("$O53-min(filter($O53:$O$397,arrayformula(isnumber(FIND($E53:$E$397,AM53)))))"),6.0)</f>
        <v>6</v>
      </c>
      <c r="AS53" s="128" t="str">
        <f>IFERROR(__xludf.DUMMYFUNCTION("iferror(join("","",index(sort(filter($F54:$F$397,$O54:$O$397&gt;$O53,arrayformula(isnumber(FIND($E54:$E$397,AM53)))),2,false),0,1)))"),"Appalachian State,Wyoming,New Mexico State,NC State,Jacksonville State,UNLV")</f>
        <v>Appalachian State,Wyoming,New Mexico State,NC State,Jacksonville State,UNLV</v>
      </c>
    </row>
    <row r="54">
      <c r="A54" s="122">
        <v>53.0</v>
      </c>
      <c r="B54" s="122">
        <v>5.0</v>
      </c>
      <c r="C54" s="122">
        <v>1.0</v>
      </c>
      <c r="D54" s="123" t="str">
        <f t="array" ref="D54:D66">index(sort('Draft Order'!$A$2:$B$14,1,1),0,2)</f>
        <v>Nick G.</v>
      </c>
      <c r="E54" s="124" t="str">
        <f>if(F54&lt;&gt;"",VLOOKUP(F54,offset('Teams-Conference'!A:B,0,(counta('Draft Order'!B$2:B134)-10)*2),2,0),"")</f>
        <v>Sun Belt</v>
      </c>
      <c r="F54" s="125" t="s">
        <v>71</v>
      </c>
      <c r="G54" s="126" t="str">
        <f t="shared" si="1"/>
        <v/>
      </c>
      <c r="H54" s="127">
        <f t="shared" si="2"/>
        <v>1</v>
      </c>
      <c r="I54" s="127">
        <f t="shared" si="3"/>
        <v>4</v>
      </c>
      <c r="J54" s="127">
        <f t="shared" si="11"/>
        <v>2</v>
      </c>
      <c r="K54" s="127">
        <f>countif(E34:E54,E55)</f>
        <v>4</v>
      </c>
      <c r="L54" s="127">
        <v>8.0</v>
      </c>
      <c r="M54" s="127">
        <f>IFERROR(__xludf.DUMMYFUNCTION("counta(iferror(filter(L$2:L53,E$2:E53=E54,L$2:L53&lt;L54)))"),3.0)</f>
        <v>3</v>
      </c>
      <c r="N54" s="127">
        <f>IFERROR(__xludf.DUMMYFUNCTION("counta(iferror(filter(L55:L$131,E55:E$131=E54,L55:L$136&gt;L54)))"),0.0)</f>
        <v>0</v>
      </c>
      <c r="O54" s="129">
        <f t="array" ref="O54:Z54">XLOOKUP(F54,'Current Week'!C:C,'Current Week'!D:O)</f>
        <v>8</v>
      </c>
      <c r="P54" s="127">
        <v>4.0</v>
      </c>
      <c r="Q54" s="128" t="s">
        <v>72</v>
      </c>
      <c r="R54" s="130">
        <v>45262.666666666664</v>
      </c>
      <c r="S54" s="128" t="s">
        <v>46</v>
      </c>
      <c r="T54" s="128"/>
      <c r="U54" s="128">
        <v>6.0</v>
      </c>
      <c r="V54" s="131">
        <v>5.5</v>
      </c>
      <c r="W54" s="128">
        <v>198.0</v>
      </c>
      <c r="X54" s="131" t="s">
        <v>73</v>
      </c>
      <c r="Y54" s="131">
        <v>429.0</v>
      </c>
      <c r="Z54" s="131">
        <v>320.0</v>
      </c>
      <c r="AA54" s="132">
        <f t="shared" si="4"/>
        <v>-2</v>
      </c>
      <c r="AB54" s="131">
        <f t="shared" si="5"/>
        <v>18</v>
      </c>
      <c r="AC54" s="131">
        <f>IFERROR(__xludf.DUMMYFUNCTION("iferror(COUNT(filter($O55:$O$397,$O55:$O$397&gt;$O54)))"),6.0)</f>
        <v>6</v>
      </c>
      <c r="AD54" s="133">
        <f t="shared" si="6"/>
        <v>0</v>
      </c>
      <c r="AE54" s="134">
        <f t="shared" si="7"/>
        <v>5</v>
      </c>
      <c r="AF54" s="128" t="str">
        <f>IFERROR(__xludf.DUMMYFUNCTION("iferror(join("","",index(sort(filter($F55:$F$398,$O55:$O$398&gt;$O54),2,false),0,1)))"),"New Mexico State,NC State,UNLV,Arizona,Missouri,West Virginia")</f>
        <v>New Mexico State,NC State,UNLV,Arizona,Missouri,West Virginia</v>
      </c>
      <c r="AG54" s="132">
        <f>IFERROR(__xludf.DUMMYFUNCTION("iferror($O54-max(filter($O54:$O$397,$E54:$E$397=$E$2)))"),-2.0)</f>
        <v>-2</v>
      </c>
      <c r="AH54" s="131">
        <f t="shared" si="8"/>
        <v>0</v>
      </c>
      <c r="AI54" s="131">
        <f>IFERROR(__xludf.DUMMYFUNCTION("iferror(COUNT(filter($O55:$O$397,$O55:$O$397&gt;$O54,$E54:$E$397=$E$2)))"),0.0)</f>
        <v>0</v>
      </c>
      <c r="AJ54" s="133">
        <f t="shared" si="9"/>
        <v>0</v>
      </c>
      <c r="AK54" s="134">
        <f>IFERROR(__xludf.DUMMYFUNCTION("iferror($O54-min(filter($O54:$O$397,$E54:$E$397=$E$2)))"),6.0)</f>
        <v>6</v>
      </c>
      <c r="AL54" s="128" t="str">
        <f>IFERROR(__xludf.DUMMYFUNCTION("iferror(join("","",index(sort(filter($F55:$F$397,$O55:$O$397&gt;$O54,$E55:$E$397=$E$2),2,false),0,1)))"),"Missouri")</f>
        <v>Missouri</v>
      </c>
      <c r="AM54" s="128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"""")"),"AAC,,Big Ten,CUSA,MAC,MWC,Sun Belt")</f>
        <v>AAC,,Big Ten,CUSA,MAC,MWC,Sun Belt</v>
      </c>
      <c r="AN54" s="132">
        <f>IFERROR(__xludf.DUMMYFUNCTION("iferror($O54-max(filter($O54:$O$397,arrayformula(isnumber(FIND($E54:$E$397,AM54))))))"),-2.0)</f>
        <v>-2</v>
      </c>
      <c r="AO54" s="131">
        <f t="array" ref="AO54">countifs($O$2:$O53,"&lt;"&amp;$O54,isnumber(FIND($E$2:$E53,AM54)),TRUE)</f>
        <v>12</v>
      </c>
      <c r="AP54" s="131">
        <f>IFERROR(__xludf.DUMMYFUNCTION("iferror(COUNT(filter($O55:$O$397,$O55:$O$397&gt;$O54,arrayformula(isnumber(FIND($E55:$E$397,AM54))))))"),2.0)</f>
        <v>2</v>
      </c>
      <c r="AQ54" s="133">
        <f t="shared" si="10"/>
        <v>0</v>
      </c>
      <c r="AR54" s="134">
        <f>IFERROR(__xludf.DUMMYFUNCTION("$O54-min(filter($O54:$O$397,arrayformula(isnumber(FIND($E54:$E$397,AM54)))))"),7.0)</f>
        <v>7</v>
      </c>
      <c r="AS54" s="128" t="str">
        <f>IFERROR(__xludf.DUMMYFUNCTION("iferror(join("","",index(sort(filter($F55:$F$397,$O55:$O$397&gt;$O54,arrayformula(isnumber(FIND($E55:$E$397,AM54)))),2,false),0,1)))"),"New Mexico State,UNLV")</f>
        <v>New Mexico State,UNLV</v>
      </c>
    </row>
    <row r="55">
      <c r="A55" s="23">
        <v>54.0</v>
      </c>
      <c r="B55" s="23">
        <v>5.0</v>
      </c>
      <c r="C55" s="23">
        <v>2.0</v>
      </c>
      <c r="D55" s="135" t="s">
        <v>58</v>
      </c>
      <c r="E55" s="136" t="str">
        <f>if(F55&lt;&gt;"",VLOOKUP(F55,offset('Teams-Conference'!A:B,0,(counta('Draft Order'!B$2:B134)-10)*2),2,0),"")</f>
        <v>MAC</v>
      </c>
      <c r="F55" s="137" t="s">
        <v>117</v>
      </c>
      <c r="G55" s="138" t="str">
        <f t="shared" si="1"/>
        <v/>
      </c>
      <c r="H55" s="127">
        <f t="shared" si="2"/>
        <v>1</v>
      </c>
      <c r="I55" s="127">
        <f t="shared" si="3"/>
        <v>2</v>
      </c>
      <c r="J55" s="127">
        <f t="shared" si="11"/>
        <v>2</v>
      </c>
      <c r="K55" s="127">
        <f>countif(E36:E55,E56)</f>
        <v>1</v>
      </c>
      <c r="L55" s="127">
        <v>6.0</v>
      </c>
      <c r="M55" s="127">
        <f>IFERROR(__xludf.DUMMYFUNCTION("counta(iferror(filter(L$2:L54,E$2:E54=E55,L$2:L54&lt;L55)))"),1.0)</f>
        <v>1</v>
      </c>
      <c r="N55" s="127">
        <f>IFERROR(__xludf.DUMMYFUNCTION("counta(iferror(filter(L56:L$131,E56:E$131=E55,L56:L$136&gt;L55)))"),0.0)</f>
        <v>0</v>
      </c>
      <c r="O55" s="129">
        <f t="array" ref="O55:Z55">XLOOKUP(F55,'Current Week'!C:C,'Current Week'!D:O)</f>
        <v>6</v>
      </c>
      <c r="P55" s="127">
        <v>6.0</v>
      </c>
      <c r="Q55" s="128"/>
      <c r="R55" s="128"/>
      <c r="S55" s="128"/>
      <c r="T55" s="128"/>
      <c r="U55" s="128"/>
      <c r="V55" s="131"/>
      <c r="W55" s="128"/>
      <c r="X55" s="131"/>
      <c r="Y55" s="131">
        <v>303.0</v>
      </c>
      <c r="Z55" s="131">
        <v>254.0</v>
      </c>
      <c r="AA55" s="132">
        <f t="shared" si="4"/>
        <v>-4</v>
      </c>
      <c r="AB55" s="131">
        <f t="shared" si="5"/>
        <v>7</v>
      </c>
      <c r="AC55" s="131">
        <f>IFERROR(__xludf.DUMMYFUNCTION("iferror(COUNT(filter($O56:$O$397,$O56:$O$397&gt;$O55)))"),18.0)</f>
        <v>18</v>
      </c>
      <c r="AD55" s="133">
        <f t="shared" si="6"/>
        <v>0</v>
      </c>
      <c r="AE55" s="134">
        <f t="shared" si="7"/>
        <v>3</v>
      </c>
      <c r="AF55" s="128" t="str">
        <f>IFERROR(__xludf.DUMMYFUNCTION("iferror(join("","",index(sort(filter($F56:$F$398,$O56:$O$398&gt;$O55),2,false),0,1)))"),"Wyoming,New Mexico State,Maryland,NC State,Jacksonville State,UNLV,San José State,Duke,Kansas,Bowling Green,Texas A&amp;M,Arizona,Kentucky,Iowa State,Texas State,Missouri,Northwestern,West Virginia")</f>
        <v>Wyoming,New Mexico State,Maryland,NC State,Jacksonville State,UNLV,San José State,Duke,Kansas,Bowling Green,Texas A&amp;M,Arizona,Kentucky,Iowa State,Texas State,Missouri,Northwestern,West Virginia</v>
      </c>
      <c r="AG55" s="132">
        <f>IFERROR(__xludf.DUMMYFUNCTION("iferror($O55-max(filter($O55:$O$397,$E55:$E$397=$E$2)))"),-4.0)</f>
        <v>-4</v>
      </c>
      <c r="AH55" s="131">
        <f t="shared" si="8"/>
        <v>0</v>
      </c>
      <c r="AI55" s="131">
        <f>IFERROR(__xludf.DUMMYFUNCTION("iferror(COUNT(filter($O56:$O$397,$O56:$O$397&gt;$O55,$E55:$E$397=$E$2)))"),0.0)</f>
        <v>0</v>
      </c>
      <c r="AJ55" s="133">
        <f t="shared" si="9"/>
        <v>0</v>
      </c>
      <c r="AK55" s="134">
        <f>IFERROR(__xludf.DUMMYFUNCTION("iferror($O55-min(filter($O55:$O$397,$E55:$E$397=$E$2)))"),4.0)</f>
        <v>4</v>
      </c>
      <c r="AL55" s="128" t="str">
        <f>IFERROR(__xludf.DUMMYFUNCTION("iferror(join("","",index(sort(filter($F56:$F$397,$O56:$O$397&gt;$O55,$E56:$E$397=$E$2),2,false),0,1)))"),"Texas A&amp;M,Kentucky,Missouri")</f>
        <v>Texas A&amp;M,Kentucky,Missouri</v>
      </c>
      <c r="AM55" s="128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"""")"),"ACC,Big 12,Big Ten,MAC,MWC,SEC")</f>
        <v>ACC,Big 12,Big Ten,MAC,MWC,SEC</v>
      </c>
      <c r="AN55" s="132">
        <f>IFERROR(__xludf.DUMMYFUNCTION("iferror($O55-max(filter($O55:$O$397,arrayformula(isnumber(FIND($E55:$E$397,AM55))))))"),-4.0)</f>
        <v>-4</v>
      </c>
      <c r="AO55" s="131">
        <f t="array" ref="AO55">countifs($O$2:$O54,"&lt;"&amp;$O55,isnumber(FIND($E$2:$E54,AM55)),TRUE)</f>
        <v>3</v>
      </c>
      <c r="AP55" s="131">
        <f>IFERROR(__xludf.DUMMYFUNCTION("iferror(COUNT(filter($O56:$O$397,$O56:$O$397&gt;$O55,arrayformula(isnumber(FIND($E56:$E$397,AM55))))))"),14.0)</f>
        <v>14</v>
      </c>
      <c r="AQ55" s="133">
        <f t="shared" si="10"/>
        <v>0</v>
      </c>
      <c r="AR55" s="134">
        <f>IFERROR(__xludf.DUMMYFUNCTION("$O55-min(filter($O55:$O$397,arrayformula(isnumber(FIND($E55:$E$397,AM55)))))"),5.0)</f>
        <v>5</v>
      </c>
      <c r="AS55" s="128" t="str">
        <f>IFERROR(__xludf.DUMMYFUNCTION("iferror(join("","",index(sort(filter($F56:$F$397,$O56:$O$397&gt;$O55,arrayformula(isnumber(FIND($E56:$E$397,AM55)))),2,false),0,1)))"),"Wyoming,Maryland,NC State,UNLV,San José State,Duke,Kansas,Bowling Green,Texas A&amp;M,Kentucky,Iowa State,Missouri,Northwestern,West Virginia")</f>
        <v>Wyoming,Maryland,NC State,UNLV,San José State,Duke,Kansas,Bowling Green,Texas A&amp;M,Kentucky,Iowa State,Missouri,Northwestern,West Virginia</v>
      </c>
    </row>
    <row r="56">
      <c r="A56" s="23">
        <v>55.0</v>
      </c>
      <c r="B56" s="23">
        <v>5.0</v>
      </c>
      <c r="C56" s="23">
        <v>3.0</v>
      </c>
      <c r="D56" s="139" t="s">
        <v>56</v>
      </c>
      <c r="E56" s="136" t="str">
        <f>if(F56&lt;&gt;"",VLOOKUP(F56,offset('Teams-Conference'!A:B,0,(counta('Draft Order'!B$2:B134)-10)*2),2,0),"")</f>
        <v>CUSA</v>
      </c>
      <c r="F56" s="137" t="s">
        <v>123</v>
      </c>
      <c r="G56" s="138" t="str">
        <f t="shared" si="1"/>
        <v/>
      </c>
      <c r="H56" s="127">
        <f t="shared" si="2"/>
        <v>2</v>
      </c>
      <c r="I56" s="127">
        <f t="shared" si="3"/>
        <v>3</v>
      </c>
      <c r="J56" s="127">
        <f t="shared" si="11"/>
        <v>0</v>
      </c>
      <c r="K56" s="127">
        <f>countif(E35:E56,E57)</f>
        <v>4</v>
      </c>
      <c r="L56" s="127">
        <v>6.0</v>
      </c>
      <c r="M56" s="127">
        <f>IFERROR(__xludf.DUMMYFUNCTION("counta(iferror(filter(L$2:L55,E$2:E55=E56,L$2:L55&lt;L56)))"),2.0)</f>
        <v>2</v>
      </c>
      <c r="N56" s="127">
        <f>IFERROR(__xludf.DUMMYFUNCTION("counta(iferror(filter(L57:L$131,E57:E$131=E56,L57:L$136&gt;L56)))"),0.0)</f>
        <v>0</v>
      </c>
      <c r="O56" s="129">
        <f t="array" ref="O56:Z56">XLOOKUP(F56,'Current Week'!C:C,'Current Week'!D:O)</f>
        <v>6</v>
      </c>
      <c r="P56" s="127">
        <v>6.0</v>
      </c>
      <c r="Q56" s="128"/>
      <c r="R56" s="128"/>
      <c r="S56" s="128"/>
      <c r="T56" s="128"/>
      <c r="U56" s="128"/>
      <c r="V56" s="131"/>
      <c r="W56" s="128"/>
      <c r="X56" s="131"/>
      <c r="Y56" s="131">
        <v>229.0</v>
      </c>
      <c r="Z56" s="131">
        <v>242.0</v>
      </c>
      <c r="AA56" s="132">
        <f t="shared" si="4"/>
        <v>-4</v>
      </c>
      <c r="AB56" s="131">
        <f t="shared" si="5"/>
        <v>7</v>
      </c>
      <c r="AC56" s="131">
        <f>IFERROR(__xludf.DUMMYFUNCTION("iferror(COUNT(filter($O57:$O$397,$O57:$O$397&gt;$O56)))"),18.0)</f>
        <v>18</v>
      </c>
      <c r="AD56" s="133">
        <f t="shared" si="6"/>
        <v>0</v>
      </c>
      <c r="AE56" s="134">
        <f t="shared" si="7"/>
        <v>3</v>
      </c>
      <c r="AF56" s="128" t="str">
        <f>IFERROR(__xludf.DUMMYFUNCTION("iferror(join("","",index(sort(filter($F57:$F$398,$O57:$O$398&gt;$O56),2,false),0,1)))"),"Wyoming,New Mexico State,Maryland,NC State,Jacksonville State,UNLV,San José State,Duke,Kansas,Bowling Green,Texas A&amp;M,Arizona,Kentucky,Iowa State,Texas State,Missouri,Northwestern,West Virginia")</f>
        <v>Wyoming,New Mexico State,Maryland,NC State,Jacksonville State,UNLV,San José State,Duke,Kansas,Bowling Green,Texas A&amp;M,Arizona,Kentucky,Iowa State,Texas State,Missouri,Northwestern,West Virginia</v>
      </c>
      <c r="AG56" s="132">
        <f>IFERROR(__xludf.DUMMYFUNCTION("iferror($O56-max(filter($O56:$O$397,$E56:$E$397=$E$2)))"),-4.0)</f>
        <v>-4</v>
      </c>
      <c r="AH56" s="131">
        <f t="shared" si="8"/>
        <v>0</v>
      </c>
      <c r="AI56" s="131">
        <f>IFERROR(__xludf.DUMMYFUNCTION("iferror(COUNT(filter($O57:$O$397,$O57:$O$397&gt;$O56,$E56:$E$397=$E$2)))"),0.0)</f>
        <v>0</v>
      </c>
      <c r="AJ56" s="133">
        <f t="shared" si="9"/>
        <v>0</v>
      </c>
      <c r="AK56" s="134">
        <f>IFERROR(__xludf.DUMMYFUNCTION("iferror($O56-min(filter($O56:$O$397,$E56:$E$397=$E$2)))"),4.0)</f>
        <v>4</v>
      </c>
      <c r="AL56" s="128" t="str">
        <f>IFERROR(__xludf.DUMMYFUNCTION("iferror(join("","",index(sort(filter($F57:$F$397,$O57:$O$397&gt;$O56,$E57:$E$397=$E$2),2,false),0,1)))"),"Texas A&amp;M,Kentucky,Missouri")</f>
        <v>Texas A&amp;M,Kentucky,Missouri</v>
      </c>
      <c r="AM56" s="128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"""")"),"ACC,Big 12,CUSA,MWC,SEC,Sun Belt")</f>
        <v>ACC,Big 12,CUSA,MWC,SEC,Sun Belt</v>
      </c>
      <c r="AN56" s="132">
        <f>IFERROR(__xludf.DUMMYFUNCTION("iferror($O56-max(filter($O56:$O$397,arrayformula(isnumber(FIND($E56:$E$397,AM56))))))"),-4.0)</f>
        <v>-4</v>
      </c>
      <c r="AO56" s="131">
        <f t="array" ref="AO56">countifs($O$2:$O55,"&lt;"&amp;$O56,isnumber(FIND($E$2:$E55,AM56)),TRUE)</f>
        <v>4</v>
      </c>
      <c r="AP56" s="131">
        <f>IFERROR(__xludf.DUMMYFUNCTION("iferror(COUNT(filter($O57:$O$397,$O57:$O$397&gt;$O56,arrayformula(isnumber(FIND($E57:$E$397,AM56))))))"),14.0)</f>
        <v>14</v>
      </c>
      <c r="AQ56" s="133">
        <f t="shared" si="10"/>
        <v>0</v>
      </c>
      <c r="AR56" s="134">
        <f>IFERROR(__xludf.DUMMYFUNCTION("$O56-min(filter($O56:$O$397,arrayformula(isnumber(FIND($E56:$E$397,AM56)))))"),4.0)</f>
        <v>4</v>
      </c>
      <c r="AS56" s="128" t="str">
        <f>IFERROR(__xludf.DUMMYFUNCTION("iferror(join("","",index(sort(filter($F57:$F$397,$O57:$O$397&gt;$O56,arrayformula(isnumber(FIND($E57:$E$397,AM56)))),2,false),0,1)))"),"Wyoming,New Mexico State,NC State,Jacksonville State,UNLV,San José State,Duke,Kansas,Texas A&amp;M,Kentucky,Iowa State,Texas State,Missouri,West Virginia")</f>
        <v>Wyoming,New Mexico State,NC State,Jacksonville State,UNLV,San José State,Duke,Kansas,Texas A&amp;M,Kentucky,Iowa State,Texas State,Missouri,West Virginia</v>
      </c>
    </row>
    <row r="57">
      <c r="A57" s="23">
        <v>56.0</v>
      </c>
      <c r="B57" s="23">
        <v>5.0</v>
      </c>
      <c r="C57" s="23">
        <v>4.0</v>
      </c>
      <c r="D57" s="135" t="s">
        <v>60</v>
      </c>
      <c r="E57" s="136" t="str">
        <f>if(F57&lt;&gt;"",VLOOKUP(F57,offset('Teams-Conference'!A:B,0,(counta('Draft Order'!B$2:B134)-10)*2),2,0),"")</f>
        <v>Sun Belt</v>
      </c>
      <c r="F57" s="137" t="s">
        <v>175</v>
      </c>
      <c r="G57" s="138" t="str">
        <f t="shared" si="1"/>
        <v/>
      </c>
      <c r="H57" s="127">
        <f t="shared" si="2"/>
        <v>0</v>
      </c>
      <c r="I57" s="127">
        <f t="shared" si="3"/>
        <v>3</v>
      </c>
      <c r="J57" s="127">
        <f t="shared" si="11"/>
        <v>3</v>
      </c>
      <c r="K57" s="127">
        <f t="shared" ref="K57:K59" si="17">countif(E37:E57,E58)</f>
        <v>0</v>
      </c>
      <c r="L57" s="127">
        <v>6.0</v>
      </c>
      <c r="M57" s="127">
        <f>IFERROR(__xludf.DUMMYFUNCTION("counta(iferror(filter(L$2:L56,E$2:E56=E57,L$2:L56&lt;L57)))"),0.0)</f>
        <v>0</v>
      </c>
      <c r="N57" s="127">
        <f>IFERROR(__xludf.DUMMYFUNCTION("counta(iferror(filter(L58:L$131,E58:E$131=E57,L58:L$136&gt;L57)))"),0.0)</f>
        <v>0</v>
      </c>
      <c r="O57" s="129">
        <f t="array" ref="O57:Z57">XLOOKUP(F57,'Current Week'!C:C,'Current Week'!D:O)</f>
        <v>6</v>
      </c>
      <c r="P57" s="127">
        <v>6.0</v>
      </c>
      <c r="Q57" s="128"/>
      <c r="R57" s="128"/>
      <c r="S57" s="128"/>
      <c r="T57" s="128"/>
      <c r="U57" s="128"/>
      <c r="V57" s="131"/>
      <c r="W57" s="128"/>
      <c r="X57" s="131"/>
      <c r="Y57" s="131">
        <v>387.0</v>
      </c>
      <c r="Z57" s="131">
        <v>338.0</v>
      </c>
      <c r="AA57" s="132">
        <f t="shared" si="4"/>
        <v>-4</v>
      </c>
      <c r="AB57" s="131">
        <f t="shared" si="5"/>
        <v>7</v>
      </c>
      <c r="AC57" s="131">
        <f>IFERROR(__xludf.DUMMYFUNCTION("iferror(COUNT(filter($O58:$O$397,$O58:$O$397&gt;$O57)))"),18.0)</f>
        <v>18</v>
      </c>
      <c r="AD57" s="133">
        <f t="shared" si="6"/>
        <v>0</v>
      </c>
      <c r="AE57" s="134">
        <f t="shared" si="7"/>
        <v>3</v>
      </c>
      <c r="AF57" s="128" t="str">
        <f>IFERROR(__xludf.DUMMYFUNCTION("iferror(join("","",index(sort(filter($F58:$F$398,$O58:$O$398&gt;$O57),2,false),0,1)))"),"Wyoming,New Mexico State,Maryland,NC State,Jacksonville State,UNLV,San José State,Duke,Kansas,Bowling Green,Texas A&amp;M,Arizona,Kentucky,Iowa State,Texas State,Missouri,Northwestern,West Virginia")</f>
        <v>Wyoming,New Mexico State,Maryland,NC State,Jacksonville State,UNLV,San José State,Duke,Kansas,Bowling Green,Texas A&amp;M,Arizona,Kentucky,Iowa State,Texas State,Missouri,Northwestern,West Virginia</v>
      </c>
      <c r="AG57" s="132">
        <f>IFERROR(__xludf.DUMMYFUNCTION("iferror($O57-max(filter($O57:$O$397,$E57:$E$397=$E$2)))"),-4.0)</f>
        <v>-4</v>
      </c>
      <c r="AH57" s="131">
        <f t="shared" si="8"/>
        <v>0</v>
      </c>
      <c r="AI57" s="131">
        <f>IFERROR(__xludf.DUMMYFUNCTION("iferror(COUNT(filter($O58:$O$397,$O58:$O$397&gt;$O57,$E57:$E$397=$E$2)))"),0.0)</f>
        <v>0</v>
      </c>
      <c r="AJ57" s="133">
        <f t="shared" si="9"/>
        <v>0</v>
      </c>
      <c r="AK57" s="134">
        <f>IFERROR(__xludf.DUMMYFUNCTION("iferror($O57-min(filter($O57:$O$397,$E57:$E$397=$E$2)))"),4.0)</f>
        <v>4</v>
      </c>
      <c r="AL57" s="128" t="str">
        <f>IFERROR(__xludf.DUMMYFUNCTION("iferror(join("","",index(sort(filter($F58:$F$397,$O58:$O$397&gt;$O57,$E58:$E$397=$E$2),2,false),0,1)))"),"Texas A&amp;M,Kentucky,Missouri")</f>
        <v>Texas A&amp;M,Kentucky,Missouri</v>
      </c>
      <c r="AM57" s="128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"""")"),"Big Ten,CUSA,MAC,MWC,Pac12,Sun Belt")</f>
        <v>Big Ten,CUSA,MAC,MWC,Pac12,Sun Belt</v>
      </c>
      <c r="AN57" s="132">
        <f>IFERROR(__xludf.DUMMYFUNCTION("iferror($O57-max(filter($O57:$O$397,arrayformula(isnumber(FIND($E57:$E$397,AM57))))))"),-4.0)</f>
        <v>-4</v>
      </c>
      <c r="AO57" s="131">
        <f t="array" ref="AO57">countifs($O$2:$O56,"&lt;"&amp;$O57,isnumber(FIND($E$2:$E56,AM57)),TRUE)</f>
        <v>5</v>
      </c>
      <c r="AP57" s="131">
        <f>IFERROR(__xludf.DUMMYFUNCTION("iferror(COUNT(filter($O58:$O$397,$O58:$O$397&gt;$O57,arrayformula(isnumber(FIND($E58:$E$397,AM57))))))"),10.0)</f>
        <v>10</v>
      </c>
      <c r="AQ57" s="133">
        <f t="shared" si="10"/>
        <v>0</v>
      </c>
      <c r="AR57" s="134">
        <f>IFERROR(__xludf.DUMMYFUNCTION("$O57-min(filter($O57:$O$397,arrayformula(isnumber(FIND($E57:$E$397,AM57)))))"),5.0)</f>
        <v>5</v>
      </c>
      <c r="AS57" s="128" t="str">
        <f>IFERROR(__xludf.DUMMYFUNCTION("iferror(join("","",index(sort(filter($F58:$F$397,$O58:$O$397&gt;$O57,arrayformula(isnumber(FIND($E58:$E$397,AM57)))),2,false),0,1)))"),"Wyoming,New Mexico State,Maryland,Jacksonville State,UNLV,San José State,Bowling Green,Arizona,Texas State,Northwestern")</f>
        <v>Wyoming,New Mexico State,Maryland,Jacksonville State,UNLV,San José State,Bowling Green,Arizona,Texas State,Northwestern</v>
      </c>
    </row>
    <row r="58">
      <c r="A58" s="23">
        <v>57.0</v>
      </c>
      <c r="B58" s="23">
        <v>5.0</v>
      </c>
      <c r="C58" s="23">
        <v>5.0</v>
      </c>
      <c r="D58" s="135" t="s">
        <v>46</v>
      </c>
      <c r="E58" s="136" t="str">
        <f>if(F58&lt;&gt;"",VLOOKUP(F58,offset('Teams-Conference'!A:B,0,(counta('Draft Order'!B$2:B134)-10)*2),2,0),"")</f>
        <v>MWC</v>
      </c>
      <c r="F58" s="140" t="s">
        <v>183</v>
      </c>
      <c r="G58" s="138" t="str">
        <f t="shared" si="1"/>
        <v/>
      </c>
      <c r="H58" s="127">
        <f t="shared" si="2"/>
        <v>1</v>
      </c>
      <c r="I58" s="127">
        <f t="shared" si="3"/>
        <v>3</v>
      </c>
      <c r="J58" s="127">
        <f t="shared" si="11"/>
        <v>0</v>
      </c>
      <c r="K58" s="127">
        <f t="shared" si="17"/>
        <v>2</v>
      </c>
      <c r="L58" s="127">
        <v>8.0</v>
      </c>
      <c r="M58" s="127">
        <f>IFERROR(__xludf.DUMMYFUNCTION("counta(iferror(filter(L$2:L57,E$2:E57=E58,L$2:L57&lt;L58)))"),2.0)</f>
        <v>2</v>
      </c>
      <c r="N58" s="127">
        <f>IFERROR(__xludf.DUMMYFUNCTION("counta(iferror(filter(L59:L$131,E59:E$131=E58,L59:L$136&gt;L58)))"),0.0)</f>
        <v>0</v>
      </c>
      <c r="O58" s="129">
        <f t="array" ref="O58:Z58">XLOOKUP(F58,'Current Week'!C:C,'Current Week'!D:O)</f>
        <v>8</v>
      </c>
      <c r="P58" s="127">
        <v>4.0</v>
      </c>
      <c r="Q58" s="128"/>
      <c r="R58" s="128"/>
      <c r="S58" s="128"/>
      <c r="T58" s="128"/>
      <c r="U58" s="128"/>
      <c r="V58" s="131"/>
      <c r="W58" s="128"/>
      <c r="X58" s="131"/>
      <c r="Y58" s="131">
        <v>313.0</v>
      </c>
      <c r="Z58" s="131">
        <v>275.0</v>
      </c>
      <c r="AA58" s="132">
        <f t="shared" si="4"/>
        <v>-2</v>
      </c>
      <c r="AB58" s="131">
        <f t="shared" si="5"/>
        <v>21</v>
      </c>
      <c r="AC58" s="131">
        <f>IFERROR(__xludf.DUMMYFUNCTION("iferror(COUNT(filter($O59:$O$397,$O59:$O$397&gt;$O58)))"),6.0)</f>
        <v>6</v>
      </c>
      <c r="AD58" s="133">
        <f t="shared" si="6"/>
        <v>0</v>
      </c>
      <c r="AE58" s="134">
        <f t="shared" si="7"/>
        <v>5</v>
      </c>
      <c r="AF58" s="128" t="str">
        <f>IFERROR(__xludf.DUMMYFUNCTION("iferror(join("","",index(sort(filter($F59:$F$398,$O59:$O$398&gt;$O58),2,false),0,1)))"),"New Mexico State,NC State,UNLV,Arizona,Missouri,West Virginia")</f>
        <v>New Mexico State,NC State,UNLV,Arizona,Missouri,West Virginia</v>
      </c>
      <c r="AG58" s="132">
        <f>IFERROR(__xludf.DUMMYFUNCTION("iferror($O58-max(filter($O58:$O$397,$E58:$E$397=$E$2)))"),-2.0)</f>
        <v>-2</v>
      </c>
      <c r="AH58" s="131">
        <f t="shared" si="8"/>
        <v>0</v>
      </c>
      <c r="AI58" s="131">
        <f>IFERROR(__xludf.DUMMYFUNCTION("iferror(COUNT(filter($O59:$O$397,$O59:$O$397&gt;$O58,$E58:$E$397=$E$2)))"),0.0)</f>
        <v>0</v>
      </c>
      <c r="AJ58" s="133">
        <f t="shared" si="9"/>
        <v>0</v>
      </c>
      <c r="AK58" s="134">
        <f>IFERROR(__xludf.DUMMYFUNCTION("iferror($O58-min(filter($O58:$O$397,$E58:$E$397=$E$2)))"),6.0)</f>
        <v>6</v>
      </c>
      <c r="AL58" s="128" t="str">
        <f>IFERROR(__xludf.DUMMYFUNCTION("iferror(join("","",index(sort(filter($F59:$F$397,$O59:$O$397&gt;$O58,$E59:$E$397=$E$2),2,false),0,1)))"),"Missouri")</f>
        <v>Missouri</v>
      </c>
      <c r="AM58" s="128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"""")"),"ACC,Big Ten,CUSA,MAC,MWC,SEC")</f>
        <v>ACC,Big Ten,CUSA,MAC,MWC,SEC</v>
      </c>
      <c r="AN58" s="132">
        <f>IFERROR(__xludf.DUMMYFUNCTION("iferror($O58-max(filter($O58:$O$397,arrayformula(isnumber(FIND($E58:$E$397,AM58))))))"),-2.0)</f>
        <v>-2</v>
      </c>
      <c r="AO58" s="131">
        <f t="array" ref="AO58">countifs($O$2:$O57,"&lt;"&amp;$O58,isnumber(FIND($E$2:$E57,AM58)),TRUE)</f>
        <v>11</v>
      </c>
      <c r="AP58" s="131">
        <f>IFERROR(__xludf.DUMMYFUNCTION("iferror(COUNT(filter($O59:$O$397,$O59:$O$397&gt;$O58,arrayformula(isnumber(FIND($E59:$E$397,AM58))))))"),4.0)</f>
        <v>4</v>
      </c>
      <c r="AQ58" s="133">
        <f t="shared" si="10"/>
        <v>0</v>
      </c>
      <c r="AR58" s="134">
        <f>IFERROR(__xludf.DUMMYFUNCTION("$O58-min(filter($O58:$O$397,arrayformula(isnumber(FIND($E58:$E$397,AM58)))))"),7.0)</f>
        <v>7</v>
      </c>
      <c r="AS58" s="128" t="str">
        <f>IFERROR(__xludf.DUMMYFUNCTION("iferror(join("","",index(sort(filter($F59:$F$397,$O59:$O$397&gt;$O58,arrayformula(isnumber(FIND($E59:$E$397,AM58)))),2,false),0,1)))"),"New Mexico State,NC State,UNLV,Missouri")</f>
        <v>New Mexico State,NC State,UNLV,Missouri</v>
      </c>
    </row>
    <row r="59">
      <c r="A59" s="23">
        <v>58.0</v>
      </c>
      <c r="B59" s="23">
        <v>5.0</v>
      </c>
      <c r="C59" s="23">
        <v>6.0</v>
      </c>
      <c r="D59" s="135" t="s">
        <v>70</v>
      </c>
      <c r="E59" s="136" t="str">
        <f>if(F59&lt;&gt;"",VLOOKUP(F59,offset('Teams-Conference'!A:B,0,(counta('Draft Order'!B$2:B134)-10)*2),2,0),"")</f>
        <v>CUSA</v>
      </c>
      <c r="F59" s="137" t="s">
        <v>194</v>
      </c>
      <c r="G59" s="138" t="str">
        <f t="shared" si="1"/>
        <v/>
      </c>
      <c r="H59" s="127">
        <f t="shared" si="2"/>
        <v>2</v>
      </c>
      <c r="I59" s="127">
        <f t="shared" si="3"/>
        <v>2</v>
      </c>
      <c r="J59" s="127">
        <f t="shared" si="11"/>
        <v>1</v>
      </c>
      <c r="K59" s="127">
        <f t="shared" si="17"/>
        <v>3</v>
      </c>
      <c r="L59" s="127">
        <v>3.0</v>
      </c>
      <c r="M59" s="127">
        <f>IFERROR(__xludf.DUMMYFUNCTION("counta(iferror(filter(L$2:L58,E$2:E58=E59,L$2:L58&lt;L59)))"),0.0)</f>
        <v>0</v>
      </c>
      <c r="N59" s="127">
        <f>IFERROR(__xludf.DUMMYFUNCTION("counta(iferror(filter(L60:L$131,E60:E$131=E59,L60:L$136&gt;L59)))"),0.0)</f>
        <v>0</v>
      </c>
      <c r="O59" s="129">
        <f t="array" ref="O59:Z59">XLOOKUP(F59,'Current Week'!C:C,'Current Week'!D:O)</f>
        <v>3</v>
      </c>
      <c r="P59" s="127">
        <v>9.0</v>
      </c>
      <c r="Q59" s="128"/>
      <c r="R59" s="128"/>
      <c r="S59" s="128"/>
      <c r="T59" s="128"/>
      <c r="U59" s="128"/>
      <c r="V59" s="131"/>
      <c r="W59" s="128"/>
      <c r="X59" s="131"/>
      <c r="Y59" s="131">
        <v>239.0</v>
      </c>
      <c r="Z59" s="131">
        <v>342.0</v>
      </c>
      <c r="AA59" s="132">
        <f t="shared" si="4"/>
        <v>-7</v>
      </c>
      <c r="AB59" s="131">
        <f t="shared" si="5"/>
        <v>0</v>
      </c>
      <c r="AC59" s="131">
        <f>IFERROR(__xludf.DUMMYFUNCTION("iferror(COUNT(filter($O60:$O$397,$O60:$O$397&gt;$O59)))"),56.0)</f>
        <v>56</v>
      </c>
      <c r="AD59" s="133">
        <f t="shared" si="6"/>
        <v>0</v>
      </c>
      <c r="AE59" s="134">
        <f t="shared" si="7"/>
        <v>0</v>
      </c>
      <c r="AF59" s="128" t="str">
        <f>IFERROR(__xludf.DUMMYFUNCTION("iferror(join("","",index(sort(filter($F60:$F$398,$O60:$O$398&gt;$O59),2,false),0,1)))"),"New Mexico State,North Texas,Maryland,Central Michigan,Utah State,NC State,Jacksonville State,UCF,Georgia Southern,Georgia State,Purdue,UNLV,Illinois,Ball State,San José State,Minnesota,Nebraska,Colorado State,Syracuse,Michigan State,Duke,Kansas,Wake Fore"&amp;"st,Bowling Green,Navy,Arkansas State,Texas A&amp;M,UAB,Western Michigan,California,Arizona,Arkansas,Kentucky,South Carolina,Hawaii,Iowa State,BYU,New Mexico,Auburn,Texas State,Rutgers,Tulsa,Florida Intl,Missouri,Boston College,South Florida,Northwestern,Color"&amp;"ado,Old Dominion,Rice,Mississippi State,Georgia Tech,Houston,Florida,Virginia Tech,West Virginia")</f>
        <v>New Mexico State,North Texas,Maryland,Central Michigan,Utah State,NC State,Jacksonville State,UCF,Georgia Southern,Georgia State,Purdue,UNLV,Illinois,Ball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59" s="132">
        <f>IFERROR(__xludf.DUMMYFUNCTION("iferror($O59-max(filter($O59:$O$397,$E59:$E$397=$E$2)))"),-7.0)</f>
        <v>-7</v>
      </c>
      <c r="AH59" s="131">
        <f t="shared" si="8"/>
        <v>0</v>
      </c>
      <c r="AI59" s="131">
        <f>IFERROR(__xludf.DUMMYFUNCTION("iferror(COUNT(filter($O60:$O$397,$O60:$O$397&gt;$O59,$E59:$E$397=$E$2)))"),0.0)</f>
        <v>0</v>
      </c>
      <c r="AJ59" s="133">
        <f t="shared" si="9"/>
        <v>0</v>
      </c>
      <c r="AK59" s="134">
        <f>IFERROR(__xludf.DUMMYFUNCTION("iferror($O59-min(filter($O59:$O$397,$E59:$E$397=$E$2)))"),1.0)</f>
        <v>1</v>
      </c>
      <c r="AL59" s="128" t="str">
        <f>IFERROR(__xludf.DUMMYFUNCTION("iferror(join("","",index(sort(filter($F60:$F$397,$O60:$O$397&gt;$O59,$E60:$E$397=$E$2),2,false),0,1)))"),"Texas A&amp;M,Arkansas,Kentucky,South Carolina,Auburn,Missouri,Mississippi State,Florida")</f>
        <v>Texas A&amp;M,Arkansas,Kentucky,South Carolina,Auburn,Missouri,Mississippi State,Florida</v>
      </c>
      <c r="AM59" s="128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"""")"),"Big 12,Big Ten,CUSA,Pac12,SEC,Sun Belt")</f>
        <v>Big 12,Big Ten,CUSA,Pac12,SEC,Sun Belt</v>
      </c>
      <c r="AN59" s="132">
        <f>IFERROR(__xludf.DUMMYFUNCTION("iferror($O59-max(filter($O59:$O$397,arrayformula(isnumber(FIND($E59:$E$397,AM59))))))"),-7.0)</f>
        <v>-7</v>
      </c>
      <c r="AO59" s="131">
        <f t="array" ref="AO59">countifs($O$2:$O58,"&lt;"&amp;$O59,isnumber(FIND($E$2:$E58,AM59)),TRUE)</f>
        <v>0</v>
      </c>
      <c r="AP59" s="131">
        <f>IFERROR(__xludf.DUMMYFUNCTION("iferror(COUNT(filter($O60:$O$397,$O60:$O$397&gt;$O59,arrayformula(isnumber(FIND($E60:$E$397,AM59))))))"),33.0)</f>
        <v>33</v>
      </c>
      <c r="AQ59" s="133">
        <f t="shared" si="10"/>
        <v>0</v>
      </c>
      <c r="AR59" s="134">
        <f>IFERROR(__xludf.DUMMYFUNCTION("$O59-min(filter($O59:$O$397,arrayformula(isnumber(FIND($E59:$E$397,AM59)))))"),1.0)</f>
        <v>1</v>
      </c>
      <c r="AS59" s="128" t="str">
        <f>IFERROR(__xludf.DUMMYFUNCTION("iferror(join("","",index(sort(filter($F60:$F$397,$O60:$O$397&gt;$O59,arrayformula(isnumber(FIND($E60:$E$397,AM59)))),2,false),0,1)))"),"New Mexico State,Maryland,Jacksonville State,UCF,Georgia Southern,Georgia State,Purdue,Illinois,Minnesota,Nebraska,Michigan State,Kansas,Arkansas State,Texas A&amp;M,California,Arizona,Arkansas,Kentucky,South Carolina,Iowa State,BYU,Auburn,Texas State,Rutgers"&amp;",Florida Intl,Missouri,Northwestern,Colorado,Old Dominion,Mississippi State,Houston,Florida,West Virginia")</f>
        <v>New Mexico State,Maryland,Jacksonville State,UCF,Georgia Southern,Georgia State,Purdue,Illinois,Minnesota,Nebraska,Michigan State,Kansas,Arkansas State,Texas A&amp;M,California,Arizona,Arkansas,Kentucky,South Carolina,Iowa State,BYU,Auburn,Texas State,Rutgers,Florida Intl,Missouri,Northwestern,Colorado,Old Dominion,Mississippi State,Houston,Florida,West Virginia</v>
      </c>
    </row>
    <row r="60">
      <c r="A60" s="23">
        <v>59.0</v>
      </c>
      <c r="B60" s="23">
        <v>5.0</v>
      </c>
      <c r="C60" s="23">
        <v>7.0</v>
      </c>
      <c r="D60" s="135" t="s">
        <v>57</v>
      </c>
      <c r="E60" s="136" t="str">
        <f>if(F60&lt;&gt;"",VLOOKUP(F60,offset('Teams-Conference'!A:B,0,(counta('Draft Order'!B$2:B134)-10)*2),2,0),"")</f>
        <v>CUSA</v>
      </c>
      <c r="F60" s="140" t="s">
        <v>201</v>
      </c>
      <c r="G60" s="138" t="str">
        <f t="shared" si="1"/>
        <v/>
      </c>
      <c r="H60" s="127">
        <f t="shared" si="2"/>
        <v>1</v>
      </c>
      <c r="I60" s="127">
        <f t="shared" si="3"/>
        <v>1</v>
      </c>
      <c r="J60" s="127">
        <f t="shared" si="11"/>
        <v>2</v>
      </c>
      <c r="K60" s="127">
        <f t="shared" ref="K60:K64" si="18">countif(E41:E60,E61)</f>
        <v>1</v>
      </c>
      <c r="L60" s="127">
        <v>10.0</v>
      </c>
      <c r="M60" s="127">
        <f>IFERROR(__xludf.DUMMYFUNCTION("counta(iferror(filter(L$2:L59,E$2:E59=E60,L$2:L59&lt;L60)))"),5.0)</f>
        <v>5</v>
      </c>
      <c r="N60" s="127">
        <f>IFERROR(__xludf.DUMMYFUNCTION("counta(iferror(filter(L61:L$131,E61:E$131=E60,L61:L$136&gt;L60)))"),0.0)</f>
        <v>0</v>
      </c>
      <c r="O60" s="129">
        <f t="array" ref="O60:Z60">XLOOKUP(F60,'Current Week'!C:C,'Current Week'!D:O)</f>
        <v>10</v>
      </c>
      <c r="P60" s="127">
        <v>3.0</v>
      </c>
      <c r="Q60" s="128" t="s">
        <v>103</v>
      </c>
      <c r="R60" s="130">
        <v>45261.791666666664</v>
      </c>
      <c r="S60" s="128" t="s">
        <v>58</v>
      </c>
      <c r="T60" s="128"/>
      <c r="U60" s="128">
        <v>13.5</v>
      </c>
      <c r="V60" s="131">
        <v>10.5</v>
      </c>
      <c r="W60" s="128">
        <v>340.0</v>
      </c>
      <c r="X60" s="131" t="s">
        <v>104</v>
      </c>
      <c r="Y60" s="131">
        <v>367.0</v>
      </c>
      <c r="Z60" s="131">
        <v>256.0</v>
      </c>
      <c r="AA60" s="132">
        <f t="shared" si="4"/>
        <v>0</v>
      </c>
      <c r="AB60" s="131">
        <f t="shared" si="5"/>
        <v>38</v>
      </c>
      <c r="AC60" s="131">
        <f>IFERROR(__xludf.DUMMYFUNCTION("iferror(COUNT(filter($O61:$O$397,$O61:$O$397&gt;$O60)))"),0.0)</f>
        <v>0</v>
      </c>
      <c r="AD60" s="133">
        <f t="shared" si="6"/>
        <v>1</v>
      </c>
      <c r="AE60" s="134">
        <f t="shared" si="7"/>
        <v>7</v>
      </c>
      <c r="AF60" s="128" t="str">
        <f>IFERROR(__xludf.DUMMYFUNCTION("iferror(join("","",index(sort(filter($F61:$F$398,$O61:$O$398&gt;$O60),2,false),0,1)))"),"")</f>
        <v/>
      </c>
      <c r="AG60" s="132">
        <f>IFERROR(__xludf.DUMMYFUNCTION("iferror($O60-max(filter($O60:$O$397,$E60:$E$397=$E$2)))"),0.0)</f>
        <v>0</v>
      </c>
      <c r="AH60" s="131">
        <f t="shared" si="8"/>
        <v>2</v>
      </c>
      <c r="AI60" s="131">
        <f>IFERROR(__xludf.DUMMYFUNCTION("iferror(COUNT(filter($O61:$O$397,$O61:$O$397&gt;$O60,$E60:$E$397=$E$2)))"),0.0)</f>
        <v>0</v>
      </c>
      <c r="AJ60" s="133">
        <f t="shared" si="9"/>
        <v>1</v>
      </c>
      <c r="AK60" s="134">
        <f>IFERROR(__xludf.DUMMYFUNCTION("iferror($O60-min(filter($O60:$O$397,$E60:$E$397=$E$2)))"),8.0)</f>
        <v>8</v>
      </c>
      <c r="AL60" s="128" t="str">
        <f>IFERROR(__xludf.DUMMYFUNCTION("iferror(join("","",index(sort(filter($F61:$F$397,$O61:$O$397&gt;$O60,$E61:$E$397=$E$2),2,false),0,1)))"),"")</f>
        <v/>
      </c>
      <c r="AM60" s="128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"""")"),"AAC,ACC,Big 12,,CUSA,MWC,SEC")</f>
        <v>AAC,ACC,Big 12,,CUSA,MWC,SEC</v>
      </c>
      <c r="AN60" s="132">
        <f>IFERROR(__xludf.DUMMYFUNCTION("iferror($O60-max(filter($O60:$O$397,arrayformula(isnumber(FIND($E60:$E$397,AM60))))))"),0.0)</f>
        <v>0</v>
      </c>
      <c r="AO60" s="131">
        <f t="array" ref="AO60">countifs($O$2:$O59,"&lt;"&amp;$O60,isnumber(FIND($E$2:$E59,AM60)),TRUE)</f>
        <v>22</v>
      </c>
      <c r="AP60" s="131">
        <f>IFERROR(__xludf.DUMMYFUNCTION("iferror(COUNT(filter($O61:$O$397,$O61:$O$397&gt;$O60,arrayformula(isnumber(FIND($E61:$E$397,AM60))))))"),0.0)</f>
        <v>0</v>
      </c>
      <c r="AQ60" s="133">
        <f t="shared" si="10"/>
        <v>1</v>
      </c>
      <c r="AR60" s="134">
        <f>IFERROR(__xludf.DUMMYFUNCTION("$O60-min(filter($O60:$O$397,arrayformula(isnumber(FIND($E60:$E$397,AM60)))))"),8.0)</f>
        <v>8</v>
      </c>
      <c r="AS60" s="128" t="str">
        <f>IFERROR(__xludf.DUMMYFUNCTION("iferror(join("","",index(sort(filter($F61:$F$397,$O61:$O$397&gt;$O60,arrayformula(isnumber(FIND($E61:$E$397,AM60)))),2,false),0,1)))"),"")</f>
        <v/>
      </c>
    </row>
    <row r="61">
      <c r="A61" s="23">
        <v>60.0</v>
      </c>
      <c r="B61" s="23">
        <v>5.0</v>
      </c>
      <c r="C61" s="23">
        <v>8.0</v>
      </c>
      <c r="D61" s="135" t="s">
        <v>67</v>
      </c>
      <c r="E61" s="136" t="str">
        <f>if(F61&lt;&gt;"",VLOOKUP(F61,offset('Teams-Conference'!A:B,0,(counta('Draft Order'!B$2:B134)-10)*2),2,0),"")</f>
        <v>AAC</v>
      </c>
      <c r="F61" s="140" t="s">
        <v>221</v>
      </c>
      <c r="G61" s="138" t="str">
        <f t="shared" si="1"/>
        <v/>
      </c>
      <c r="H61" s="127">
        <f t="shared" si="2"/>
        <v>0</v>
      </c>
      <c r="I61" s="127">
        <f t="shared" si="3"/>
        <v>1</v>
      </c>
      <c r="J61" s="127">
        <f t="shared" si="11"/>
        <v>1</v>
      </c>
      <c r="K61" s="127">
        <f t="shared" si="18"/>
        <v>1</v>
      </c>
      <c r="L61" s="127">
        <v>5.0</v>
      </c>
      <c r="M61" s="127">
        <f>IFERROR(__xludf.DUMMYFUNCTION("counta(iferror(filter(L$2:L60,E$2:E60=E61,L$2:L60&lt;L61)))"),1.0)</f>
        <v>1</v>
      </c>
      <c r="N61" s="127">
        <f>IFERROR(__xludf.DUMMYFUNCTION("counta(iferror(filter(L62:L$131,E62:E$131=E61,L62:L$136&gt;L61)))"),0.0)</f>
        <v>0</v>
      </c>
      <c r="O61" s="129">
        <f t="array" ref="O61:Z61">XLOOKUP(F61,'Current Week'!C:C,'Current Week'!D:O)</f>
        <v>5</v>
      </c>
      <c r="P61" s="127">
        <v>7.0</v>
      </c>
      <c r="Q61" s="128"/>
      <c r="R61" s="128"/>
      <c r="S61" s="128"/>
      <c r="T61" s="128"/>
      <c r="U61" s="128"/>
      <c r="V61" s="131"/>
      <c r="W61" s="128"/>
      <c r="X61" s="131"/>
      <c r="Y61" s="131">
        <v>414.0</v>
      </c>
      <c r="Z61" s="131">
        <v>445.0</v>
      </c>
      <c r="AA61" s="132">
        <f t="shared" si="4"/>
        <v>-5</v>
      </c>
      <c r="AB61" s="131">
        <f t="shared" si="5"/>
        <v>6</v>
      </c>
      <c r="AC61" s="131">
        <f>IFERROR(__xludf.DUMMYFUNCTION("iferror(COUNT(filter($O62:$O$397,$O62:$O$397&gt;$O61)))"),31.0)</f>
        <v>31</v>
      </c>
      <c r="AD61" s="133">
        <f t="shared" si="6"/>
        <v>0</v>
      </c>
      <c r="AE61" s="134">
        <f t="shared" si="7"/>
        <v>2</v>
      </c>
      <c r="AF61" s="128" t="str">
        <f>IFERROR(__xludf.DUMMYFUNCTION("iferror(join("","",index(sort(filter($F62:$F$398,$O62:$O$398&gt;$O61),2,false),0,1)))"),"Maryland,Utah State,NC State,Jacksonville State,UCF,Georgia Southern,Georgia State,UNLV,San José State,Syracuse,Duke,Kansas,Bowling Green,Arkansas State,Texas A&amp;M,California,Arizona,Kentucky,Iowa State,Auburn,Texas State,Rutgers,Missouri,Boston College,So"&amp;"uth Florida,Northwestern,Old Dominion,Rice,Georgia Tech,Virginia Tech,West Virginia")</f>
        <v>Maryland,Utah State,NC State,Jacksonville State,UCF,Georgia Southern,Georgia State,UNLV,San José State,Syracuse,Duke,Kansas,Bowling Green,Arkansas State,Texas A&amp;M,California,Arizona,Kentucky,Iowa State,Auburn,Texas State,Rutgers,Missouri,Boston College,South Florida,Northwestern,Old Dominion,Rice,Georgia Tech,Virginia Tech,West Virginia</v>
      </c>
      <c r="AG61" s="132">
        <f>IFERROR(__xludf.DUMMYFUNCTION("iferror($O61-max(filter($O61:$O$397,$E61:$E$397=$E$2)))"),-5.0)</f>
        <v>-5</v>
      </c>
      <c r="AH61" s="131">
        <f t="shared" si="8"/>
        <v>0</v>
      </c>
      <c r="AI61" s="131">
        <f>IFERROR(__xludf.DUMMYFUNCTION("iferror(COUNT(filter($O62:$O$397,$O62:$O$397&gt;$O61,$E61:$E$397=$E$2)))"),0.0)</f>
        <v>0</v>
      </c>
      <c r="AJ61" s="133">
        <f t="shared" si="9"/>
        <v>0</v>
      </c>
      <c r="AK61" s="134">
        <f>IFERROR(__xludf.DUMMYFUNCTION("iferror($O61-min(filter($O61:$O$397,$E61:$E$397=$E$2)))"),3.0)</f>
        <v>3</v>
      </c>
      <c r="AL61" s="128" t="str">
        <f>IFERROR(__xludf.DUMMYFUNCTION("iferror(join("","",index(sort(filter($F62:$F$397,$O62:$O$397&gt;$O61,$E62:$E$397=$E$2),2,false),0,1)))"),"Texas A&amp;M,Kentucky,Auburn,Missouri")</f>
        <v>Texas A&amp;M,Kentucky,Auburn,Missouri</v>
      </c>
      <c r="AM61" s="128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"""")"),"AAC,,Big Ten,CUSA,MAC,MWC,Pac12")</f>
        <v>AAC,,Big Ten,CUSA,MAC,MWC,Pac12</v>
      </c>
      <c r="AN61" s="132">
        <f>IFERROR(__xludf.DUMMYFUNCTION("iferror($O61-max(filter($O61:$O$397,arrayformula(isnumber(FIND($E61:$E$397,AM61))))))"),-4.0)</f>
        <v>-4</v>
      </c>
      <c r="AO61" s="131">
        <f t="array" ref="AO61">countifs($O$2:$O60,"&lt;"&amp;$O61,isnumber(FIND($E$2:$E60,AM61)),TRUE)</f>
        <v>6</v>
      </c>
      <c r="AP61" s="131">
        <f>IFERROR(__xludf.DUMMYFUNCTION("iferror(COUNT(filter($O62:$O$397,$O62:$O$397&gt;$O61,arrayformula(isnumber(FIND($E62:$E$397,AM61))))))"),12.0)</f>
        <v>12</v>
      </c>
      <c r="AQ61" s="133">
        <f t="shared" si="10"/>
        <v>0</v>
      </c>
      <c r="AR61" s="134">
        <f>IFERROR(__xludf.DUMMYFUNCTION("$O61-min(filter($O61:$O$397,arrayformula(isnumber(FIND($E61:$E$397,AM61)))))"),4.0)</f>
        <v>4</v>
      </c>
      <c r="AS61" s="128" t="str">
        <f>IFERROR(__xludf.DUMMYFUNCTION("iferror(join("","",index(sort(filter($F62:$F$397,$O62:$O$397&gt;$O61,arrayformula(isnumber(FIND($E62:$E$397,AM61)))),2,false),0,1)))"),"Maryland,Utah State,Jacksonville State,UNLV,San José State,Bowling Green,California,Arizona,Rutgers,South Florida,Northwestern,Rice")</f>
        <v>Maryland,Utah State,Jacksonville State,UNLV,San José State,Bowling Green,California,Arizona,Rutgers,South Florida,Northwestern,Rice</v>
      </c>
    </row>
    <row r="62">
      <c r="A62" s="23">
        <v>61.0</v>
      </c>
      <c r="B62" s="23">
        <v>5.0</v>
      </c>
      <c r="C62" s="23">
        <v>9.0</v>
      </c>
      <c r="D62" s="135" t="s">
        <v>59</v>
      </c>
      <c r="E62" s="136" t="str">
        <f>if(F62&lt;&gt;"",VLOOKUP(F62,offset('Teams-Conference'!A:B,0,(counta('Draft Order'!B$2:B134)-10)*2),2,0),"")</f>
        <v>Big 12</v>
      </c>
      <c r="F62" s="140" t="s">
        <v>230</v>
      </c>
      <c r="G62" s="138" t="str">
        <f t="shared" si="1"/>
        <v/>
      </c>
      <c r="H62" s="127">
        <f t="shared" si="2"/>
        <v>1</v>
      </c>
      <c r="I62" s="127">
        <f t="shared" si="3"/>
        <v>1</v>
      </c>
      <c r="J62" s="127">
        <f t="shared" si="11"/>
        <v>0</v>
      </c>
      <c r="K62" s="127">
        <f t="shared" si="18"/>
        <v>0</v>
      </c>
      <c r="L62" s="127">
        <v>3.0</v>
      </c>
      <c r="M62" s="127">
        <f>IFERROR(__xludf.DUMMYFUNCTION("counta(iferror(filter(L$2:L61,E$2:E61=E62,L$2:L61&lt;L62)))"),0.0)</f>
        <v>0</v>
      </c>
      <c r="N62" s="127">
        <f>IFERROR(__xludf.DUMMYFUNCTION("counta(iferror(filter(L63:L$131,E63:E$131=E62,L63:L$136&gt;L62)))"),0.0)</f>
        <v>0</v>
      </c>
      <c r="O62" s="129">
        <f t="array" ref="O62:Z62">XLOOKUP(F62,'Current Week'!C:C,'Current Week'!D:O)</f>
        <v>3</v>
      </c>
      <c r="P62" s="127">
        <v>9.0</v>
      </c>
      <c r="Q62" s="128"/>
      <c r="R62" s="128"/>
      <c r="S62" s="128"/>
      <c r="T62" s="128"/>
      <c r="U62" s="128">
        <v>7.0</v>
      </c>
      <c r="V62" s="131">
        <v>11.5</v>
      </c>
      <c r="W62" s="128">
        <v>-430.0</v>
      </c>
      <c r="X62" s="131" t="s">
        <v>68</v>
      </c>
      <c r="Y62" s="131">
        <v>277.0</v>
      </c>
      <c r="Z62" s="131">
        <v>400.0</v>
      </c>
      <c r="AA62" s="132">
        <f t="shared" si="4"/>
        <v>-7</v>
      </c>
      <c r="AB62" s="131">
        <f t="shared" si="5"/>
        <v>0</v>
      </c>
      <c r="AC62" s="131">
        <f>IFERROR(__xludf.DUMMYFUNCTION("iferror(COUNT(filter($O63:$O$397,$O63:$O$397&gt;$O62)))"),54.0)</f>
        <v>54</v>
      </c>
      <c r="AD62" s="133">
        <f t="shared" si="6"/>
        <v>0</v>
      </c>
      <c r="AE62" s="134">
        <f t="shared" si="7"/>
        <v>0</v>
      </c>
      <c r="AF62" s="128" t="str">
        <f>IFERROR(__xludf.DUMMYFUNCTION("iferror(join("","",index(sort(filter($F63:$F$398,$O63:$O$398&gt;$O62),2,false),0,1)))"),"Maryland,Central Michigan,Utah State,NC State,Jacksonville State,UCF,Georgia Southern,Georgia State,Purdue,UNLV,Illinois,Ball State,San José State,Minnesota,Nebraska,Colorado State,Syracuse,Michigan State,Duke,Kansas,Wake Forest,Bowling Green,Navy,Arkansa"&amp;"s State,Texas A&amp;M,UAB,Western Michigan,California,Arizona,Arkansas,Kentucky,South Carolina,Hawaii,Iowa State,BYU,New Mexico,Auburn,Texas State,Rutgers,Tulsa,Florida Intl,Missouri,Boston College,South Florida,Northwestern,Colorado,Old Dominion,Rice,Mississ"&amp;"ippi State,Georgia Tech,Houston,Florida,Virginia Tech,West Virginia")</f>
        <v>Maryland,Central Michigan,Utah State,NC State,Jacksonville State,UCF,Georgia Southern,Georgia State,Purdue,UNLV,Illinois,Ball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62" s="132">
        <f>IFERROR(__xludf.DUMMYFUNCTION("iferror($O62-max(filter($O62:$O$397,$E62:$E$397=$E$2)))"),-7.0)</f>
        <v>-7</v>
      </c>
      <c r="AH62" s="131">
        <f t="shared" si="8"/>
        <v>0</v>
      </c>
      <c r="AI62" s="131">
        <f>IFERROR(__xludf.DUMMYFUNCTION("iferror(COUNT(filter($O63:$O$397,$O63:$O$397&gt;$O62,$E62:$E$397=$E$2)))"),0.0)</f>
        <v>0</v>
      </c>
      <c r="AJ62" s="133">
        <f t="shared" si="9"/>
        <v>0</v>
      </c>
      <c r="AK62" s="134">
        <f>IFERROR(__xludf.DUMMYFUNCTION("iferror($O62-min(filter($O62:$O$397,$E62:$E$397=$E$2)))"),1.0)</f>
        <v>1</v>
      </c>
      <c r="AL62" s="128" t="str">
        <f>IFERROR(__xludf.DUMMYFUNCTION("iferror(join("","",index(sort(filter($F63:$F$397,$O63:$O$397&gt;$O62,$E63:$E$397=$E$2),2,false),0,1)))"),"Texas A&amp;M,Arkansas,Kentucky,South Carolina,Auburn,Missouri,Mississippi State,Florida")</f>
        <v>Texas A&amp;M,Arkansas,Kentucky,South Carolina,Auburn,Missouri,Mississippi State,Florida</v>
      </c>
      <c r="AM62" s="128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"""")"),"AAC,ACC,Big 12,,CUSA,SEC,Sun Belt")</f>
        <v>AAC,ACC,Big 12,,CUSA,SEC,Sun Belt</v>
      </c>
      <c r="AN62" s="132">
        <f>IFERROR(__xludf.DUMMYFUNCTION("iferror($O62-max(filter($O62:$O$397,arrayformula(isnumber(FIND($E62:$E$397,AM62))))))"),-7.0)</f>
        <v>-7</v>
      </c>
      <c r="AO62" s="131">
        <f t="array" ref="AO62">countifs($O$2:$O61,"&lt;"&amp;$O62,isnumber(FIND($E$2:$E61,AM62)),TRUE)</f>
        <v>0</v>
      </c>
      <c r="AP62" s="131">
        <f>IFERROR(__xludf.DUMMYFUNCTION("iferror(COUNT(filter($O63:$O$397,$O63:$O$397&gt;$O62,arrayformula(isnumber(FIND($E63:$E$397,AM62))))))"),34.0)</f>
        <v>34</v>
      </c>
      <c r="AQ62" s="133">
        <f t="shared" si="10"/>
        <v>0</v>
      </c>
      <c r="AR62" s="134">
        <f>IFERROR(__xludf.DUMMYFUNCTION("$O62-min(filter($O62:$O$397,arrayformula(isnumber(FIND($E62:$E$397,AM62)))))"),1.0)</f>
        <v>1</v>
      </c>
      <c r="AS62" s="128" t="str">
        <f>IFERROR(__xludf.DUMMYFUNCTION("iferror(join("","",index(sort(filter($F63:$F$397,$O63:$O$397&gt;$O62,arrayformula(isnumber(FIND($E63:$E$397,AM62)))),2,false),0,1)))"),"NC State,Jacksonville State,UCF,Georgia Southern,Georgia State,Syracuse,Duke,Kansas,Wake Forest,Navy,Arkansas State,Texas A&amp;M,UAB,Arkansas,Kentucky,South Carolina,Iowa State,BYU,Auburn,Texas State,Rutgers,Tulsa,Florida Intl,Missouri,Boston College,South F"&amp;"lorida,Old Dominion,Rice,Mississippi State,Georgia Tech,Houston,Florida,Virginia Tech,West Virginia")</f>
        <v>NC State,Jacksonville State,UCF,Georgia Southern,Georgia State,Syracuse,Duke,Kansas,Wake Forest,Navy,Arkansas State,Texas A&amp;M,UAB,Arkansas,Kentucky,South Carolina,Iowa State,BYU,Auburn,Texas State,Rutgers,Tulsa,Florida Intl,Missouri,Boston College,South Florida,Old Dominion,Rice,Mississippi State,Georgia Tech,Houston,Florida,Virginia Tech,West Virginia</v>
      </c>
    </row>
    <row r="63">
      <c r="A63" s="23">
        <v>62.0</v>
      </c>
      <c r="B63" s="23">
        <v>5.0</v>
      </c>
      <c r="C63" s="23">
        <v>10.0</v>
      </c>
      <c r="D63" s="135" t="s">
        <v>62</v>
      </c>
      <c r="E63" s="136" t="str">
        <f>if(F63&lt;&gt;"",VLOOKUP(F63,offset('Teams-Conference'!A:B,0,(counta('Draft Order'!B$2:B134)-10)*2),2,0),"")</f>
        <v>Big Ten</v>
      </c>
      <c r="F63" s="140" t="s">
        <v>244</v>
      </c>
      <c r="G63" s="138" t="str">
        <f t="shared" si="1"/>
        <v/>
      </c>
      <c r="H63" s="127">
        <f t="shared" si="2"/>
        <v>1</v>
      </c>
      <c r="I63" s="127">
        <f t="shared" si="3"/>
        <v>5</v>
      </c>
      <c r="J63" s="127">
        <f t="shared" si="11"/>
        <v>0</v>
      </c>
      <c r="K63" s="127">
        <f t="shared" si="18"/>
        <v>2</v>
      </c>
      <c r="L63" s="127">
        <v>7.0</v>
      </c>
      <c r="M63" s="127">
        <f>IFERROR(__xludf.DUMMYFUNCTION("counta(iferror(filter(L$2:L62,E$2:E62=E63,L$2:L62&lt;L63)))"),0.0)</f>
        <v>0</v>
      </c>
      <c r="N63" s="127">
        <f>IFERROR(__xludf.DUMMYFUNCTION("counta(iferror(filter(L64:L$131,E64:E$131=E63,L64:L$136&gt;L63)))"),0.0)</f>
        <v>0</v>
      </c>
      <c r="O63" s="129">
        <f t="array" ref="O63:Z63">XLOOKUP(F63,'Current Week'!C:C,'Current Week'!D:O)</f>
        <v>7</v>
      </c>
      <c r="P63" s="127">
        <v>5.0</v>
      </c>
      <c r="Q63" s="128"/>
      <c r="R63" s="128"/>
      <c r="S63" s="128"/>
      <c r="T63" s="128"/>
      <c r="U63" s="128"/>
      <c r="V63" s="131"/>
      <c r="W63" s="128"/>
      <c r="X63" s="131"/>
      <c r="Y63" s="131">
        <v>355.0</v>
      </c>
      <c r="Z63" s="131">
        <v>279.0</v>
      </c>
      <c r="AA63" s="132">
        <f t="shared" si="4"/>
        <v>-3</v>
      </c>
      <c r="AB63" s="131">
        <f t="shared" si="5"/>
        <v>17</v>
      </c>
      <c r="AC63" s="131">
        <f>IFERROR(__xludf.DUMMYFUNCTION("iferror(COUNT(filter($O64:$O$397,$O64:$O$397&gt;$O63)))"),7.0)</f>
        <v>7</v>
      </c>
      <c r="AD63" s="133">
        <f t="shared" si="6"/>
        <v>0</v>
      </c>
      <c r="AE63" s="134">
        <f t="shared" si="7"/>
        <v>4</v>
      </c>
      <c r="AF63" s="128" t="str">
        <f>IFERROR(__xludf.DUMMYFUNCTION("iferror(join("","",index(sort(filter($F64:$F$398,$O64:$O$398&gt;$O63),2,false),0,1)))"),"NC State,Jacksonville State,UNLV,Kansas,Arizona,Missouri,West Virginia")</f>
        <v>NC State,Jacksonville State,UNLV,Kansas,Arizona,Missouri,West Virginia</v>
      </c>
      <c r="AG63" s="132">
        <f>IFERROR(__xludf.DUMMYFUNCTION("iferror($O63-max(filter($O63:$O$397,$E63:$E$397=$E$2)))"),-3.0)</f>
        <v>-3</v>
      </c>
      <c r="AH63" s="131">
        <f t="shared" si="8"/>
        <v>0</v>
      </c>
      <c r="AI63" s="131">
        <f>IFERROR(__xludf.DUMMYFUNCTION("iferror(COUNT(filter($O64:$O$397,$O64:$O$397&gt;$O63,$E63:$E$397=$E$2)))"),0.0)</f>
        <v>0</v>
      </c>
      <c r="AJ63" s="133">
        <f t="shared" si="9"/>
        <v>0</v>
      </c>
      <c r="AK63" s="134">
        <f>IFERROR(__xludf.DUMMYFUNCTION("iferror($O63-min(filter($O63:$O$397,$E63:$E$397=$E$2)))"),5.0)</f>
        <v>5</v>
      </c>
      <c r="AL63" s="128" t="str">
        <f>IFERROR(__xludf.DUMMYFUNCTION("iferror(join("","",index(sort(filter($F64:$F$397,$O64:$O$397&gt;$O63,$E64:$E$397=$E$2),2,false),0,1)))"),"Missouri")</f>
        <v>Missouri</v>
      </c>
      <c r="AM63" s="128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"""")"),"AAC,ACC,Big 12,Big Ten,,SEC,Sun Belt")</f>
        <v>AAC,ACC,Big 12,Big Ten,,SEC,Sun Belt</v>
      </c>
      <c r="AN63" s="132">
        <f>IFERROR(__xludf.DUMMYFUNCTION("iferror($O63-max(filter($O63:$O$397,arrayformula(isnumber(FIND($E63:$E$397,AM63))))))"),-3.0)</f>
        <v>-3</v>
      </c>
      <c r="AO63" s="131">
        <f t="array" ref="AO63">countifs($O$2:$O62,"&lt;"&amp;$O63,isnumber(FIND($E$2:$E62,AM63)),TRUE)</f>
        <v>8</v>
      </c>
      <c r="AP63" s="131">
        <f>IFERROR(__xludf.DUMMYFUNCTION("iferror(COUNT(filter($O64:$O$397,$O64:$O$397&gt;$O63,arrayformula(isnumber(FIND($E64:$E$397,AM63))))))"),4.0)</f>
        <v>4</v>
      </c>
      <c r="AQ63" s="133">
        <f t="shared" si="10"/>
        <v>0</v>
      </c>
      <c r="AR63" s="134">
        <f>IFERROR(__xludf.DUMMYFUNCTION("$O63-min(filter($O63:$O$397,arrayformula(isnumber(FIND($E63:$E$397,AM63)))))"),5.0)</f>
        <v>5</v>
      </c>
      <c r="AS63" s="128" t="str">
        <f>IFERROR(__xludf.DUMMYFUNCTION("iferror(join("","",index(sort(filter($F64:$F$397,$O64:$O$397&gt;$O63,arrayformula(isnumber(FIND($E64:$E$397,AM63)))),2,false),0,1)))"),"NC State,Kansas,Missouri,West Virginia")</f>
        <v>NC State,Kansas,Missouri,West Virginia</v>
      </c>
    </row>
    <row r="64">
      <c r="A64" s="23">
        <v>63.0</v>
      </c>
      <c r="B64" s="23">
        <v>5.0</v>
      </c>
      <c r="C64" s="23">
        <v>11.0</v>
      </c>
      <c r="D64" s="135" t="s">
        <v>69</v>
      </c>
      <c r="E64" s="136" t="str">
        <f>if(F64&lt;&gt;"",VLOOKUP(F64,offset('Teams-Conference'!A:B,0,(counta('Draft Order'!B$2:B134)-10)*2),2,0),"")</f>
        <v>ACC</v>
      </c>
      <c r="F64" s="140" t="s">
        <v>256</v>
      </c>
      <c r="G64" s="138" t="str">
        <f t="shared" si="1"/>
        <v/>
      </c>
      <c r="H64" s="127">
        <f t="shared" si="2"/>
        <v>1</v>
      </c>
      <c r="I64" s="127">
        <f t="shared" si="3"/>
        <v>4</v>
      </c>
      <c r="J64" s="127">
        <f t="shared" si="11"/>
        <v>0</v>
      </c>
      <c r="K64" s="127">
        <f t="shared" si="18"/>
        <v>3</v>
      </c>
      <c r="L64" s="127">
        <v>3.0</v>
      </c>
      <c r="M64" s="127">
        <f>IFERROR(__xludf.DUMMYFUNCTION("counta(iferror(filter(L$2:L63,E$2:E63=E64,L$2:L63&lt;L64)))"),0.0)</f>
        <v>0</v>
      </c>
      <c r="N64" s="127">
        <f>IFERROR(__xludf.DUMMYFUNCTION("counta(iferror(filter(L65:L$131,E65:E$131=E64,L65:L$136&gt;L64)))"),0.0)</f>
        <v>0</v>
      </c>
      <c r="O64" s="129">
        <f t="array" ref="O64:Z64">XLOOKUP(F64,'Current Week'!C:C,'Current Week'!D:O)</f>
        <v>3</v>
      </c>
      <c r="P64" s="127">
        <v>9.0</v>
      </c>
      <c r="Q64" s="128"/>
      <c r="R64" s="128"/>
      <c r="S64" s="128"/>
      <c r="T64" s="128"/>
      <c r="U64" s="128"/>
      <c r="V64" s="131"/>
      <c r="W64" s="128"/>
      <c r="X64" s="131"/>
      <c r="Y64" s="131">
        <v>242.0</v>
      </c>
      <c r="Z64" s="131">
        <v>328.0</v>
      </c>
      <c r="AA64" s="132">
        <f t="shared" si="4"/>
        <v>-7</v>
      </c>
      <c r="AB64" s="131">
        <f t="shared" si="5"/>
        <v>0</v>
      </c>
      <c r="AC64" s="131">
        <f>IFERROR(__xludf.DUMMYFUNCTION("iferror(COUNT(filter($O65:$O$397,$O65:$O$397&gt;$O64)))"),53.0)</f>
        <v>53</v>
      </c>
      <c r="AD64" s="133">
        <f t="shared" si="6"/>
        <v>0</v>
      </c>
      <c r="AE64" s="134">
        <f t="shared" si="7"/>
        <v>0</v>
      </c>
      <c r="AF64" s="128" t="str">
        <f>IFERROR(__xludf.DUMMYFUNCTION("iferror(join("","",index(sort(filter($F65:$F$398,$O65:$O$398&gt;$O64),2,false),0,1)))"),"Central Michigan,Utah State,NC State,Jacksonville State,UCF,Georgia Southern,Georgia State,Purdue,UNLV,Illinois,Ball State,San José State,Minnesota,Nebraska,Colorado State,Syracuse,Michigan State,Duke,Kansas,Wake Forest,Bowling Green,Navy,Arkansas State,T"&amp;"exas A&amp;M,UAB,Western Michigan,California,Arizona,Arkansas,Kentucky,South Carolina,Hawaii,Iowa State,BYU,New Mexico,Auburn,Texas State,Rutgers,Tulsa,Florida Intl,Missouri,Boston College,South Florida,Northwestern,Colorado,Old Dominion,Rice,Mississippi Stat"&amp;"e,Georgia Tech,Houston,Florida,Virginia Tech,West Virginia")</f>
        <v>Central Michigan,Utah State,NC State,Jacksonville State,UCF,Georgia Southern,Georgia State,Purdue,UNLV,Illinois,Ball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64" s="132">
        <f>IFERROR(__xludf.DUMMYFUNCTION("iferror($O64-max(filter($O64:$O$397,$E64:$E$397=$E$2)))"),-7.0)</f>
        <v>-7</v>
      </c>
      <c r="AH64" s="131">
        <f t="shared" si="8"/>
        <v>0</v>
      </c>
      <c r="AI64" s="131">
        <f>IFERROR(__xludf.DUMMYFUNCTION("iferror(COUNT(filter($O65:$O$397,$O65:$O$397&gt;$O64,$E64:$E$397=$E$2)))"),0.0)</f>
        <v>0</v>
      </c>
      <c r="AJ64" s="133">
        <f t="shared" si="9"/>
        <v>0</v>
      </c>
      <c r="AK64" s="134">
        <f>IFERROR(__xludf.DUMMYFUNCTION("iferror($O64-min(filter($O64:$O$397,$E64:$E$397=$E$2)))"),1.0)</f>
        <v>1</v>
      </c>
      <c r="AL64" s="128" t="str">
        <f>IFERROR(__xludf.DUMMYFUNCTION("iferror(join("","",index(sort(filter($F65:$F$397,$O65:$O$397&gt;$O64,$E65:$E$397=$E$2),2,false),0,1)))"),"Texas A&amp;M,Arkansas,Kentucky,South Carolina,Auburn,Missouri,Mississippi State,Florida")</f>
        <v>Texas A&amp;M,Arkansas,Kentucky,South Carolina,Auburn,Missouri,Mississippi State,Florida</v>
      </c>
      <c r="AM64" s="128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"""")"),"AAC,ACC,Big 12,,MAC,Pac12,Sun Belt")</f>
        <v>AAC,ACC,Big 12,,MAC,Pac12,Sun Belt</v>
      </c>
      <c r="AN64" s="132">
        <f>IFERROR(__xludf.DUMMYFUNCTION("iferror($O64-max(filter($O64:$O$397,arrayformula(isnumber(FIND($E64:$E$397,AM64))))))"),-6.0)</f>
        <v>-6</v>
      </c>
      <c r="AO64" s="131">
        <f t="array" ref="AO64">countifs($O$2:$O63,"&lt;"&amp;$O64,isnumber(FIND($E$2:$E63,AM64)),TRUE)</f>
        <v>0</v>
      </c>
      <c r="AP64" s="131">
        <f>IFERROR(__xludf.DUMMYFUNCTION("iferror(COUNT(filter($O65:$O$397,$O65:$O$397&gt;$O64,arrayformula(isnumber(FIND($E65:$E$397,AM64))))))"),30.0)</f>
        <v>30</v>
      </c>
      <c r="AQ64" s="133">
        <f t="shared" si="10"/>
        <v>0</v>
      </c>
      <c r="AR64" s="134">
        <f>IFERROR(__xludf.DUMMYFUNCTION("$O64-min(filter($O64:$O$397,arrayformula(isnumber(FIND($E64:$E$397,AM64)))))"),2.0)</f>
        <v>2</v>
      </c>
      <c r="AS64" s="128" t="str">
        <f>IFERROR(__xludf.DUMMYFUNCTION("iferror(join("","",index(sort(filter($F65:$F$397,$O65:$O$397&gt;$O64,arrayformula(isnumber(FIND($E65:$E$397,AM64)))),2,false),0,1)))"),"Central Michigan,NC State,UCF,Georgia Southern,Georgia State,Ball State,Syracuse,Duke,Kansas,Wake Forest,Bowling Green,Navy,Arkansas State,UAB,Western Michigan,California,Arizona,Iowa State,BYU,Texas State,Tulsa,Boston College,South Florida,Colorado,Old D"&amp;"ominion,Rice,Georgia Tech,Houston,Virginia Tech,West Virginia")</f>
        <v>Central Michigan,NC State,UCF,Georgia Southern,Georgia State,Ball State,Syracuse,Duke,Kansas,Wake Forest,Bowling Green,Navy,Arkansas State,UAB,Western Michigan,California,Arizona,Iowa State,BYU,Texas State,Tulsa,Boston College,South Florida,Colorado,Old Dominion,Rice,Georgia Tech,Houston,Virginia Tech,West Virginia</v>
      </c>
    </row>
    <row r="65">
      <c r="A65" s="23">
        <v>64.0</v>
      </c>
      <c r="B65" s="23">
        <v>5.0</v>
      </c>
      <c r="C65" s="23">
        <v>12.0</v>
      </c>
      <c r="D65" s="135" t="s">
        <v>125</v>
      </c>
      <c r="E65" t="str">
        <f>if(F65&lt;&gt;"",VLOOKUP(F65,offset('Teams-Conference'!A:B,0,(counta('Draft Order'!B$2:B134)-10)*2),2,0),"")</f>
        <v>MAC</v>
      </c>
      <c r="F65" s="140" t="s">
        <v>265</v>
      </c>
      <c r="G65" s="138" t="str">
        <f t="shared" si="1"/>
        <v/>
      </c>
      <c r="H65" s="127">
        <f t="shared" si="2"/>
        <v>0</v>
      </c>
      <c r="I65" s="127">
        <f t="shared" si="3"/>
        <v>2</v>
      </c>
      <c r="J65" s="127">
        <f t="shared" si="11"/>
        <v>1</v>
      </c>
      <c r="K65" s="127">
        <f>countif(E46:E65,E67)</f>
        <v>3</v>
      </c>
      <c r="L65" s="127">
        <v>5.0</v>
      </c>
      <c r="M65" s="127">
        <f>IFERROR(__xludf.DUMMYFUNCTION("counta(iferror(filter(L$2:L64,E$2:E64=E65,L$2:L64&lt;L65)))"),1.0)</f>
        <v>1</v>
      </c>
      <c r="N65" s="127">
        <f>IFERROR(__xludf.DUMMYFUNCTION("counta(iferror(filter(L66:L$131,E66:E$131=E65,L66:L$136&gt;L65)))"),0.0)</f>
        <v>0</v>
      </c>
      <c r="O65" s="129">
        <f t="array" ref="O65:Z65">XLOOKUP(F65,'Current Week'!C:C,'Current Week'!D:O)</f>
        <v>5</v>
      </c>
      <c r="P65" s="127">
        <v>7.0</v>
      </c>
      <c r="Q65" s="128"/>
      <c r="R65" s="128"/>
      <c r="S65" s="128"/>
      <c r="T65" s="128"/>
      <c r="U65" s="128"/>
      <c r="V65" s="131"/>
      <c r="W65" s="128"/>
      <c r="X65" s="131"/>
      <c r="Y65" s="131">
        <v>278.0</v>
      </c>
      <c r="Z65" s="131">
        <v>373.0</v>
      </c>
      <c r="AA65" s="132">
        <f t="shared" si="4"/>
        <v>-5</v>
      </c>
      <c r="AB65" s="131">
        <f t="shared" si="5"/>
        <v>8</v>
      </c>
      <c r="AC65" s="131">
        <f>IFERROR(__xludf.DUMMYFUNCTION("iferror(COUNT(filter($O66:$O$397,$O66:$O$397&gt;$O65)))"),30.0)</f>
        <v>30</v>
      </c>
      <c r="AD65" s="133">
        <f t="shared" si="6"/>
        <v>0</v>
      </c>
      <c r="AE65" s="134">
        <f t="shared" si="7"/>
        <v>2</v>
      </c>
      <c r="AF65" s="128" t="str">
        <f>IFERROR(__xludf.DUMMYFUNCTION("iferror(join("","",index(sort(filter($F66:$F$398,$O66:$O$398&gt;$O65),2,false),0,1)))"),"Utah State,NC State,Jacksonville State,UCF,Georgia Southern,Georgia State,UNLV,San José State,Syracuse,Duke,Kansas,Bowling Green,Arkansas State,Texas A&amp;M,California,Arizona,Kentucky,Iowa State,Auburn,Texas State,Rutgers,Missouri,Boston College,South Flori"&amp;"da,Northwestern,Old Dominion,Rice,Georgia Tech,Virginia Tech,West Virginia")</f>
        <v>Utah State,NC State,Jacksonville State,UCF,Georgia Southern,Georgia State,UNLV,San José State,Syracuse,Duke,Kansas,Bowling Green,Arkansas State,Texas A&amp;M,California,Arizona,Kentucky,Iowa State,Auburn,Texas State,Rutgers,Missouri,Boston College,South Florida,Northwestern,Old Dominion,Rice,Georgia Tech,Virginia Tech,West Virginia</v>
      </c>
      <c r="AG65" s="132">
        <f>IFERROR(__xludf.DUMMYFUNCTION("iferror($O65-max(filter($O65:$O$397,$E65:$E$397=$E$2)))"),-5.0)</f>
        <v>-5</v>
      </c>
      <c r="AH65" s="131">
        <f t="shared" si="8"/>
        <v>0</v>
      </c>
      <c r="AI65" s="131">
        <f>IFERROR(__xludf.DUMMYFUNCTION("iferror(COUNT(filter($O66:$O$397,$O66:$O$397&gt;$O65,$E65:$E$397=$E$2)))"),0.0)</f>
        <v>0</v>
      </c>
      <c r="AJ65" s="133">
        <f t="shared" si="9"/>
        <v>0</v>
      </c>
      <c r="AK65" s="134">
        <f>IFERROR(__xludf.DUMMYFUNCTION("iferror($O65-min(filter($O65:$O$397,$E65:$E$397=$E$2)))"),3.0)</f>
        <v>3</v>
      </c>
      <c r="AL65" s="128" t="str">
        <f>IFERROR(__xludf.DUMMYFUNCTION("iferror(join("","",index(sort(filter($F66:$F$397,$O66:$O$397&gt;$O65,$E66:$E$397=$E$2),2,false),0,1)))"),"Texas A&amp;M,Kentucky,Auburn,Missouri")</f>
        <v>Texas A&amp;M,Kentucky,Auburn,Missouri</v>
      </c>
      <c r="AM65" s="128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"""")"),"AAC,,Big Ten,CUSA,MAC,MWC,SEC")</f>
        <v>AAC,,Big Ten,CUSA,MAC,MWC,SEC</v>
      </c>
      <c r="AN65" s="132">
        <f>IFERROR(__xludf.DUMMYFUNCTION("iferror($O65-max(filter($O65:$O$397,arrayformula(isnumber(FIND($E65:$E$397,AM65))))))"),-5.0)</f>
        <v>-5</v>
      </c>
      <c r="AO65" s="131">
        <f t="array" ref="AO65">countifs($O$2:$O64,"&lt;"&amp;$O65,isnumber(FIND($E$2:$E64,AM65)),TRUE)</f>
        <v>6</v>
      </c>
      <c r="AP65" s="131">
        <f>IFERROR(__xludf.DUMMYFUNCTION("iferror(COUNT(filter($O66:$O$397,$O66:$O$397&gt;$O65,arrayformula(isnumber(FIND($E66:$E$397,AM65))))))"),13.0)</f>
        <v>13</v>
      </c>
      <c r="AQ65" s="133">
        <f t="shared" si="10"/>
        <v>0</v>
      </c>
      <c r="AR65" s="134">
        <f>IFERROR(__xludf.DUMMYFUNCTION("$O65-min(filter($O65:$O$397,arrayformula(isnumber(FIND($E65:$E$397,AM65)))))"),4.0)</f>
        <v>4</v>
      </c>
      <c r="AS65" s="128" t="str">
        <f>IFERROR(__xludf.DUMMYFUNCTION("iferror(join("","",index(sort(filter($F66:$F$397,$O66:$O$397&gt;$O65,arrayformula(isnumber(FIND($E66:$E$397,AM65)))),2,false),0,1)))"),"Utah State,Jacksonville State,UNLV,San José State,Bowling Green,Texas A&amp;M,Kentucky,Auburn,Rutgers,Missouri,South Florida,Northwestern,Rice")</f>
        <v>Utah State,Jacksonville State,UNLV,San José State,Bowling Green,Texas A&amp;M,Kentucky,Auburn,Rutgers,Missouri,South Florida,Northwestern,Rice</v>
      </c>
    </row>
    <row r="66">
      <c r="A66" s="141">
        <v>65.0</v>
      </c>
      <c r="B66" s="141">
        <v>5.0</v>
      </c>
      <c r="C66" s="141">
        <v>13.0</v>
      </c>
      <c r="D66" s="142" t="s">
        <v>61</v>
      </c>
      <c r="E66" s="143" t="str">
        <f>if(F66&lt;&gt;"",VLOOKUP(F66,offset('Teams-Conference'!A:B,0,(counta('Draft Order'!B$2:B134)-10)*2),2,0),"")</f>
        <v>MWC</v>
      </c>
      <c r="F66" s="144" t="s">
        <v>273</v>
      </c>
      <c r="G66" s="145" t="str">
        <f t="shared" si="1"/>
        <v/>
      </c>
      <c r="H66" s="127">
        <f t="shared" si="2"/>
        <v>1</v>
      </c>
      <c r="I66" s="127">
        <f t="shared" si="3"/>
        <v>3</v>
      </c>
      <c r="J66" s="127">
        <f t="shared" si="11"/>
        <v>1</v>
      </c>
      <c r="K66" s="128"/>
      <c r="L66" s="127">
        <v>6.0</v>
      </c>
      <c r="M66" s="127">
        <f>IFERROR(__xludf.DUMMYFUNCTION("counta(iferror(filter(L$2:L65,E$2:E65=E66,L$2:L65&lt;L66)))"),1.0)</f>
        <v>1</v>
      </c>
      <c r="N66" s="127">
        <f>IFERROR(__xludf.DUMMYFUNCTION("counta(iferror(filter(L67:L$131,E67:E$131=E66,L67:L$136&gt;L66)))"),0.0)</f>
        <v>0</v>
      </c>
      <c r="O66" s="129">
        <f t="array" ref="O66:Z66">XLOOKUP(F66,'Current Week'!C:C,'Current Week'!D:O)</f>
        <v>6</v>
      </c>
      <c r="P66" s="127">
        <v>6.0</v>
      </c>
      <c r="Q66" s="128"/>
      <c r="R66" s="128"/>
      <c r="S66" s="128"/>
      <c r="T66" s="128"/>
      <c r="U66" s="128"/>
      <c r="V66" s="131"/>
      <c r="W66" s="128"/>
      <c r="X66" s="131"/>
      <c r="Y66" s="131">
        <v>409.0</v>
      </c>
      <c r="Z66" s="131">
        <v>406.0</v>
      </c>
      <c r="AA66" s="132">
        <f t="shared" si="4"/>
        <v>-4</v>
      </c>
      <c r="AB66" s="131">
        <f t="shared" si="5"/>
        <v>12</v>
      </c>
      <c r="AC66" s="131">
        <f>IFERROR(__xludf.DUMMYFUNCTION("iferror(COUNT(filter($O67:$O$397,$O67:$O$397&gt;$O66)))"),15.0)</f>
        <v>15</v>
      </c>
      <c r="AD66" s="133">
        <f t="shared" si="6"/>
        <v>0</v>
      </c>
      <c r="AE66" s="134">
        <f t="shared" si="7"/>
        <v>3</v>
      </c>
      <c r="AF66" s="128" t="str">
        <f>IFERROR(__xludf.DUMMYFUNCTION("iferror(join("","",index(sort(filter($F67:$F$398,$O67:$O$398&gt;$O66),2,false),0,1)))"),"NC State,Jacksonville State,UNLV,San José State,Duke,Kansas,Bowling Green,Texas A&amp;M,Arizona,Kentucky,Iowa State,Texas State,Missouri,Northwestern,West Virginia")</f>
        <v>NC State,Jacksonville State,UNLV,San José State,Duke,Kansas,Bowling Green,Texas A&amp;M,Arizona,Kentucky,Iowa State,Texas State,Missouri,Northwestern,West Virginia</v>
      </c>
      <c r="AG66" s="132">
        <f>IFERROR(__xludf.DUMMYFUNCTION("iferror($O66-max(filter($O66:$O$397,$E66:$E$397=$E$2)))"),-4.0)</f>
        <v>-4</v>
      </c>
      <c r="AH66" s="131">
        <f t="shared" si="8"/>
        <v>0</v>
      </c>
      <c r="AI66" s="131">
        <f>IFERROR(__xludf.DUMMYFUNCTION("iferror(COUNT(filter($O67:$O$397,$O67:$O$397&gt;$O66,$E66:$E$397=$E$2)))"),0.0)</f>
        <v>0</v>
      </c>
      <c r="AJ66" s="133">
        <f t="shared" si="9"/>
        <v>0</v>
      </c>
      <c r="AK66" s="134">
        <f>IFERROR(__xludf.DUMMYFUNCTION("iferror($O66-min(filter($O66:$O$397,$E66:$E$397=$E$2)))"),4.0)</f>
        <v>4</v>
      </c>
      <c r="AL66" s="128" t="str">
        <f>IFERROR(__xludf.DUMMYFUNCTION("iferror(join("","",index(sort(filter($F67:$F$397,$O67:$O$397&gt;$O66,$E67:$E$397=$E$2),2,false),0,1)))"),"Texas A&amp;M,Kentucky,Missouri")</f>
        <v>Texas A&amp;M,Kentucky,Missouri</v>
      </c>
      <c r="AM66" s="128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"""")"),"AAC,ACC,,MAC,MWC,Pac12,Sun Belt")</f>
        <v>AAC,ACC,,MAC,MWC,Pac12,Sun Belt</v>
      </c>
      <c r="AN66" s="132">
        <f>IFERROR(__xludf.DUMMYFUNCTION("iferror($O66-max(filter($O66:$O$397,arrayformula(isnumber(FIND($E66:$E$397,AM66))))))"),-3.0)</f>
        <v>-3</v>
      </c>
      <c r="AO66" s="131">
        <f t="array" ref="AO66">countifs($O$2:$O65,"&lt;"&amp;$O66,isnumber(FIND($E$2:$E65,AM66)),TRUE)</f>
        <v>7</v>
      </c>
      <c r="AP66" s="131">
        <f>IFERROR(__xludf.DUMMYFUNCTION("iferror(COUNT(filter($O67:$O$397,$O67:$O$397&gt;$O66,arrayformula(isnumber(FIND($E67:$E$397,AM66))))))"),7.0)</f>
        <v>7</v>
      </c>
      <c r="AQ66" s="133">
        <f t="shared" si="10"/>
        <v>0</v>
      </c>
      <c r="AR66" s="134">
        <f>IFERROR(__xludf.DUMMYFUNCTION("$O66-min(filter($O66:$O$397,arrayformula(isnumber(FIND($E66:$E$397,AM66)))))"),5.0)</f>
        <v>5</v>
      </c>
      <c r="AS66" s="128" t="str">
        <f>IFERROR(__xludf.DUMMYFUNCTION("iferror(join("","",index(sort(filter($F67:$F$397,$O67:$O$397&gt;$O66,arrayformula(isnumber(FIND($E67:$E$397,AM66)))),2,false),0,1)))"),"NC State,UNLV,San José State,Duke,Bowling Green,Arizona,Texas State")</f>
        <v>NC State,UNLV,San José State,Duke,Bowling Green,Arizona,Texas State</v>
      </c>
    </row>
    <row r="67">
      <c r="A67" s="122">
        <v>66.0</v>
      </c>
      <c r="B67" s="122">
        <v>6.0</v>
      </c>
      <c r="C67" s="122">
        <v>1.0</v>
      </c>
      <c r="D67" s="123" t="str">
        <f t="array" ref="D67:D79">index(sort('Draft Order'!$A$2:$B$14,1,0),0,2)</f>
        <v>Justin</v>
      </c>
      <c r="E67" s="124" t="str">
        <f>if(F67&lt;&gt;"",VLOOKUP(F67,offset('Teams-Conference'!A:B,0,(counta('Draft Order'!B$2:B134)-10)*2),2,0),"")</f>
        <v>ACC</v>
      </c>
      <c r="F67" s="125" t="s">
        <v>268</v>
      </c>
      <c r="G67" s="126" t="str">
        <f t="shared" si="1"/>
        <v/>
      </c>
      <c r="H67" s="127">
        <f t="shared" si="2"/>
        <v>0</v>
      </c>
      <c r="I67" s="127">
        <f t="shared" si="3"/>
        <v>3</v>
      </c>
      <c r="J67" s="127">
        <f t="shared" si="11"/>
        <v>1</v>
      </c>
      <c r="K67" s="127">
        <f t="shared" ref="K67:K72" si="19">countif(E47:E67,E68)</f>
        <v>3</v>
      </c>
      <c r="L67" s="127">
        <v>9.0</v>
      </c>
      <c r="M67" s="127">
        <f>IFERROR(__xludf.DUMMYFUNCTION("counta(iferror(filter(L$2:L66,E$2:E66=E67,L$2:L66&lt;L67)))"),4.0)</f>
        <v>4</v>
      </c>
      <c r="N67" s="127">
        <f>IFERROR(__xludf.DUMMYFUNCTION("counta(iferror(filter(L68:L$131,E68:E$131=E67,L68:L$136&gt;L67)))"),0.0)</f>
        <v>0</v>
      </c>
      <c r="O67" s="129">
        <f t="array" ref="O67:Z67">XLOOKUP(F67,'Current Week'!C:C,'Current Week'!D:O)</f>
        <v>9</v>
      </c>
      <c r="P67" s="127">
        <v>3.0</v>
      </c>
      <c r="Q67" s="128"/>
      <c r="R67" s="128"/>
      <c r="S67" s="128"/>
      <c r="T67" s="128"/>
      <c r="U67" s="128"/>
      <c r="V67" s="131"/>
      <c r="W67" s="128"/>
      <c r="X67" s="131"/>
      <c r="Y67" s="131">
        <v>322.0</v>
      </c>
      <c r="Z67" s="131">
        <v>242.0</v>
      </c>
      <c r="AA67" s="132">
        <f t="shared" si="4"/>
        <v>-1</v>
      </c>
      <c r="AB67" s="131">
        <f t="shared" si="5"/>
        <v>39</v>
      </c>
      <c r="AC67" s="131">
        <f>IFERROR(__xludf.DUMMYFUNCTION("iferror(COUNT(filter($O68:$O$397,$O68:$O$397&gt;$O67)))"),1.0)</f>
        <v>1</v>
      </c>
      <c r="AD67" s="133">
        <f t="shared" si="6"/>
        <v>0</v>
      </c>
      <c r="AE67" s="134">
        <f t="shared" si="7"/>
        <v>6</v>
      </c>
      <c r="AF67" s="128" t="str">
        <f>IFERROR(__xludf.DUMMYFUNCTION("iferror(join("","",index(sort(filter($F68:$F$398,$O68:$O$398&gt;$O67),2,false),0,1)))"),"Missouri")</f>
        <v>Missouri</v>
      </c>
      <c r="AG67" s="132">
        <f>IFERROR(__xludf.DUMMYFUNCTION("iferror($O67-max(filter($O67:$O$397,$E67:$E$397=$E$2)))"),-1.0)</f>
        <v>-1</v>
      </c>
      <c r="AH67" s="131">
        <f t="shared" si="8"/>
        <v>1</v>
      </c>
      <c r="AI67" s="131">
        <f>IFERROR(__xludf.DUMMYFUNCTION("iferror(COUNT(filter($O68:$O$397,$O68:$O$397&gt;$O67,$E67:$E$397=$E$2)))"),0.0)</f>
        <v>0</v>
      </c>
      <c r="AJ67" s="133">
        <f t="shared" si="9"/>
        <v>0</v>
      </c>
      <c r="AK67" s="134">
        <f>IFERROR(__xludf.DUMMYFUNCTION("iferror($O67-min(filter($O67:$O$397,$E67:$E$397=$E$2)))"),7.0)</f>
        <v>7</v>
      </c>
      <c r="AL67" s="128" t="str">
        <f>IFERROR(__xludf.DUMMYFUNCTION("iferror(join("","",index(sort(filter($F68:$F$397,$O68:$O$397&gt;$O67,$E68:$E$397=$E$2),2,false),0,1)))"),"Missouri")</f>
        <v>Missouri</v>
      </c>
      <c r="AM67" s="128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"""")"),"AAC,ACC,,MAC,Pac12,Sun Belt")</f>
        <v>AAC,ACC,,MAC,Pac12,Sun Belt</v>
      </c>
      <c r="AN67" s="132">
        <f>IFERROR(__xludf.DUMMYFUNCTION("iferror($O67-max(filter($O67:$O$397,arrayformula(isnumber(FIND($E67:$E$397,AM67))))))"),0.0)</f>
        <v>0</v>
      </c>
      <c r="AO67" s="131">
        <f t="array" ref="AO67">countifs($O$2:$O66,"&lt;"&amp;$O67,isnumber(FIND($E$2:$E66,AM67)),TRUE)</f>
        <v>21</v>
      </c>
      <c r="AP67" s="131">
        <f>IFERROR(__xludf.DUMMYFUNCTION("iferror(COUNT(filter($O68:$O$397,$O68:$O$397&gt;$O67,arrayformula(isnumber(FIND($E68:$E$397,AM67))))))"),0.0)</f>
        <v>0</v>
      </c>
      <c r="AQ67" s="133">
        <f t="shared" si="10"/>
        <v>1</v>
      </c>
      <c r="AR67" s="134">
        <f>IFERROR(__xludf.DUMMYFUNCTION("$O67-min(filter($O67:$O$397,arrayformula(isnumber(FIND($E67:$E$397,AM67)))))"),8.0)</f>
        <v>8</v>
      </c>
      <c r="AS67" s="128" t="str">
        <f>IFERROR(__xludf.DUMMYFUNCTION("iferror(join("","",index(sort(filter($F68:$F$397,$O68:$O$397&gt;$O67,arrayformula(isnumber(FIND($E68:$E$397,AM67)))),2,false),0,1)))"),"")</f>
        <v/>
      </c>
    </row>
    <row r="68">
      <c r="A68" s="23">
        <v>67.0</v>
      </c>
      <c r="B68" s="23">
        <v>6.0</v>
      </c>
      <c r="C68" s="23">
        <v>2.0</v>
      </c>
      <c r="D68" s="135" t="s">
        <v>125</v>
      </c>
      <c r="E68" s="136" t="str">
        <f>if(F68&lt;&gt;"",VLOOKUP(F68,offset('Teams-Conference'!A:B,0,(counta('Draft Order'!B$2:B134)-10)*2),2,0),"")</f>
        <v>CUSA</v>
      </c>
      <c r="F68" s="137" t="s">
        <v>260</v>
      </c>
      <c r="G68" s="138" t="str">
        <f t="shared" si="1"/>
        <v/>
      </c>
      <c r="H68" s="127">
        <f t="shared" si="2"/>
        <v>0</v>
      </c>
      <c r="I68" s="127">
        <f t="shared" si="3"/>
        <v>0</v>
      </c>
      <c r="J68" s="127">
        <f t="shared" si="11"/>
        <v>2</v>
      </c>
      <c r="K68" s="127">
        <f t="shared" si="19"/>
        <v>2</v>
      </c>
      <c r="L68" s="127">
        <v>8.0</v>
      </c>
      <c r="M68" s="127">
        <f>IFERROR(__xludf.DUMMYFUNCTION("counta(iferror(filter(L$2:L67,E$2:E67=E68,L$2:L67&lt;L68)))"),5.0)</f>
        <v>5</v>
      </c>
      <c r="N68" s="127">
        <f>IFERROR(__xludf.DUMMYFUNCTION("counta(iferror(filter(L69:L$131,E69:E$131=E68,L69:L$136&gt;L68)))"),0.0)</f>
        <v>0</v>
      </c>
      <c r="O68" s="129">
        <f t="array" ref="O68:Z68">XLOOKUP(F68,'Current Week'!C:C,'Current Week'!D:O)</f>
        <v>8</v>
      </c>
      <c r="P68" s="127">
        <v>4.0</v>
      </c>
      <c r="Q68" s="128"/>
      <c r="R68" s="128"/>
      <c r="S68" s="128"/>
      <c r="T68" s="128"/>
      <c r="U68" s="128"/>
      <c r="V68" s="131"/>
      <c r="W68" s="128"/>
      <c r="X68" s="131"/>
      <c r="Y68" s="131">
        <v>358.0</v>
      </c>
      <c r="Z68" s="131">
        <v>244.0</v>
      </c>
      <c r="AA68" s="132">
        <f t="shared" si="4"/>
        <v>-2</v>
      </c>
      <c r="AB68" s="131">
        <f t="shared" si="5"/>
        <v>28</v>
      </c>
      <c r="AC68" s="131">
        <f>IFERROR(__xludf.DUMMYFUNCTION("iferror(COUNT(filter($O69:$O$397,$O69:$O$397&gt;$O68)))"),4.0)</f>
        <v>4</v>
      </c>
      <c r="AD68" s="133">
        <f t="shared" si="6"/>
        <v>0</v>
      </c>
      <c r="AE68" s="134">
        <f t="shared" si="7"/>
        <v>5</v>
      </c>
      <c r="AF68" s="128" t="str">
        <f>IFERROR(__xludf.DUMMYFUNCTION("iferror(join("","",index(sort(filter($F69:$F$398,$O69:$O$398&gt;$O68),2,false),0,1)))"),"UNLV,Arizona,Missouri,West Virginia")</f>
        <v>UNLV,Arizona,Missouri,West Virginia</v>
      </c>
      <c r="AG68" s="132">
        <f>IFERROR(__xludf.DUMMYFUNCTION("iferror($O68-max(filter($O68:$O$397,$E68:$E$397=$E$2)))"),-2.0)</f>
        <v>-2</v>
      </c>
      <c r="AH68" s="131">
        <f t="shared" si="8"/>
        <v>0</v>
      </c>
      <c r="AI68" s="131">
        <f>IFERROR(__xludf.DUMMYFUNCTION("iferror(COUNT(filter($O69:$O$397,$O69:$O$397&gt;$O68,$E68:$E$397=$E$2)))"),0.0)</f>
        <v>0</v>
      </c>
      <c r="AJ68" s="133">
        <f t="shared" si="9"/>
        <v>0</v>
      </c>
      <c r="AK68" s="134">
        <f>IFERROR(__xludf.DUMMYFUNCTION("iferror($O68-min(filter($O68:$O$397,$E68:$E$397=$E$2)))"),6.0)</f>
        <v>6</v>
      </c>
      <c r="AL68" s="128" t="str">
        <f>IFERROR(__xludf.DUMMYFUNCTION("iferror(join("","",index(sort(filter($F69:$F$397,$O69:$O$397&gt;$O68,$E69:$E$397=$E$2),2,false),0,1)))"),"Missouri")</f>
        <v>Missouri</v>
      </c>
      <c r="AM68" s="128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"""")"),"AAC,,Big Ten,CUSA,MWC,SEC")</f>
        <v>AAC,,Big Ten,CUSA,MWC,SEC</v>
      </c>
      <c r="AN68" s="132">
        <f>IFERROR(__xludf.DUMMYFUNCTION("iferror($O68-max(filter($O68:$O$397,arrayformula(isnumber(FIND($E68:$E$397,AM68))))))"),-2.0)</f>
        <v>-2</v>
      </c>
      <c r="AO68" s="131">
        <f t="array" ref="AO68">countifs($O$2:$O67,"&lt;"&amp;$O68,isnumber(FIND($E$2:$E67,AM68)),TRUE)</f>
        <v>12</v>
      </c>
      <c r="AP68" s="131">
        <f>IFERROR(__xludf.DUMMYFUNCTION("iferror(COUNT(filter($O69:$O$397,$O69:$O$397&gt;$O68,arrayformula(isnumber(FIND($E69:$E$397,AM68))))))"),2.0)</f>
        <v>2</v>
      </c>
      <c r="AQ68" s="133">
        <f t="shared" si="10"/>
        <v>0</v>
      </c>
      <c r="AR68" s="134">
        <f>IFERROR(__xludf.DUMMYFUNCTION("$O68-min(filter($O68:$O$397,arrayformula(isnumber(FIND($E68:$E$397,AM68)))))"),6.0)</f>
        <v>6</v>
      </c>
      <c r="AS68" s="128" t="str">
        <f>IFERROR(__xludf.DUMMYFUNCTION("iferror(join("","",index(sort(filter($F69:$F$397,$O69:$O$397&gt;$O68,arrayformula(isnumber(FIND($E69:$E$397,AM68)))),2,false),0,1)))"),"UNLV,Missouri")</f>
        <v>UNLV,Missouri</v>
      </c>
    </row>
    <row r="69">
      <c r="A69" s="23">
        <v>68.0</v>
      </c>
      <c r="B69" s="23">
        <v>6.0</v>
      </c>
      <c r="C69" s="23">
        <v>3.0</v>
      </c>
      <c r="D69" s="139" t="s">
        <v>69</v>
      </c>
      <c r="E69" s="136" t="str">
        <f>if(F69&lt;&gt;"",VLOOKUP(F69,offset('Teams-Conference'!A:B,0,(counta('Draft Order'!B$2:B134)-10)*2),2,0),"")</f>
        <v>Big 12</v>
      </c>
      <c r="F69" s="137" t="s">
        <v>257</v>
      </c>
      <c r="G69" s="138" t="str">
        <f t="shared" si="1"/>
        <v/>
      </c>
      <c r="H69" s="127">
        <f t="shared" si="2"/>
        <v>0</v>
      </c>
      <c r="I69" s="127">
        <f t="shared" si="3"/>
        <v>1</v>
      </c>
      <c r="J69" s="127">
        <f t="shared" si="11"/>
        <v>1</v>
      </c>
      <c r="K69" s="127">
        <f t="shared" si="19"/>
        <v>3</v>
      </c>
      <c r="L69" s="127">
        <v>6.0</v>
      </c>
      <c r="M69" s="127">
        <f>IFERROR(__xludf.DUMMYFUNCTION("counta(iferror(filter(L$2:L68,E$2:E68=E69,L$2:L68&lt;L69)))"),2.0)</f>
        <v>2</v>
      </c>
      <c r="N69" s="127">
        <f>IFERROR(__xludf.DUMMYFUNCTION("counta(iferror(filter(L70:L$131,E70:E$131=E69,L70:L$136&gt;L69)))"),0.0)</f>
        <v>0</v>
      </c>
      <c r="O69" s="129">
        <f t="array" ref="O69:Z69">XLOOKUP(F69,'Current Week'!C:C,'Current Week'!D:O)</f>
        <v>6</v>
      </c>
      <c r="P69" s="127">
        <v>6.0</v>
      </c>
      <c r="Q69" s="128"/>
      <c r="R69" s="128"/>
      <c r="S69" s="128"/>
      <c r="T69" s="128"/>
      <c r="U69" s="128"/>
      <c r="V69" s="131"/>
      <c r="W69" s="128"/>
      <c r="X69" s="131"/>
      <c r="Y69" s="131">
        <v>390.0</v>
      </c>
      <c r="Z69" s="131">
        <v>305.0</v>
      </c>
      <c r="AA69" s="132">
        <f t="shared" si="4"/>
        <v>-4</v>
      </c>
      <c r="AB69" s="131">
        <f t="shared" si="5"/>
        <v>12</v>
      </c>
      <c r="AC69" s="131">
        <f>IFERROR(__xludf.DUMMYFUNCTION("iferror(COUNT(filter($O70:$O$397,$O70:$O$397&gt;$O69)))"),13.0)</f>
        <v>13</v>
      </c>
      <c r="AD69" s="133">
        <f t="shared" si="6"/>
        <v>0</v>
      </c>
      <c r="AE69" s="134">
        <f t="shared" si="7"/>
        <v>3</v>
      </c>
      <c r="AF69" s="128" t="str">
        <f>IFERROR(__xludf.DUMMYFUNCTION("iferror(join("","",index(sort(filter($F70:$F$398,$O70:$O$398&gt;$O69),2,false),0,1)))"),"UNLV,San José State,Duke,Kansas,Bowling Green,Texas A&amp;M,Arizona,Kentucky,Iowa State,Texas State,Missouri,Northwestern,West Virginia")</f>
        <v>UNLV,San José State,Duke,Kansas,Bowling Green,Texas A&amp;M,Arizona,Kentucky,Iowa State,Texas State,Missouri,Northwestern,West Virginia</v>
      </c>
      <c r="AG69" s="132">
        <f>IFERROR(__xludf.DUMMYFUNCTION("iferror($O69-max(filter($O69:$O$397,$E69:$E$397=$E$2)))"),-4.0)</f>
        <v>-4</v>
      </c>
      <c r="AH69" s="131">
        <f t="shared" si="8"/>
        <v>0</v>
      </c>
      <c r="AI69" s="131">
        <f>IFERROR(__xludf.DUMMYFUNCTION("iferror(COUNT(filter($O70:$O$397,$O70:$O$397&gt;$O69,$E69:$E$397=$E$2)))"),0.0)</f>
        <v>0</v>
      </c>
      <c r="AJ69" s="133">
        <f t="shared" si="9"/>
        <v>0</v>
      </c>
      <c r="AK69" s="134">
        <f>IFERROR(__xludf.DUMMYFUNCTION("iferror($O69-min(filter($O69:$O$397,$E69:$E$397=$E$2)))"),4.0)</f>
        <v>4</v>
      </c>
      <c r="AL69" s="128" t="str">
        <f>IFERROR(__xludf.DUMMYFUNCTION("iferror(join("","",index(sort(filter($F70:$F$397,$O70:$O$397&gt;$O69,$E70:$E$397=$E$2),2,false),0,1)))"),"Texas A&amp;M,Kentucky,Missouri")</f>
        <v>Texas A&amp;M,Kentucky,Missouri</v>
      </c>
      <c r="AM69" s="128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"""")"),"AAC,,Big 12,MAC,Pac12,Sun Belt")</f>
        <v>AAC,,Big 12,MAC,Pac12,Sun Belt</v>
      </c>
      <c r="AN69" s="132">
        <f>IFERROR(__xludf.DUMMYFUNCTION("iferror($O69-max(filter($O69:$O$397,arrayformula(isnumber(FIND($E69:$E$397,AM69))))))"),-3.0)</f>
        <v>-3</v>
      </c>
      <c r="AO69" s="131">
        <f t="array" ref="AO69">countifs($O$2:$O68,"&lt;"&amp;$O69,isnumber(FIND($E$2:$E68,AM69)),TRUE)</f>
        <v>7</v>
      </c>
      <c r="AP69" s="131">
        <f>IFERROR(__xludf.DUMMYFUNCTION("iferror(COUNT(filter($O70:$O$397,$O70:$O$397&gt;$O69,arrayformula(isnumber(FIND($E70:$E$397,AM69))))))"),6.0)</f>
        <v>6</v>
      </c>
      <c r="AQ69" s="133">
        <f t="shared" si="10"/>
        <v>0</v>
      </c>
      <c r="AR69" s="134">
        <f>IFERROR(__xludf.DUMMYFUNCTION("$O69-min(filter($O69:$O$397,arrayformula(isnumber(FIND($E69:$E$397,AM69)))))"),5.0)</f>
        <v>5</v>
      </c>
      <c r="AS69" s="128" t="str">
        <f>IFERROR(__xludf.DUMMYFUNCTION("iferror(join("","",index(sort(filter($F70:$F$397,$O70:$O$397&gt;$O69,arrayformula(isnumber(FIND($E70:$E$397,AM69)))),2,false),0,1)))"),"Kansas,Bowling Green,Arizona,Iowa State,Texas State,West Virginia")</f>
        <v>Kansas,Bowling Green,Arizona,Iowa State,Texas State,West Virginia</v>
      </c>
    </row>
    <row r="70">
      <c r="A70" s="23">
        <v>69.0</v>
      </c>
      <c r="B70" s="23">
        <v>6.0</v>
      </c>
      <c r="C70" s="23">
        <v>4.0</v>
      </c>
      <c r="D70" s="135" t="s">
        <v>62</v>
      </c>
      <c r="E70" s="136" t="str">
        <f>if(F70&lt;&gt;"",VLOOKUP(F70,offset('Teams-Conference'!A:B,0,(counta('Draft Order'!B$2:B134)-10)*2),2,0),"")</f>
        <v>Sun Belt</v>
      </c>
      <c r="F70" s="137" t="s">
        <v>245</v>
      </c>
      <c r="G70" s="138" t="str">
        <f t="shared" si="1"/>
        <v/>
      </c>
      <c r="H70" s="127">
        <f t="shared" si="2"/>
        <v>2</v>
      </c>
      <c r="I70" s="127">
        <f t="shared" si="3"/>
        <v>3</v>
      </c>
      <c r="J70" s="127">
        <f t="shared" si="11"/>
        <v>0</v>
      </c>
      <c r="K70" s="127">
        <f t="shared" si="19"/>
        <v>4</v>
      </c>
      <c r="L70" s="127">
        <v>6.0</v>
      </c>
      <c r="M70" s="127">
        <f>IFERROR(__xludf.DUMMYFUNCTION("counta(iferror(filter(L$2:L69,E$2:E69=E70,L$2:L69&lt;L70)))"),0.0)</f>
        <v>0</v>
      </c>
      <c r="N70" s="127">
        <f>IFERROR(__xludf.DUMMYFUNCTION("counta(iferror(filter(L71:L$131,E71:E$131=E70,L71:L$136&gt;L70)))"),0.0)</f>
        <v>0</v>
      </c>
      <c r="O70" s="129">
        <f t="array" ref="O70:Z70">XLOOKUP(F70,'Current Week'!C:C,'Current Week'!D:O)</f>
        <v>6</v>
      </c>
      <c r="P70" s="127">
        <v>6.0</v>
      </c>
      <c r="Q70" s="128"/>
      <c r="R70" s="128"/>
      <c r="S70" s="128"/>
      <c r="T70" s="128"/>
      <c r="U70" s="128"/>
      <c r="V70" s="131"/>
      <c r="W70" s="128"/>
      <c r="X70" s="131"/>
      <c r="Y70" s="131">
        <v>371.0</v>
      </c>
      <c r="Z70" s="131">
        <v>355.0</v>
      </c>
      <c r="AA70" s="132">
        <f t="shared" si="4"/>
        <v>-4</v>
      </c>
      <c r="AB70" s="131">
        <f t="shared" si="5"/>
        <v>12</v>
      </c>
      <c r="AC70" s="131">
        <f>IFERROR(__xludf.DUMMYFUNCTION("iferror(COUNT(filter($O71:$O$397,$O71:$O$397&gt;$O70)))"),13.0)</f>
        <v>13</v>
      </c>
      <c r="AD70" s="133">
        <f t="shared" si="6"/>
        <v>0</v>
      </c>
      <c r="AE70" s="134">
        <f t="shared" si="7"/>
        <v>3</v>
      </c>
      <c r="AF70" s="128" t="str">
        <f>IFERROR(__xludf.DUMMYFUNCTION("iferror(join("","",index(sort(filter($F71:$F$398,$O71:$O$398&gt;$O70),2,false),0,1)))"),"UNLV,San José State,Duke,Kansas,Bowling Green,Texas A&amp;M,Arizona,Kentucky,Iowa State,Texas State,Missouri,Northwestern,West Virginia")</f>
        <v>UNLV,San José State,Duke,Kansas,Bowling Green,Texas A&amp;M,Arizona,Kentucky,Iowa State,Texas State,Missouri,Northwestern,West Virginia</v>
      </c>
      <c r="AG70" s="132">
        <f>IFERROR(__xludf.DUMMYFUNCTION("iferror($O70-max(filter($O70:$O$397,$E70:$E$397=$E$2)))"),-4.0)</f>
        <v>-4</v>
      </c>
      <c r="AH70" s="131">
        <f t="shared" si="8"/>
        <v>0</v>
      </c>
      <c r="AI70" s="131">
        <f>IFERROR(__xludf.DUMMYFUNCTION("iferror(COUNT(filter($O71:$O$397,$O71:$O$397&gt;$O70,$E70:$E$397=$E$2)))"),0.0)</f>
        <v>0</v>
      </c>
      <c r="AJ70" s="133">
        <f t="shared" si="9"/>
        <v>0</v>
      </c>
      <c r="AK70" s="134">
        <f>IFERROR(__xludf.DUMMYFUNCTION("iferror($O70-min(filter($O70:$O$397,$E70:$E$397=$E$2)))"),4.0)</f>
        <v>4</v>
      </c>
      <c r="AL70" s="128" t="str">
        <f>IFERROR(__xludf.DUMMYFUNCTION("iferror(join("","",index(sort(filter($F71:$F$397,$O71:$O$397&gt;$O70,$E71:$E$397=$E$2),2,false),0,1)))"),"Texas A&amp;M,Kentucky,Missouri")</f>
        <v>Texas A&amp;M,Kentucky,Missouri</v>
      </c>
      <c r="AM70" s="128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"""")"),"AAC,ACC,Big 12,,SEC,Sun Belt")</f>
        <v>AAC,ACC,Big 12,,SEC,Sun Belt</v>
      </c>
      <c r="AN70" s="132">
        <f>IFERROR(__xludf.DUMMYFUNCTION("iferror($O70-max(filter($O70:$O$397,arrayformula(isnumber(FIND($E70:$E$397,AM70))))))"),-4.0)</f>
        <v>-4</v>
      </c>
      <c r="AO70" s="131">
        <f t="array" ref="AO70">countifs($O$2:$O69,"&lt;"&amp;$O70,isnumber(FIND($E$2:$E69,AM70)),TRUE)</f>
        <v>5</v>
      </c>
      <c r="AP70" s="131">
        <f>IFERROR(__xludf.DUMMYFUNCTION("iferror(COUNT(filter($O71:$O$397,$O71:$O$397&gt;$O70,arrayformula(isnumber(FIND($E71:$E$397,AM70))))))"),8.0)</f>
        <v>8</v>
      </c>
      <c r="AQ70" s="133">
        <f t="shared" si="10"/>
        <v>0</v>
      </c>
      <c r="AR70" s="134">
        <f>IFERROR(__xludf.DUMMYFUNCTION("$O70-min(filter($O70:$O$397,arrayformula(isnumber(FIND($E70:$E$397,AM70)))))"),4.0)</f>
        <v>4</v>
      </c>
      <c r="AS70" s="128" t="str">
        <f>IFERROR(__xludf.DUMMYFUNCTION("iferror(join("","",index(sort(filter($F71:$F$397,$O71:$O$397&gt;$O70,arrayformula(isnumber(FIND($E71:$E$397,AM70)))),2,false),0,1)))"),"Duke,Kansas,Texas A&amp;M,Kentucky,Iowa State,Texas State,Missouri,West Virginia")</f>
        <v>Duke,Kansas,Texas A&amp;M,Kentucky,Iowa State,Texas State,Missouri,West Virginia</v>
      </c>
    </row>
    <row r="71">
      <c r="A71" s="23">
        <v>70.0</v>
      </c>
      <c r="B71" s="23">
        <v>6.0</v>
      </c>
      <c r="C71" s="23">
        <v>5.0</v>
      </c>
      <c r="D71" s="135" t="s">
        <v>59</v>
      </c>
      <c r="E71" s="136" t="str">
        <f>if(F71&lt;&gt;"",VLOOKUP(F71,offset('Teams-Conference'!A:B,0,(counta('Draft Order'!B$2:B134)-10)*2),2,0),"")</f>
        <v>Sun Belt</v>
      </c>
      <c r="F71" s="140" t="s">
        <v>232</v>
      </c>
      <c r="G71" s="138" t="str">
        <f t="shared" si="1"/>
        <v/>
      </c>
      <c r="H71" s="127">
        <f t="shared" si="2"/>
        <v>1</v>
      </c>
      <c r="I71" s="127">
        <f t="shared" si="3"/>
        <v>2</v>
      </c>
      <c r="J71" s="127">
        <f t="shared" si="11"/>
        <v>1</v>
      </c>
      <c r="K71" s="127">
        <f t="shared" si="19"/>
        <v>1</v>
      </c>
      <c r="L71" s="127">
        <v>6.0</v>
      </c>
      <c r="M71" s="127">
        <f>IFERROR(__xludf.DUMMYFUNCTION("counta(iferror(filter(L$2:L70,E$2:E70=E71,L$2:L70&lt;L71)))"),0.0)</f>
        <v>0</v>
      </c>
      <c r="N71" s="127">
        <f>IFERROR(__xludf.DUMMYFUNCTION("counta(iferror(filter(L72:L$131,E72:E$131=E71,L72:L$136&gt;L71)))"),0.0)</f>
        <v>0</v>
      </c>
      <c r="O71" s="129">
        <f t="array" ref="O71:Z71">XLOOKUP(F71,'Current Week'!C:C,'Current Week'!D:O)</f>
        <v>6</v>
      </c>
      <c r="P71" s="127">
        <v>6.0</v>
      </c>
      <c r="Q71" s="128"/>
      <c r="R71" s="128"/>
      <c r="S71" s="128"/>
      <c r="T71" s="128"/>
      <c r="U71" s="128"/>
      <c r="V71" s="131"/>
      <c r="W71" s="128"/>
      <c r="X71" s="131"/>
      <c r="Y71" s="131">
        <v>309.0</v>
      </c>
      <c r="Z71" s="131">
        <v>369.0</v>
      </c>
      <c r="AA71" s="132">
        <f t="shared" si="4"/>
        <v>-4</v>
      </c>
      <c r="AB71" s="131">
        <f t="shared" si="5"/>
        <v>12</v>
      </c>
      <c r="AC71" s="131">
        <f>IFERROR(__xludf.DUMMYFUNCTION("iferror(COUNT(filter($O72:$O$397,$O72:$O$397&gt;$O71)))"),13.0)</f>
        <v>13</v>
      </c>
      <c r="AD71" s="133">
        <f t="shared" si="6"/>
        <v>0</v>
      </c>
      <c r="AE71" s="134">
        <f t="shared" si="7"/>
        <v>3</v>
      </c>
      <c r="AF71" s="128" t="str">
        <f>IFERROR(__xludf.DUMMYFUNCTION("iferror(join("","",index(sort(filter($F72:$F$398,$O72:$O$398&gt;$O71),2,false),0,1)))"),"UNLV,San José State,Duke,Kansas,Bowling Green,Texas A&amp;M,Arizona,Kentucky,Iowa State,Texas State,Missouri,Northwestern,West Virginia")</f>
        <v>UNLV,San José State,Duke,Kansas,Bowling Green,Texas A&amp;M,Arizona,Kentucky,Iowa State,Texas State,Missouri,Northwestern,West Virginia</v>
      </c>
      <c r="AG71" s="132">
        <f>IFERROR(__xludf.DUMMYFUNCTION("iferror($O71-max(filter($O71:$O$397,$E71:$E$397=$E$2)))"),-4.0)</f>
        <v>-4</v>
      </c>
      <c r="AH71" s="131">
        <f t="shared" si="8"/>
        <v>0</v>
      </c>
      <c r="AI71" s="131">
        <f>IFERROR(__xludf.DUMMYFUNCTION("iferror(COUNT(filter($O72:$O$397,$O72:$O$397&gt;$O71,$E71:$E$397=$E$2)))"),0.0)</f>
        <v>0</v>
      </c>
      <c r="AJ71" s="133">
        <f t="shared" si="9"/>
        <v>0</v>
      </c>
      <c r="AK71" s="134">
        <f>IFERROR(__xludf.DUMMYFUNCTION("iferror($O71-min(filter($O71:$O$397,$E71:$E$397=$E$2)))"),4.0)</f>
        <v>4</v>
      </c>
      <c r="AL71" s="128" t="str">
        <f>IFERROR(__xludf.DUMMYFUNCTION("iferror(join("","",index(sort(filter($F72:$F$397,$O72:$O$397&gt;$O71,$E72:$E$397=$E$2),2,false),0,1)))"),"Texas A&amp;M,Kentucky,Missouri")</f>
        <v>Texas A&amp;M,Kentucky,Missouri</v>
      </c>
      <c r="AM71" s="128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"""")"),"AAC,ACC,,CUSA,SEC,Sun Belt")</f>
        <v>AAC,ACC,,CUSA,SEC,Sun Belt</v>
      </c>
      <c r="AN71" s="132">
        <f>IFERROR(__xludf.DUMMYFUNCTION("iferror($O71-max(filter($O71:$O$397,arrayformula(isnumber(FIND($E71:$E$397,AM71))))))"),-4.0)</f>
        <v>-4</v>
      </c>
      <c r="AO71" s="131">
        <f t="array" ref="AO71">countifs($O$2:$O70,"&lt;"&amp;$O71,isnumber(FIND($E$2:$E70,AM71)),TRUE)</f>
        <v>6</v>
      </c>
      <c r="AP71" s="131">
        <f>IFERROR(__xludf.DUMMYFUNCTION("iferror(COUNT(filter($O72:$O$397,$O72:$O$397&gt;$O71,arrayformula(isnumber(FIND($E72:$E$397,AM71))))))"),5.0)</f>
        <v>5</v>
      </c>
      <c r="AQ71" s="133">
        <f t="shared" si="10"/>
        <v>0</v>
      </c>
      <c r="AR71" s="134">
        <f>IFERROR(__xludf.DUMMYFUNCTION("$O71-min(filter($O71:$O$397,arrayformula(isnumber(FIND($E71:$E$397,AM71)))))"),4.0)</f>
        <v>4</v>
      </c>
      <c r="AS71" s="128" t="str">
        <f>IFERROR(__xludf.DUMMYFUNCTION("iferror(join("","",index(sort(filter($F72:$F$397,$O72:$O$397&gt;$O71,arrayformula(isnumber(FIND($E72:$E$397,AM71)))),2,false),0,1)))"),"Duke,Texas A&amp;M,Kentucky,Texas State,Missouri")</f>
        <v>Duke,Texas A&amp;M,Kentucky,Texas State,Missouri</v>
      </c>
    </row>
    <row r="72">
      <c r="A72" s="23">
        <v>71.0</v>
      </c>
      <c r="B72" s="23">
        <v>6.0</v>
      </c>
      <c r="C72" s="23">
        <v>6.0</v>
      </c>
      <c r="D72" s="135" t="s">
        <v>67</v>
      </c>
      <c r="E72" s="136" t="str">
        <f>if(F72&lt;&gt;"",VLOOKUP(F72,offset('Teams-Conference'!A:B,0,(counta('Draft Order'!B$2:B134)-10)*2),2,0),"")</f>
        <v>Big Ten</v>
      </c>
      <c r="F72" s="137" t="s">
        <v>222</v>
      </c>
      <c r="G72" s="138" t="str">
        <f t="shared" si="1"/>
        <v/>
      </c>
      <c r="H72" s="127">
        <f t="shared" si="2"/>
        <v>3</v>
      </c>
      <c r="I72" s="127">
        <f t="shared" si="3"/>
        <v>4</v>
      </c>
      <c r="J72" s="127">
        <f t="shared" si="11"/>
        <v>1</v>
      </c>
      <c r="K72" s="127">
        <f t="shared" si="19"/>
        <v>2</v>
      </c>
      <c r="L72" s="127">
        <v>4.0</v>
      </c>
      <c r="M72" s="127">
        <f>IFERROR(__xludf.DUMMYFUNCTION("counta(iferror(filter(L$2:L71,E$2:E71=E72,L$2:L71&lt;L72)))"),0.0)</f>
        <v>0</v>
      </c>
      <c r="N72" s="127">
        <f>IFERROR(__xludf.DUMMYFUNCTION("counta(iferror(filter(L73:L$131,E73:E$131=E72,L73:L$136&gt;L72)))"),0.0)</f>
        <v>0</v>
      </c>
      <c r="O72" s="129">
        <f t="array" ref="O72:Z72">XLOOKUP(F72,'Current Week'!C:C,'Current Week'!D:O)</f>
        <v>4</v>
      </c>
      <c r="P72" s="127">
        <v>8.0</v>
      </c>
      <c r="Q72" s="128"/>
      <c r="R72" s="128"/>
      <c r="S72" s="128"/>
      <c r="T72" s="128"/>
      <c r="U72" s="128"/>
      <c r="V72" s="131"/>
      <c r="W72" s="128"/>
      <c r="X72" s="131"/>
      <c r="Y72" s="131">
        <v>287.0</v>
      </c>
      <c r="Z72" s="131">
        <v>365.0</v>
      </c>
      <c r="AA72" s="132">
        <f t="shared" si="4"/>
        <v>-6</v>
      </c>
      <c r="AB72" s="131">
        <f t="shared" si="5"/>
        <v>5</v>
      </c>
      <c r="AC72" s="131">
        <f>IFERROR(__xludf.DUMMYFUNCTION("iferror(COUNT(filter($O73:$O$397,$O73:$O$397&gt;$O72)))"),34.0)</f>
        <v>34</v>
      </c>
      <c r="AD72" s="133">
        <f t="shared" si="6"/>
        <v>0</v>
      </c>
      <c r="AE72" s="134">
        <f t="shared" si="7"/>
        <v>1</v>
      </c>
      <c r="AF72" s="128" t="str">
        <f>IFERROR(__xludf.DUMMYFUNCTION("iferror(join("","",index(sort(filter($F73:$F$398,$O73:$O$398&gt;$O72),2,false),0,1)))"),"UNLV,Illinois,San José State,Minnesota,Nebraska,Colorado State,Syracuse,Duke,Kansas,Bowling Green,Navy,Arkansas State,Texas A&amp;M,California,Arizona,Kentucky,South Carolina,Hawaii,Iowa State,BYU,Auburn,Texas State,Rutgers,Missouri,Boston College,South Flori"&amp;"da,Northwestern,Old Dominion,Rice,Mississippi State,Georgia Tech,Florida,Virginia Tech,West Virginia")</f>
        <v>UNLV,Illinois,San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72" s="132">
        <f>IFERROR(__xludf.DUMMYFUNCTION("iferror($O72-max(filter($O72:$O$397,$E72:$E$397=$E$2)))"),-6.0)</f>
        <v>-6</v>
      </c>
      <c r="AH72" s="131">
        <f t="shared" si="8"/>
        <v>0</v>
      </c>
      <c r="AI72" s="131">
        <f>IFERROR(__xludf.DUMMYFUNCTION("iferror(COUNT(filter($O73:$O$397,$O73:$O$397&gt;$O72,$E72:$E$397=$E$2)))"),0.0)</f>
        <v>0</v>
      </c>
      <c r="AJ72" s="133">
        <f t="shared" si="9"/>
        <v>0</v>
      </c>
      <c r="AK72" s="134">
        <f>IFERROR(__xludf.DUMMYFUNCTION("iferror($O72-min(filter($O72:$O$397,$E72:$E$397=$E$2)))"),2.0)</f>
        <v>2</v>
      </c>
      <c r="AL72" s="128" t="str">
        <f>IFERROR(__xludf.DUMMYFUNCTION("iferror(join("","",index(sort(filter($F73:$F$397,$O73:$O$397&gt;$O72,$E73:$E$397=$E$2),2,false),0,1)))"),"Texas A&amp;M,Kentucky,South Carolina,Auburn,Missouri,Mississippi State,Florida")</f>
        <v>Texas A&amp;M,Kentucky,South Carolina,Auburn,Missouri,Mississippi State,Florida</v>
      </c>
      <c r="AM72" s="128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"""")"),"Big Ten,CUSA,MAC,MWC,Pac12")</f>
        <v>Big Ten,CUSA,MAC,MWC,Pac12</v>
      </c>
      <c r="AN72" s="132">
        <f>IFERROR(__xludf.DUMMYFUNCTION("iferror($O72-max(filter($O72:$O$397,arrayformula(isnumber(FIND($E72:$E$397,AM72))))))"),-5.0)</f>
        <v>-5</v>
      </c>
      <c r="AO72" s="131">
        <f t="array" ref="AO72">countifs($O$2:$O71,"&lt;"&amp;$O72,isnumber(FIND($E$2:$E71,AM72)),TRUE)</f>
        <v>3</v>
      </c>
      <c r="AP72" s="131">
        <f>IFERROR(__xludf.DUMMYFUNCTION("iferror(COUNT(filter($O73:$O$397,$O73:$O$397&gt;$O72,arrayformula(isnumber(FIND($E73:$E$397,AM72))))))"),12.0)</f>
        <v>12</v>
      </c>
      <c r="AQ72" s="133">
        <f t="shared" si="10"/>
        <v>0</v>
      </c>
      <c r="AR72" s="134">
        <f>IFERROR(__xludf.DUMMYFUNCTION("$O72-min(filter($O72:$O$397,arrayformula(isnumber(FIND($E72:$E$397,AM72)))))"),3.0)</f>
        <v>3</v>
      </c>
      <c r="AS72" s="128" t="str">
        <f>IFERROR(__xludf.DUMMYFUNCTION("iferror(join("","",index(sort(filter($F73:$F$397,$O73:$O$397&gt;$O72,arrayformula(isnumber(FIND($E73:$E$397,AM72)))),2,false),0,1)))"),"UNLV,Illinois,San José State,Minnesota,Nebraska,Colorado State,Bowling Green,California,Arizona,Hawaii,Rutgers,Northwestern")</f>
        <v>UNLV,Illinois,San José State,Minnesota,Nebraska,Colorado State,Bowling Green,California,Arizona,Hawaii,Rutgers,Northwestern</v>
      </c>
    </row>
    <row r="73">
      <c r="A73" s="23">
        <v>72.0</v>
      </c>
      <c r="B73" s="23">
        <v>6.0</v>
      </c>
      <c r="C73" s="23">
        <v>7.0</v>
      </c>
      <c r="D73" s="135" t="s">
        <v>57</v>
      </c>
      <c r="E73" s="136" t="str">
        <f>if(F73&lt;&gt;"",VLOOKUP(F73,offset('Teams-Conference'!A:B,0,(counta('Draft Order'!B$2:B134)-10)*2),2,0),"")</f>
        <v>MWC</v>
      </c>
      <c r="F73" s="140" t="s">
        <v>202</v>
      </c>
      <c r="G73" s="138" t="str">
        <f t="shared" si="1"/>
        <v/>
      </c>
      <c r="H73" s="127">
        <f t="shared" si="2"/>
        <v>2</v>
      </c>
      <c r="I73" s="127">
        <f t="shared" si="3"/>
        <v>3</v>
      </c>
      <c r="J73" s="127">
        <f t="shared" si="11"/>
        <v>1</v>
      </c>
      <c r="K73" s="127">
        <f t="shared" ref="K73:K77" si="20">countif(E54:E73,E74)</f>
        <v>4</v>
      </c>
      <c r="L73" s="127">
        <v>9.0</v>
      </c>
      <c r="M73" s="127">
        <f>IFERROR(__xludf.DUMMYFUNCTION("counta(iferror(filter(L$2:L72,E$2:E72=E73,L$2:L72&lt;L73)))"),6.0)</f>
        <v>6</v>
      </c>
      <c r="N73" s="127">
        <f>IFERROR(__xludf.DUMMYFUNCTION("counta(iferror(filter(L74:L$131,E74:E$131=E73,L74:L$136&gt;L73)))"),0.0)</f>
        <v>0</v>
      </c>
      <c r="O73" s="129">
        <f t="array" ref="O73:Z73">XLOOKUP(F73,'Current Week'!C:C,'Current Week'!D:O)</f>
        <v>9</v>
      </c>
      <c r="P73" s="127">
        <v>3.0</v>
      </c>
      <c r="Q73" s="128" t="s">
        <v>110</v>
      </c>
      <c r="R73" s="130">
        <v>45262.625</v>
      </c>
      <c r="S73" s="128" t="s">
        <v>59</v>
      </c>
      <c r="T73" s="128" t="s">
        <v>92</v>
      </c>
      <c r="U73" s="128">
        <v>3.5</v>
      </c>
      <c r="V73" s="131">
        <v>2.5</v>
      </c>
      <c r="W73" s="128">
        <v>-137.0</v>
      </c>
      <c r="X73" s="131" t="s">
        <v>203</v>
      </c>
      <c r="Y73" s="131">
        <v>426.0</v>
      </c>
      <c r="Z73" s="131">
        <v>307.0</v>
      </c>
      <c r="AA73" s="132">
        <f t="shared" si="4"/>
        <v>-1</v>
      </c>
      <c r="AB73" s="131">
        <f t="shared" si="5"/>
        <v>44</v>
      </c>
      <c r="AC73" s="131">
        <f>IFERROR(__xludf.DUMMYFUNCTION("iferror(COUNT(filter($O74:$O$397,$O74:$O$397&gt;$O73)))"),1.0)</f>
        <v>1</v>
      </c>
      <c r="AD73" s="133">
        <f t="shared" si="6"/>
        <v>0</v>
      </c>
      <c r="AE73" s="134">
        <f t="shared" si="7"/>
        <v>6</v>
      </c>
      <c r="AF73" s="128" t="str">
        <f>IFERROR(__xludf.DUMMYFUNCTION("iferror(join("","",index(sort(filter($F74:$F$398,$O74:$O$398&gt;$O73),2,false),0,1)))"),"Missouri")</f>
        <v>Missouri</v>
      </c>
      <c r="AG73" s="132">
        <f>IFERROR(__xludf.DUMMYFUNCTION("iferror($O73-max(filter($O73:$O$397,$E73:$E$397=$E$2)))"),-1.0)</f>
        <v>-1</v>
      </c>
      <c r="AH73" s="131">
        <f t="shared" si="8"/>
        <v>1</v>
      </c>
      <c r="AI73" s="131">
        <f>IFERROR(__xludf.DUMMYFUNCTION("iferror(COUNT(filter($O74:$O$397,$O74:$O$397&gt;$O73,$E73:$E$397=$E$2)))"),0.0)</f>
        <v>0</v>
      </c>
      <c r="AJ73" s="133">
        <f t="shared" si="9"/>
        <v>0</v>
      </c>
      <c r="AK73" s="134">
        <f>IFERROR(__xludf.DUMMYFUNCTION("iferror($O73-min(filter($O73:$O$397,$E73:$E$397=$E$2)))"),7.0)</f>
        <v>7</v>
      </c>
      <c r="AL73" s="128" t="str">
        <f>IFERROR(__xludf.DUMMYFUNCTION("iferror(join("","",index(sort(filter($F74:$F$397,$O74:$O$397&gt;$O73,$E74:$E$397=$E$2),2,false),0,1)))"),"Missouri")</f>
        <v>Missouri</v>
      </c>
      <c r="AM73" s="128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"""")"),"AAC,ACC,Big 12,,MWC,SEC")</f>
        <v>AAC,ACC,Big 12,,MWC,SEC</v>
      </c>
      <c r="AN73" s="132">
        <f>IFERROR(__xludf.DUMMYFUNCTION("iferror($O73-max(filter($O73:$O$397,arrayformula(isnumber(FIND($E73:$E$397,AM73))))))"),-1.0)</f>
        <v>-1</v>
      </c>
      <c r="AO73" s="131">
        <f t="array" ref="AO73">countifs($O$2:$O72,"&lt;"&amp;$O73,isnumber(FIND($E$2:$E72,AM73)),TRUE)</f>
        <v>19</v>
      </c>
      <c r="AP73" s="131">
        <f>IFERROR(__xludf.DUMMYFUNCTION("iferror(COUNT(filter($O74:$O$397,$O74:$O$397&gt;$O73,arrayformula(isnumber(FIND($E74:$E$397,AM73))))))"),1.0)</f>
        <v>1</v>
      </c>
      <c r="AQ73" s="133">
        <f t="shared" si="10"/>
        <v>0</v>
      </c>
      <c r="AR73" s="134">
        <f>IFERROR(__xludf.DUMMYFUNCTION("$O73-min(filter($O73:$O$397,arrayformula(isnumber(FIND($E73:$E$397,AM73)))))"),7.0)</f>
        <v>7</v>
      </c>
      <c r="AS73" s="128" t="str">
        <f>IFERROR(__xludf.DUMMYFUNCTION("iferror(join("","",index(sort(filter($F74:$F$397,$O74:$O$397&gt;$O73,arrayformula(isnumber(FIND($E74:$E$397,AM73)))),2,false),0,1)))"),"Missouri")</f>
        <v>Missouri</v>
      </c>
    </row>
    <row r="74">
      <c r="A74" s="23">
        <v>73.0</v>
      </c>
      <c r="B74" s="23">
        <v>6.0</v>
      </c>
      <c r="C74" s="23">
        <v>8.0</v>
      </c>
      <c r="D74" s="135" t="s">
        <v>70</v>
      </c>
      <c r="E74" s="136" t="str">
        <f>if(F74&lt;&gt;"",VLOOKUP(F74,offset('Teams-Conference'!A:B,0,(counta('Draft Order'!B$2:B134)-10)*2),2,0),"")</f>
        <v>Sun Belt</v>
      </c>
      <c r="F74" s="140" t="s">
        <v>197</v>
      </c>
      <c r="G74" s="138" t="str">
        <f t="shared" si="1"/>
        <v/>
      </c>
      <c r="H74" s="127">
        <f t="shared" si="2"/>
        <v>0</v>
      </c>
      <c r="I74" s="127">
        <f t="shared" si="3"/>
        <v>1</v>
      </c>
      <c r="J74" s="127">
        <f t="shared" si="11"/>
        <v>2</v>
      </c>
      <c r="K74" s="127">
        <f t="shared" si="20"/>
        <v>2</v>
      </c>
      <c r="L74" s="127">
        <v>3.0</v>
      </c>
      <c r="M74" s="127">
        <f>IFERROR(__xludf.DUMMYFUNCTION("counta(iferror(filter(L$2:L73,E$2:E73=E74,L$2:L73&lt;L74)))"),0.0)</f>
        <v>0</v>
      </c>
      <c r="N74" s="127">
        <f>IFERROR(__xludf.DUMMYFUNCTION("counta(iferror(filter(L75:L$131,E75:E$131=E74,L75:L$136&gt;L74)))"),0.0)</f>
        <v>0</v>
      </c>
      <c r="O74" s="129">
        <f t="array" ref="O74:Z74">XLOOKUP(F74,'Current Week'!C:C,'Current Week'!D:O)</f>
        <v>3</v>
      </c>
      <c r="P74" s="127">
        <v>9.0</v>
      </c>
      <c r="Q74" s="128"/>
      <c r="R74" s="128"/>
      <c r="S74" s="128"/>
      <c r="T74" s="128"/>
      <c r="U74" s="128"/>
      <c r="V74" s="131"/>
      <c r="W74" s="128"/>
      <c r="X74" s="131"/>
      <c r="Y74" s="131">
        <v>278.0</v>
      </c>
      <c r="Z74" s="131">
        <v>429.0</v>
      </c>
      <c r="AA74" s="132">
        <f t="shared" si="4"/>
        <v>-7</v>
      </c>
      <c r="AB74" s="131">
        <f t="shared" si="5"/>
        <v>0</v>
      </c>
      <c r="AC74" s="131">
        <f>IFERROR(__xludf.DUMMYFUNCTION("iferror(COUNT(filter($O75:$O$397,$O75:$O$397&gt;$O74)))"),44.0)</f>
        <v>44</v>
      </c>
      <c r="AD74" s="133">
        <f t="shared" si="6"/>
        <v>0</v>
      </c>
      <c r="AE74" s="134">
        <f t="shared" si="7"/>
        <v>0</v>
      </c>
      <c r="AF74" s="128" t="str">
        <f>IFERROR(__xludf.DUMMYFUNCTION("iferror(join("","",index(sort(filter($F75:$F$398,$O75:$O$398&gt;$O74),2,false),0,1)))"),"Illinois,Ball State,San José State,Minnesota,Nebraska,Colorado State,Syracuse,Michigan State,Duke,Kansas,Wake Forest,Bowling Green,Navy,Arkansas State,Texas A&amp;M,UAB,Western Michigan,California,Arizona,Arkansas,Kentucky,South Carolina,Hawaii,Iowa State,BYU"&amp;",New Mexico,Auburn,Texas State,Rutgers,Tulsa,Florida Intl,Missouri,Boston College,South Florida,Northwestern,Colorado,Old Dominion,Rice,Mississippi State,Georgia Tech,Houston,Florida,Virginia Tech,West Virginia")</f>
        <v>Illinois,Ball State,San José State,Minnesota,Nebraska,Colorado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74" s="132">
        <f>IFERROR(__xludf.DUMMYFUNCTION("iferror($O74-max(filter($O74:$O$397,$E74:$E$397=$E$2)))"),-7.0)</f>
        <v>-7</v>
      </c>
      <c r="AH74" s="131">
        <f t="shared" si="8"/>
        <v>0</v>
      </c>
      <c r="AI74" s="131">
        <f>IFERROR(__xludf.DUMMYFUNCTION("iferror(COUNT(filter($O75:$O$397,$O75:$O$397&gt;$O74,$E74:$E$397=$E$2)))"),0.0)</f>
        <v>0</v>
      </c>
      <c r="AJ74" s="133">
        <f t="shared" si="9"/>
        <v>0</v>
      </c>
      <c r="AK74" s="134">
        <f>IFERROR(__xludf.DUMMYFUNCTION("iferror($O74-min(filter($O74:$O$397,$E74:$E$397=$E$2)))"),1.0)</f>
        <v>1</v>
      </c>
      <c r="AL74" s="128" t="str">
        <f>IFERROR(__xludf.DUMMYFUNCTION("iferror(join("","",index(sort(filter($F75:$F$397,$O75:$O$397&gt;$O74,$E75:$E$397=$E$2),2,false),0,1)))"),"Texas A&amp;M,Arkansas,Kentucky,South Carolina,Auburn,Missouri,Mississippi State,Florida")</f>
        <v>Texas A&amp;M,Arkansas,Kentucky,South Carolina,Auburn,Missouri,Mississippi State,Florida</v>
      </c>
      <c r="AM74" s="128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"""")"),"Big 12,Big Ten,Pac12,SEC,Sun Belt")</f>
        <v>Big 12,Big Ten,Pac12,SEC,Sun Belt</v>
      </c>
      <c r="AN74" s="132">
        <f>IFERROR(__xludf.DUMMYFUNCTION("iferror($O74-max(filter($O74:$O$397,arrayformula(isnumber(FIND($E74:$E$397,AM74))))))"),-7.0)</f>
        <v>-7</v>
      </c>
      <c r="AO74" s="131">
        <f t="array" ref="AO74">countifs($O$2:$O73,"&lt;"&amp;$O74,isnumber(FIND($E$2:$E73,AM74)),TRUE)</f>
        <v>0</v>
      </c>
      <c r="AP74" s="131">
        <f>IFERROR(__xludf.DUMMYFUNCTION("iferror(COUNT(filter($O75:$O$397,$O75:$O$397&gt;$O74,arrayformula(isnumber(FIND($E75:$E$397,AM74))))))"),24.0)</f>
        <v>24</v>
      </c>
      <c r="AQ74" s="133">
        <f t="shared" si="10"/>
        <v>0</v>
      </c>
      <c r="AR74" s="134">
        <f>IFERROR(__xludf.DUMMYFUNCTION("$O74-min(filter($O74:$O$397,arrayformula(isnumber(FIND($E74:$E$397,AM74)))))"),1.0)</f>
        <v>1</v>
      </c>
      <c r="AS74" s="128" t="str">
        <f>IFERROR(__xludf.DUMMYFUNCTION("iferror(join("","",index(sort(filter($F75:$F$397,$O75:$O$397&gt;$O74,arrayformula(isnumber(FIND($E75:$E$397,AM74)))),2,false),0,1)))"),"Illinois,Minnesota,Nebraska,Michigan State,Kansas,Arkansas State,Texas A&amp;M,California,Arizona,Arkansas,Kentucky,South Carolina,Iowa State,BYU,Auburn,Texas State,Missouri,Northwestern,Colorado,Old Dominion,Mississippi State,Houston,Florida,West Virginia")</f>
        <v>Illinois,Minnesota,Nebraska,Michigan State,Kansas,Arkansas State,Texas A&amp;M,California,Arizona,Arkansas,Kentucky,South Carolina,Iowa State,BYU,Auburn,Texas State,Missouri,Northwestern,Colorado,Old Dominion,Mississippi State,Houston,Florida,West Virginia</v>
      </c>
    </row>
    <row r="75">
      <c r="A75" s="23">
        <v>74.0</v>
      </c>
      <c r="B75" s="23">
        <v>6.0</v>
      </c>
      <c r="C75" s="23">
        <v>9.0</v>
      </c>
      <c r="D75" s="135" t="s">
        <v>46</v>
      </c>
      <c r="E75" s="136" t="str">
        <f>if(F75&lt;&gt;"",VLOOKUP(F75,offset('Teams-Conference'!A:B,0,(counta('Draft Order'!B$2:B134)-10)*2),2,0),"")</f>
        <v>Big Ten</v>
      </c>
      <c r="F75" s="140" t="s">
        <v>186</v>
      </c>
      <c r="G75" s="138" t="str">
        <f t="shared" si="1"/>
        <v/>
      </c>
      <c r="H75" s="127">
        <f t="shared" si="2"/>
        <v>3</v>
      </c>
      <c r="I75" s="127">
        <f t="shared" si="3"/>
        <v>3</v>
      </c>
      <c r="J75" s="127">
        <f t="shared" si="11"/>
        <v>1</v>
      </c>
      <c r="K75" s="127">
        <f t="shared" si="20"/>
        <v>1</v>
      </c>
      <c r="L75" s="127">
        <v>5.0</v>
      </c>
      <c r="M75" s="127">
        <f>IFERROR(__xludf.DUMMYFUNCTION("counta(iferror(filter(L$2:L74,E$2:E74=E75,L$2:L74&lt;L75)))"),1.0)</f>
        <v>1</v>
      </c>
      <c r="N75" s="127">
        <f>IFERROR(__xludf.DUMMYFUNCTION("counta(iferror(filter(L76:L$131,E76:E$131=E75,L76:L$136&gt;L75)))"),0.0)</f>
        <v>0</v>
      </c>
      <c r="O75" s="129">
        <f t="array" ref="O75:Z75">XLOOKUP(F75,'Current Week'!C:C,'Current Week'!D:O)</f>
        <v>5</v>
      </c>
      <c r="P75" s="127">
        <v>7.0</v>
      </c>
      <c r="Q75" s="128"/>
      <c r="R75" s="128"/>
      <c r="S75" s="128"/>
      <c r="T75" s="128"/>
      <c r="U75" s="128"/>
      <c r="V75" s="131"/>
      <c r="W75" s="128"/>
      <c r="X75" s="131"/>
      <c r="Y75" s="131">
        <v>294.0</v>
      </c>
      <c r="Z75" s="131">
        <v>353.0</v>
      </c>
      <c r="AA75" s="132">
        <f t="shared" si="4"/>
        <v>-5</v>
      </c>
      <c r="AB75" s="131">
        <f t="shared" si="5"/>
        <v>10</v>
      </c>
      <c r="AC75" s="131">
        <f>IFERROR(__xludf.DUMMYFUNCTION("iferror(COUNT(filter($O76:$O$397,$O76:$O$397&gt;$O75)))"),23.0)</f>
        <v>23</v>
      </c>
      <c r="AD75" s="133">
        <f t="shared" si="6"/>
        <v>0</v>
      </c>
      <c r="AE75" s="134">
        <f t="shared" si="7"/>
        <v>2</v>
      </c>
      <c r="AF75" s="128" t="str">
        <f>IFERROR(__xludf.DUMMYFUNCTION("iferror(join("","",index(sort(filter($F76:$F$398,$O76:$O$398&gt;$O75),2,false),0,1)))"),"San José State,Syracuse,Duke,Kansas,Bowling Green,Arkansas State,Texas A&amp;M,California,Arizona,Kentucky,Iowa State,Auburn,Texas State,Rutgers,Missouri,Boston College,South Florida,Northwestern,Old Dominion,Rice,Georgia Tech,Virginia Tech,West Virginia")</f>
        <v>San José State,Syracuse,Duke,Kansas,Bowling Green,Arkansas State,Texas A&amp;M,California,Arizona,Kentucky,Iowa State,Auburn,Texas State,Rutgers,Missouri,Boston College,South Florida,Northwestern,Old Dominion,Rice,Georgia Tech,Virginia Tech,West Virginia</v>
      </c>
      <c r="AG75" s="132">
        <f>IFERROR(__xludf.DUMMYFUNCTION("iferror($O75-max(filter($O75:$O$397,$E75:$E$397=$E$2)))"),-5.0)</f>
        <v>-5</v>
      </c>
      <c r="AH75" s="131">
        <f t="shared" si="8"/>
        <v>0</v>
      </c>
      <c r="AI75" s="131">
        <f>IFERROR(__xludf.DUMMYFUNCTION("iferror(COUNT(filter($O76:$O$397,$O76:$O$397&gt;$O75,$E75:$E$397=$E$2)))"),0.0)</f>
        <v>0</v>
      </c>
      <c r="AJ75" s="133">
        <f t="shared" si="9"/>
        <v>0</v>
      </c>
      <c r="AK75" s="134">
        <f>IFERROR(__xludf.DUMMYFUNCTION("iferror($O75-min(filter($O75:$O$397,$E75:$E$397=$E$2)))"),3.0)</f>
        <v>3</v>
      </c>
      <c r="AL75" s="128" t="str">
        <f>IFERROR(__xludf.DUMMYFUNCTION("iferror(join("","",index(sort(filter($F76:$F$397,$O76:$O$397&gt;$O75,$E76:$E$397=$E$2),2,false),0,1)))"),"Texas A&amp;M,Kentucky,Auburn,Missouri")</f>
        <v>Texas A&amp;M,Kentucky,Auburn,Missouri</v>
      </c>
      <c r="AM75" s="128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"""")"),"ACC,Big Ten,CUSA,MAC,SEC")</f>
        <v>ACC,Big Ten,CUSA,MAC,SEC</v>
      </c>
      <c r="AN75" s="132">
        <f>IFERROR(__xludf.DUMMYFUNCTION("iferror($O75-max(filter($O75:$O$397,arrayformula(isnumber(FIND($E75:$E$397,AM75))))))"),-5.0)</f>
        <v>-5</v>
      </c>
      <c r="AO75" s="131">
        <f t="array" ref="AO75">countifs($O$2:$O74,"&lt;"&amp;$O75,isnumber(FIND($E$2:$E74,AM75)),TRUE)</f>
        <v>6</v>
      </c>
      <c r="AP75" s="131">
        <f>IFERROR(__xludf.DUMMYFUNCTION("iferror(COUNT(filter($O76:$O$397,$O76:$O$397&gt;$O75,arrayformula(isnumber(FIND($E76:$E$397,AM75))))))"),12.0)</f>
        <v>12</v>
      </c>
      <c r="AQ75" s="133">
        <f t="shared" si="10"/>
        <v>0</v>
      </c>
      <c r="AR75" s="134">
        <f>IFERROR(__xludf.DUMMYFUNCTION("$O75-min(filter($O75:$O$397,arrayformula(isnumber(FIND($E75:$E$397,AM75)))))"),4.0)</f>
        <v>4</v>
      </c>
      <c r="AS75" s="128" t="str">
        <f>IFERROR(__xludf.DUMMYFUNCTION("iferror(join("","",index(sort(filter($F76:$F$397,$O76:$O$397&gt;$O75,arrayformula(isnumber(FIND($E76:$E$397,AM75)))),2,false),0,1)))"),"Syracuse,Duke,Bowling Green,Texas A&amp;M,Kentucky,Auburn,Rutgers,Missouri,Boston College,Northwestern,Georgia Tech,Virginia Tech")</f>
        <v>Syracuse,Duke,Bowling Green,Texas A&amp;M,Kentucky,Auburn,Rutgers,Missouri,Boston College,Northwestern,Georgia Tech,Virginia Tech</v>
      </c>
    </row>
    <row r="76">
      <c r="A76" s="23">
        <v>75.0</v>
      </c>
      <c r="B76" s="23">
        <v>6.0</v>
      </c>
      <c r="C76" s="23">
        <v>10.0</v>
      </c>
      <c r="D76" s="135" t="s">
        <v>60</v>
      </c>
      <c r="E76" s="136" t="str">
        <f>if(F76&lt;&gt;"",VLOOKUP(F76,offset('Teams-Conference'!A:B,0,(counta('Draft Order'!B$2:B134)-10)*2),2,0),"")</f>
        <v>MAC</v>
      </c>
      <c r="F76" s="140" t="s">
        <v>177</v>
      </c>
      <c r="G76" s="138" t="str">
        <f t="shared" si="1"/>
        <v/>
      </c>
      <c r="H76" s="127">
        <f t="shared" si="2"/>
        <v>0</v>
      </c>
      <c r="I76" s="127">
        <f t="shared" si="3"/>
        <v>2</v>
      </c>
      <c r="J76" s="127">
        <f t="shared" si="11"/>
        <v>0</v>
      </c>
      <c r="K76" s="127">
        <f t="shared" si="20"/>
        <v>3</v>
      </c>
      <c r="L76" s="127">
        <v>4.0</v>
      </c>
      <c r="M76" s="127">
        <f>IFERROR(__xludf.DUMMYFUNCTION("counta(iferror(filter(L$2:L75,E$2:E75=E76,L$2:L75&lt;L76)))"),1.0)</f>
        <v>1</v>
      </c>
      <c r="N76" s="127">
        <f>IFERROR(__xludf.DUMMYFUNCTION("counta(iferror(filter(L77:L$131,E77:E$131=E76,L77:L$136&gt;L76)))"),0.0)</f>
        <v>0</v>
      </c>
      <c r="O76" s="129">
        <f t="array" ref="O76:Z76">XLOOKUP(F76,'Current Week'!C:C,'Current Week'!D:O)</f>
        <v>4</v>
      </c>
      <c r="P76" s="127">
        <v>8.0</v>
      </c>
      <c r="Q76" s="128"/>
      <c r="R76" s="128"/>
      <c r="S76" s="128"/>
      <c r="T76" s="128"/>
      <c r="U76" s="128"/>
      <c r="V76" s="131"/>
      <c r="W76" s="128"/>
      <c r="X76" s="131"/>
      <c r="Y76" s="131">
        <v>219.0</v>
      </c>
      <c r="Z76" s="131">
        <v>293.0</v>
      </c>
      <c r="AA76" s="132">
        <f t="shared" si="4"/>
        <v>-6</v>
      </c>
      <c r="AB76" s="131">
        <f t="shared" si="5"/>
        <v>6</v>
      </c>
      <c r="AC76" s="131">
        <f>IFERROR(__xludf.DUMMYFUNCTION("iferror(COUNT(filter($O77:$O$397,$O77:$O$397&gt;$O76)))"),32.0)</f>
        <v>32</v>
      </c>
      <c r="AD76" s="133">
        <f t="shared" si="6"/>
        <v>0</v>
      </c>
      <c r="AE76" s="134">
        <f t="shared" si="7"/>
        <v>1</v>
      </c>
      <c r="AF76" s="128" t="str">
        <f>IFERROR(__xludf.DUMMYFUNCTION("iferror(join("","",index(sort(filter($F77:$F$398,$O77:$O$398&gt;$O76),2,false),0,1)))"),"San José State,Minnesota,Nebraska,Colorado State,Syracuse,Duke,Kansas,Bowling Green,Navy,Arkansas State,Texas A&amp;M,California,Arizona,Kentucky,South Carolina,Hawaii,Iowa State,BYU,Auburn,Texas State,Rutgers,Missouri,Boston College,South Florida,Northwester"&amp;"n,Old Dominion,Rice,Mississippi State,Georgia Tech,Florida,Virginia Tech,West Virginia")</f>
        <v>San José State,Minnesota,Nebraska,Colorado State,Syracuse,Duke,Kansas,Bowling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76" s="132">
        <f>IFERROR(__xludf.DUMMYFUNCTION("iferror($O76-max(filter($O76:$O$397,$E76:$E$397=$E$2)))"),-6.0)</f>
        <v>-6</v>
      </c>
      <c r="AH76" s="131">
        <f t="shared" si="8"/>
        <v>0</v>
      </c>
      <c r="AI76" s="131">
        <f>IFERROR(__xludf.DUMMYFUNCTION("iferror(COUNT(filter($O77:$O$397,$O77:$O$397&gt;$O76,$E76:$E$397=$E$2)))"),0.0)</f>
        <v>0</v>
      </c>
      <c r="AJ76" s="133">
        <f t="shared" si="9"/>
        <v>0</v>
      </c>
      <c r="AK76" s="134">
        <f>IFERROR(__xludf.DUMMYFUNCTION("iferror($O76-min(filter($O76:$O$397,$E76:$E$397=$E$2)))"),2.0)</f>
        <v>2</v>
      </c>
      <c r="AL76" s="128" t="str">
        <f>IFERROR(__xludf.DUMMYFUNCTION("iferror(join("","",index(sort(filter($F77:$F$397,$O77:$O$397&gt;$O76,$E77:$E$397=$E$2),2,false),0,1)))"),"Texas A&amp;M,Kentucky,South Carolina,Auburn,Missouri,Mississippi State,Florida")</f>
        <v>Texas A&amp;M,Kentucky,South Carolina,Auburn,Missouri,Mississippi State,Florida</v>
      </c>
      <c r="AM76" s="128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"""")"),"Big Ten,CUSA,MAC,MWC,Pac12")</f>
        <v>Big Ten,CUSA,MAC,MWC,Pac12</v>
      </c>
      <c r="AN76" s="132">
        <f>IFERROR(__xludf.DUMMYFUNCTION("iferror($O76-max(filter($O76:$O$397,arrayformula(isnumber(FIND($E76:$E$397,AM76))))))"),-5.0)</f>
        <v>-5</v>
      </c>
      <c r="AO76" s="131">
        <f t="array" ref="AO76">countifs($O$2:$O75,"&lt;"&amp;$O76,isnumber(FIND($E$2:$E75,AM76)),TRUE)</f>
        <v>3</v>
      </c>
      <c r="AP76" s="131">
        <f>IFERROR(__xludf.DUMMYFUNCTION("iferror(COUNT(filter($O77:$O$397,$O77:$O$397&gt;$O76,arrayformula(isnumber(FIND($E77:$E$397,AM76))))))"),10.0)</f>
        <v>10</v>
      </c>
      <c r="AQ76" s="133">
        <f t="shared" si="10"/>
        <v>0</v>
      </c>
      <c r="AR76" s="134">
        <f>IFERROR(__xludf.DUMMYFUNCTION("$O76-min(filter($O76:$O$397,arrayformula(isnumber(FIND($E76:$E$397,AM76)))))"),3.0)</f>
        <v>3</v>
      </c>
      <c r="AS76" s="128" t="str">
        <f>IFERROR(__xludf.DUMMYFUNCTION("iferror(join("","",index(sort(filter($F77:$F$397,$O77:$O$397&gt;$O76,arrayformula(isnumber(FIND($E77:$E$397,AM76)))),2,false),0,1)))"),"San José State,Minnesota,Nebraska,Colorado State,Bowling Green,California,Arizona,Hawaii,Rutgers,Northwestern")</f>
        <v>San José State,Minnesota,Nebraska,Colorado State,Bowling Green,California,Arizona,Hawaii,Rutgers,Northwestern</v>
      </c>
    </row>
    <row r="77">
      <c r="A77" s="23">
        <v>76.0</v>
      </c>
      <c r="B77" s="23">
        <v>6.0</v>
      </c>
      <c r="C77" s="23">
        <v>11.0</v>
      </c>
      <c r="D77" s="135" t="s">
        <v>56</v>
      </c>
      <c r="E77" s="136" t="str">
        <f>if(F77&lt;&gt;"",VLOOKUP(F77,offset('Teams-Conference'!A:B,0,(counta('Draft Order'!B$2:B134)-10)*2),2,0),"")</f>
        <v>MWC</v>
      </c>
      <c r="F77" s="140" t="s">
        <v>129</v>
      </c>
      <c r="G77" s="138" t="str">
        <f t="shared" si="1"/>
        <v/>
      </c>
      <c r="H77" s="127">
        <f t="shared" si="2"/>
        <v>1</v>
      </c>
      <c r="I77" s="127">
        <f t="shared" si="3"/>
        <v>2</v>
      </c>
      <c r="J77" s="127">
        <f t="shared" si="11"/>
        <v>1</v>
      </c>
      <c r="K77" s="127">
        <f t="shared" si="20"/>
        <v>3</v>
      </c>
      <c r="L77" s="127">
        <v>7.0</v>
      </c>
      <c r="M77" s="127">
        <f>IFERROR(__xludf.DUMMYFUNCTION("counta(iferror(filter(L$2:L76,E$2:E76=E77,L$2:L76&lt;L77)))"),2.0)</f>
        <v>2</v>
      </c>
      <c r="N77" s="127">
        <f>IFERROR(__xludf.DUMMYFUNCTION("counta(iferror(filter(L78:L$131,E78:E$131=E77,L78:L$136&gt;L77)))"),0.0)</f>
        <v>0</v>
      </c>
      <c r="O77" s="129">
        <f t="array" ref="O77:Z77">XLOOKUP(F77,'Current Week'!C:C,'Current Week'!D:O)</f>
        <v>7</v>
      </c>
      <c r="P77" s="127">
        <v>5.0</v>
      </c>
      <c r="Q77" s="128"/>
      <c r="R77" s="128"/>
      <c r="S77" s="128"/>
      <c r="T77" s="128"/>
      <c r="U77" s="128"/>
      <c r="V77" s="131"/>
      <c r="W77" s="128"/>
      <c r="X77" s="131"/>
      <c r="Y77" s="131">
        <v>400.0</v>
      </c>
      <c r="Z77" s="131">
        <v>309.0</v>
      </c>
      <c r="AA77" s="132">
        <f t="shared" si="4"/>
        <v>-3</v>
      </c>
      <c r="AB77" s="131">
        <f t="shared" si="5"/>
        <v>27</v>
      </c>
      <c r="AC77" s="131">
        <f>IFERROR(__xludf.DUMMYFUNCTION("iferror(COUNT(filter($O78:$O$397,$O78:$O$397&gt;$O77)))"),4.0)</f>
        <v>4</v>
      </c>
      <c r="AD77" s="133">
        <f t="shared" si="6"/>
        <v>0</v>
      </c>
      <c r="AE77" s="134">
        <f t="shared" si="7"/>
        <v>4</v>
      </c>
      <c r="AF77" s="128" t="str">
        <f>IFERROR(__xludf.DUMMYFUNCTION("iferror(join("","",index(sort(filter($F78:$F$398,$O78:$O$398&gt;$O77),2,false),0,1)))"),"Kansas,Arizona,Missouri,West Virginia")</f>
        <v>Kansas,Arizona,Missouri,West Virginia</v>
      </c>
      <c r="AG77" s="132">
        <f>IFERROR(__xludf.DUMMYFUNCTION("iferror($O77-max(filter($O77:$O$397,$E77:$E$397=$E$2)))"),-3.0)</f>
        <v>-3</v>
      </c>
      <c r="AH77" s="131">
        <f t="shared" si="8"/>
        <v>0</v>
      </c>
      <c r="AI77" s="131">
        <f>IFERROR(__xludf.DUMMYFUNCTION("iferror(COUNT(filter($O78:$O$397,$O78:$O$397&gt;$O77,$E77:$E$397=$E$2)))"),0.0)</f>
        <v>0</v>
      </c>
      <c r="AJ77" s="133">
        <f t="shared" si="9"/>
        <v>0</v>
      </c>
      <c r="AK77" s="134">
        <f>IFERROR(__xludf.DUMMYFUNCTION("iferror($O77-min(filter($O77:$O$397,$E77:$E$397=$E$2)))"),5.0)</f>
        <v>5</v>
      </c>
      <c r="AL77" s="128" t="str">
        <f>IFERROR(__xludf.DUMMYFUNCTION("iferror(join("","",index(sort(filter($F78:$F$397,$O78:$O$397&gt;$O77,$E78:$E$397=$E$2),2,false),0,1)))"),"Missouri")</f>
        <v>Missouri</v>
      </c>
      <c r="AM77" s="128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"""")"),"ACC,Big 12,MWC,SEC,Sun Belt")</f>
        <v>ACC,Big 12,MWC,SEC,Sun Belt</v>
      </c>
      <c r="AN77" s="132">
        <f>IFERROR(__xludf.DUMMYFUNCTION("iferror($O77-max(filter($O77:$O$397,arrayformula(isnumber(FIND($E77:$E$397,AM77))))))"),-3.0)</f>
        <v>-3</v>
      </c>
      <c r="AO77" s="131">
        <f t="array" ref="AO77">countifs($O$2:$O76,"&lt;"&amp;$O77,isnumber(FIND($E$2:$E76,AM77)),TRUE)</f>
        <v>13</v>
      </c>
      <c r="AP77" s="131">
        <f>IFERROR(__xludf.DUMMYFUNCTION("iferror(COUNT(filter($O78:$O$397,$O78:$O$397&gt;$O77,arrayformula(isnumber(FIND($E78:$E$397,AM77))))))"),3.0)</f>
        <v>3</v>
      </c>
      <c r="AQ77" s="133">
        <f t="shared" si="10"/>
        <v>0</v>
      </c>
      <c r="AR77" s="134">
        <f>IFERROR(__xludf.DUMMYFUNCTION("$O77-min(filter($O77:$O$397,arrayformula(isnumber(FIND($E77:$E$397,AM77)))))"),5.0)</f>
        <v>5</v>
      </c>
      <c r="AS77" s="128" t="str">
        <f>IFERROR(__xludf.DUMMYFUNCTION("iferror(join("","",index(sort(filter($F78:$F$397,$O78:$O$397&gt;$O77,arrayformula(isnumber(FIND($E78:$E$397,AM77)))),2,false),0,1)))"),"Kansas,Missouri,West Virginia")</f>
        <v>Kansas,Missouri,West Virginia</v>
      </c>
    </row>
    <row r="78">
      <c r="A78" s="23">
        <v>77.0</v>
      </c>
      <c r="B78" s="23">
        <v>6.0</v>
      </c>
      <c r="C78" s="23">
        <v>12.0</v>
      </c>
      <c r="D78" s="135" t="s">
        <v>58</v>
      </c>
      <c r="E78" t="str">
        <f>if(F78&lt;&gt;"",VLOOKUP(F78,offset('Teams-Conference'!A:B,0,(counta('Draft Order'!B$2:B134)-10)*2),2,0),"")</f>
        <v>Big Ten</v>
      </c>
      <c r="F78" s="140" t="s">
        <v>116</v>
      </c>
      <c r="G78" s="138" t="str">
        <f t="shared" si="1"/>
        <v/>
      </c>
      <c r="H78" s="127">
        <f t="shared" si="2"/>
        <v>2</v>
      </c>
      <c r="I78" s="127">
        <f t="shared" si="3"/>
        <v>2</v>
      </c>
      <c r="J78" s="127">
        <f t="shared" si="11"/>
        <v>2</v>
      </c>
      <c r="K78" s="127">
        <f>countif(E59:E78,E80)</f>
        <v>4</v>
      </c>
      <c r="L78" s="127">
        <v>5.0</v>
      </c>
      <c r="M78" s="127">
        <f>IFERROR(__xludf.DUMMYFUNCTION("counta(iferror(filter(L$2:L77,E$2:E77=E78,L$2:L77&lt;L78)))"),1.0)</f>
        <v>1</v>
      </c>
      <c r="N78" s="127">
        <f>IFERROR(__xludf.DUMMYFUNCTION("counta(iferror(filter(L79:L$131,E79:E$131=E78,L79:L$136&gt;L78)))"),0.0)</f>
        <v>0</v>
      </c>
      <c r="O78" s="129">
        <f t="array" ref="O78:Z78">XLOOKUP(F78,'Current Week'!C:C,'Current Week'!D:O)</f>
        <v>5</v>
      </c>
      <c r="P78" s="127">
        <v>7.0</v>
      </c>
      <c r="Q78" s="128"/>
      <c r="R78" s="128"/>
      <c r="S78" s="128"/>
      <c r="T78" s="128"/>
      <c r="U78" s="128"/>
      <c r="V78" s="131"/>
      <c r="W78" s="128"/>
      <c r="X78" s="131"/>
      <c r="Y78" s="131">
        <v>242.0</v>
      </c>
      <c r="Z78" s="131">
        <v>323.0</v>
      </c>
      <c r="AA78" s="132">
        <f t="shared" si="4"/>
        <v>-5</v>
      </c>
      <c r="AB78" s="131">
        <f t="shared" si="5"/>
        <v>11</v>
      </c>
      <c r="AC78" s="131">
        <f>IFERROR(__xludf.DUMMYFUNCTION("iferror(COUNT(filter($O79:$O$397,$O79:$O$397&gt;$O78)))"),22.0)</f>
        <v>22</v>
      </c>
      <c r="AD78" s="133">
        <f t="shared" si="6"/>
        <v>0</v>
      </c>
      <c r="AE78" s="134">
        <f t="shared" si="7"/>
        <v>2</v>
      </c>
      <c r="AF78" s="128" t="str">
        <f>IFERROR(__xludf.DUMMYFUNCTION("iferror(join("","",index(sort(filter($F79:$F$398,$O79:$O$398&gt;$O78),2,false),0,1)))"),"Syracuse,Duke,Kansas,Bowling Green,Arkansas State,Texas A&amp;M,California,Arizona,Kentucky,Iowa State,Auburn,Texas State,Rutgers,Missouri,Boston College,South Florida,Northwestern,Old Dominion,Rice,Georgia Tech,Virginia Tech,West Virginia")</f>
        <v>Syracuse,Duke,Kansas,Bowling Green,Arkansas State,Texas A&amp;M,California,Arizona,Kentucky,Iowa State,Auburn,Texas State,Rutgers,Missouri,Boston College,South Florida,Northwestern,Old Dominion,Rice,Georgia Tech,Virginia Tech,West Virginia</v>
      </c>
      <c r="AG78" s="132">
        <f>IFERROR(__xludf.DUMMYFUNCTION("iferror($O78-max(filter($O78:$O$397,$E78:$E$397=$E$2)))"),-5.0)</f>
        <v>-5</v>
      </c>
      <c r="AH78" s="131">
        <f t="shared" si="8"/>
        <v>0</v>
      </c>
      <c r="AI78" s="131">
        <f>IFERROR(__xludf.DUMMYFUNCTION("iferror(COUNT(filter($O79:$O$397,$O79:$O$397&gt;$O78,$E78:$E$397=$E$2)))"),0.0)</f>
        <v>0</v>
      </c>
      <c r="AJ78" s="133">
        <f t="shared" si="9"/>
        <v>0</v>
      </c>
      <c r="AK78" s="134">
        <f>IFERROR(__xludf.DUMMYFUNCTION("iferror($O78-min(filter($O78:$O$397,$E78:$E$397=$E$2)))"),3.0)</f>
        <v>3</v>
      </c>
      <c r="AL78" s="128" t="str">
        <f>IFERROR(__xludf.DUMMYFUNCTION("iferror(join("","",index(sort(filter($F79:$F$397,$O79:$O$397&gt;$O78,$E79:$E$397=$E$2),2,false),0,1)))"),"Texas A&amp;M,Kentucky,Auburn,Missouri")</f>
        <v>Texas A&amp;M,Kentucky,Auburn,Missouri</v>
      </c>
      <c r="AM78" s="128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"""")"),"ACC,Big 12,Big Ten,MWC,SEC")</f>
        <v>ACC,Big 12,Big Ten,MWC,SEC</v>
      </c>
      <c r="AN78" s="132">
        <f>IFERROR(__xludf.DUMMYFUNCTION("iferror($O78-max(filter($O78:$O$397,arrayformula(isnumber(FIND($E78:$E$397,AM78))))))"),-5.0)</f>
        <v>-5</v>
      </c>
      <c r="AO78" s="131">
        <f t="array" ref="AO78">countifs($O$2:$O77,"&lt;"&amp;$O78,isnumber(FIND($E$2:$E77,AM78)),TRUE)</f>
        <v>4</v>
      </c>
      <c r="AP78" s="131">
        <f>IFERROR(__xludf.DUMMYFUNCTION("iferror(COUNT(filter($O79:$O$397,$O79:$O$397&gt;$O78,arrayformula(isnumber(FIND($E79:$E$397,AM78))))))"),13.0)</f>
        <v>13</v>
      </c>
      <c r="AQ78" s="133">
        <f t="shared" si="10"/>
        <v>0</v>
      </c>
      <c r="AR78" s="134">
        <f>IFERROR(__xludf.DUMMYFUNCTION("$O78-min(filter($O78:$O$397,arrayformula(isnumber(FIND($E78:$E$397,AM78)))))"),3.0)</f>
        <v>3</v>
      </c>
      <c r="AS78" s="128" t="str">
        <f>IFERROR(__xludf.DUMMYFUNCTION("iferror(join("","",index(sort(filter($F79:$F$397,$O79:$O$397&gt;$O78,arrayformula(isnumber(FIND($E79:$E$397,AM78)))),2,false),0,1)))"),"Syracuse,Duke,Kansas,Texas A&amp;M,Kentucky,Iowa State,Auburn,Missouri,Boston College,Northwestern,Georgia Tech,Virginia Tech,West Virginia")</f>
        <v>Syracuse,Duke,Kansas,Texas A&amp;M,Kentucky,Iowa State,Auburn,Missouri,Boston College,Northwestern,Georgia Tech,Virginia Tech,West Virginia</v>
      </c>
    </row>
    <row r="79">
      <c r="A79" s="141">
        <v>78.0</v>
      </c>
      <c r="B79" s="141">
        <v>6.0</v>
      </c>
      <c r="C79" s="141">
        <v>13.0</v>
      </c>
      <c r="D79" s="142" t="s">
        <v>35</v>
      </c>
      <c r="E79" s="143" t="str">
        <f>if(F79&lt;&gt;"",VLOOKUP(F79,offset('Teams-Conference'!A:B,0,(counta('Draft Order'!B$2:B134)-10)*2),2,0),"")</f>
        <v>AAC</v>
      </c>
      <c r="F79" s="144" t="s">
        <v>81</v>
      </c>
      <c r="G79" s="145" t="str">
        <f t="shared" si="1"/>
        <v/>
      </c>
      <c r="H79" s="127">
        <f t="shared" si="2"/>
        <v>2</v>
      </c>
      <c r="I79" s="127">
        <f t="shared" si="3"/>
        <v>3</v>
      </c>
      <c r="J79" s="127">
        <f t="shared" si="11"/>
        <v>0</v>
      </c>
      <c r="K79" s="128"/>
      <c r="L79" s="127">
        <v>3.0</v>
      </c>
      <c r="M79" s="127">
        <f>IFERROR(__xludf.DUMMYFUNCTION("counta(iferror(filter(L$2:L78,E$2:E78=E79,L$2:L78&lt;L79)))"),0.0)</f>
        <v>0</v>
      </c>
      <c r="N79" s="127">
        <f>IFERROR(__xludf.DUMMYFUNCTION("counta(iferror(filter(L80:L$131,E80:E$131=E79,L80:L$136&gt;L79)))"),0.0)</f>
        <v>0</v>
      </c>
      <c r="O79" s="129">
        <f t="array" ref="O79:Z79">XLOOKUP(F79,'Current Week'!C:C,'Current Week'!D:O)</f>
        <v>3</v>
      </c>
      <c r="P79" s="127">
        <v>9.0</v>
      </c>
      <c r="Q79" s="128"/>
      <c r="R79" s="128"/>
      <c r="S79" s="128"/>
      <c r="T79" s="128"/>
      <c r="U79" s="128"/>
      <c r="V79" s="131"/>
      <c r="W79" s="128"/>
      <c r="X79" s="131"/>
      <c r="Y79" s="131">
        <v>253.0</v>
      </c>
      <c r="Z79" s="131">
        <v>428.0</v>
      </c>
      <c r="AA79" s="132">
        <f t="shared" si="4"/>
        <v>-7</v>
      </c>
      <c r="AB79" s="131">
        <f t="shared" si="5"/>
        <v>0</v>
      </c>
      <c r="AC79" s="131">
        <f>IFERROR(__xludf.DUMMYFUNCTION("iferror(COUNT(filter($O80:$O$397,$O80:$O$397&gt;$O79)))"),40.0)</f>
        <v>40</v>
      </c>
      <c r="AD79" s="133">
        <f t="shared" si="6"/>
        <v>0</v>
      </c>
      <c r="AE79" s="134">
        <f t="shared" si="7"/>
        <v>0</v>
      </c>
      <c r="AF79" s="128" t="str">
        <f>IFERROR(__xludf.DUMMYFUNCTION("iferror(join("","",index(sort(filter($F80:$F$398,$O80:$O$398&gt;$O79),2,false),0,1)))"),"Nebraska,Colorado State,Syracuse,Michigan State,Duke,Kansas,Wake Forest,Bowling Green,Navy,Arkansas State,Texas A&amp;M,UAB,Western Michigan,California,Arizona,Arkansas,Kentucky,South Carolina,Hawaii,Iowa State,BYU,New Mexico,Auburn,Texas State,Rutgers,Tulsa,"&amp;"Florida Intl,Missouri,Boston College,South Florida,Northwestern,Colorado,Old Dominion,Rice,Mississippi State,Georgia Tech,Houston,Florida,Virginia Tech,West Virginia")</f>
        <v>Nebraska,Colorado State,Syracuse,Michigan State,Duke,Kansas,Wake Forest,Bowling Green,Navy,Arkansas State,Texas A&amp;M,UAB,Western Michigan,California,Arizona,Arkansas,Kentucky,South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79" s="132">
        <f>IFERROR(__xludf.DUMMYFUNCTION("iferror($O79-max(filter($O79:$O$397,$E79:$E$397=$E$2)))"),-7.0)</f>
        <v>-7</v>
      </c>
      <c r="AH79" s="131">
        <f t="shared" si="8"/>
        <v>0</v>
      </c>
      <c r="AI79" s="131">
        <f>IFERROR(__xludf.DUMMYFUNCTION("iferror(COUNT(filter($O80:$O$397,$O80:$O$397&gt;$O79,$E79:$E$397=$E$2)))"),0.0)</f>
        <v>0</v>
      </c>
      <c r="AJ79" s="133">
        <f t="shared" si="9"/>
        <v>0</v>
      </c>
      <c r="AK79" s="134">
        <f>IFERROR(__xludf.DUMMYFUNCTION("iferror($O79-min(filter($O79:$O$397,$E79:$E$397=$E$2)))"),1.0)</f>
        <v>1</v>
      </c>
      <c r="AL79" s="128" t="str">
        <f>IFERROR(__xludf.DUMMYFUNCTION("iferror(join("","",index(sort(filter($F80:$F$397,$O80:$O$397&gt;$O79,$E80:$E$397=$E$2),2,false),0,1)))"),"Texas A&amp;M,Arkansas,Kentucky,South Carolina,Auburn,Missouri,Mississippi State,Florida")</f>
        <v>Texas A&amp;M,Arkansas,Kentucky,South Carolina,Auburn,Missouri,Mississippi State,Florida</v>
      </c>
      <c r="AM79" s="128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"""")"),"AAC,,Big Ten,CUSA,MAC,MWC")</f>
        <v>AAC,,Big Ten,CUSA,MAC,MWC</v>
      </c>
      <c r="AN79" s="132">
        <f>IFERROR(__xludf.DUMMYFUNCTION("iferror($O79-max(filter($O79:$O$397,arrayformula(isnumber(FIND($E79:$E$397,AM79))))))"),-4.0)</f>
        <v>-4</v>
      </c>
      <c r="AO79" s="131">
        <f t="array" ref="AO79">countifs($O$2:$O78,"&lt;"&amp;$O79,isnumber(FIND($E$2:$E78,AM79)),TRUE)</f>
        <v>0</v>
      </c>
      <c r="AP79" s="131">
        <f>IFERROR(__xludf.DUMMYFUNCTION("iferror(COUNT(filter($O80:$O$397,$O80:$O$397&gt;$O79,arrayformula(isnumber(FIND($E80:$E$397,AM79))))))"),15.0)</f>
        <v>15</v>
      </c>
      <c r="AQ79" s="133">
        <f t="shared" si="10"/>
        <v>0</v>
      </c>
      <c r="AR79" s="134">
        <f>IFERROR(__xludf.DUMMYFUNCTION("$O79-min(filter($O79:$O$397,arrayformula(isnumber(FIND($E79:$E$397,AM79)))))"),2.0)</f>
        <v>2</v>
      </c>
      <c r="AS79" s="128" t="str">
        <f>IFERROR(__xludf.DUMMYFUNCTION("iferror(join("","",index(sort(filter($F80:$F$397,$O80:$O$397&gt;$O79,arrayformula(isnumber(FIND($E80:$E$397,AM79)))),2,false),0,1)))"),"Nebraska,Colorado State,Michigan State,Bowling Green,Navy,UAB,Western Michigan,Hawaii,New Mexico,Rutgers,Tulsa,Florida Intl,South Florida,Northwestern,Rice")</f>
        <v>Nebraska,Colorado State,Michigan State,Bowling Green,Navy,UAB,Western Michigan,Hawaii,New Mexico,Rutgers,Tulsa,Florida Intl,South Florida,Northwestern,Rice</v>
      </c>
    </row>
    <row r="80">
      <c r="A80" s="122">
        <v>79.0</v>
      </c>
      <c r="B80" s="122">
        <v>7.0</v>
      </c>
      <c r="C80" s="122">
        <v>1.0</v>
      </c>
      <c r="D80" s="123" t="str">
        <f t="array" ref="D80:D92">index(sort('Draft Order'!$A$2:$B$14,1,1),0,2)</f>
        <v>Nick G.</v>
      </c>
      <c r="E80" s="124" t="str">
        <f>if(F80&lt;&gt;"",VLOOKUP(F80,offset('Teams-Conference'!A:B,0,(counta('Draft Order'!B$2:B134)-10)*2),2,0),"")</f>
        <v>Big Ten</v>
      </c>
      <c r="F80" s="125" t="s">
        <v>80</v>
      </c>
      <c r="G80" s="126" t="str">
        <f t="shared" si="1"/>
        <v/>
      </c>
      <c r="H80" s="127">
        <f t="shared" si="2"/>
        <v>1</v>
      </c>
      <c r="I80" s="127">
        <f t="shared" si="3"/>
        <v>1</v>
      </c>
      <c r="J80" s="127">
        <f t="shared" si="11"/>
        <v>3</v>
      </c>
      <c r="K80" s="127">
        <f t="shared" ref="K80:K85" si="21">countif(E60:E80,E81)</f>
        <v>3</v>
      </c>
      <c r="L80" s="127">
        <v>5.0</v>
      </c>
      <c r="M80" s="127">
        <f>IFERROR(__xludf.DUMMYFUNCTION("counta(iferror(filter(L$2:L79,E$2:E79=E80,L$2:L79&lt;L80)))"),1.0)</f>
        <v>1</v>
      </c>
      <c r="N80" s="127">
        <f>IFERROR(__xludf.DUMMYFUNCTION("counta(iferror(filter(L81:L$131,E81:E$131=E80,L81:L$136&gt;L80)))"),0.0)</f>
        <v>0</v>
      </c>
      <c r="O80" s="129">
        <f t="array" ref="O80:Z80">XLOOKUP(F80,'Current Week'!C:C,'Current Week'!D:O)</f>
        <v>5</v>
      </c>
      <c r="P80" s="127">
        <v>7.0</v>
      </c>
      <c r="Q80" s="128"/>
      <c r="R80" s="128"/>
      <c r="S80" s="128"/>
      <c r="T80" s="128"/>
      <c r="U80" s="128"/>
      <c r="V80" s="131"/>
      <c r="W80" s="128"/>
      <c r="X80" s="131"/>
      <c r="Y80" s="131">
        <v>216.0</v>
      </c>
      <c r="Z80" s="131">
        <v>219.0</v>
      </c>
      <c r="AA80" s="132">
        <f t="shared" si="4"/>
        <v>-5</v>
      </c>
      <c r="AB80" s="131">
        <f t="shared" si="5"/>
        <v>12</v>
      </c>
      <c r="AC80" s="131">
        <f>IFERROR(__xludf.DUMMYFUNCTION("iferror(COUNT(filter($O81:$O$397,$O81:$O$397&gt;$O80)))"),22.0)</f>
        <v>22</v>
      </c>
      <c r="AD80" s="133">
        <f t="shared" si="6"/>
        <v>0</v>
      </c>
      <c r="AE80" s="134">
        <f t="shared" si="7"/>
        <v>2</v>
      </c>
      <c r="AF80" s="128" t="str">
        <f>IFERROR(__xludf.DUMMYFUNCTION("iferror(join("","",index(sort(filter($F81:$F$398,$O81:$O$398&gt;$O80),2,false),0,1)))"),"Syracuse,Duke,Kansas,Bowling Green,Arkansas State,Texas A&amp;M,California,Arizona,Kentucky,Iowa State,Auburn,Texas State,Rutgers,Missouri,Boston College,South Florida,Northwestern,Old Dominion,Rice,Georgia Tech,Virginia Tech,West Virginia")</f>
        <v>Syracuse,Duke,Kansas,Bowling Green,Arkansas State,Texas A&amp;M,California,Arizona,Kentucky,Iowa State,Auburn,Texas State,Rutgers,Missouri,Boston College,South Florida,Northwestern,Old Dominion,Rice,Georgia Tech,Virginia Tech,West Virginia</v>
      </c>
      <c r="AG80" s="132">
        <f>IFERROR(__xludf.DUMMYFUNCTION("iferror($O80-max(filter($O80:$O$397,$E80:$E$397=$E$2)))"),-5.0)</f>
        <v>-5</v>
      </c>
      <c r="AH80" s="131">
        <f t="shared" si="8"/>
        <v>0</v>
      </c>
      <c r="AI80" s="131">
        <f>IFERROR(__xludf.DUMMYFUNCTION("iferror(COUNT(filter($O81:$O$397,$O81:$O$397&gt;$O80,$E80:$E$397=$E$2)))"),0.0)</f>
        <v>0</v>
      </c>
      <c r="AJ80" s="133">
        <f t="shared" si="9"/>
        <v>0</v>
      </c>
      <c r="AK80" s="134">
        <f>IFERROR(__xludf.DUMMYFUNCTION("iferror($O80-min(filter($O80:$O$397,$E80:$E$397=$E$2)))"),3.0)</f>
        <v>3</v>
      </c>
      <c r="AL80" s="128" t="str">
        <f>IFERROR(__xludf.DUMMYFUNCTION("iferror(join("","",index(sort(filter($F81:$F$397,$O81:$O$397&gt;$O80,$E81:$E$397=$E$2),2,false),0,1)))"),"Texas A&amp;M,Kentucky,Auburn,Missouri")</f>
        <v>Texas A&amp;M,Kentucky,Auburn,Missouri</v>
      </c>
      <c r="AM80" s="128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"""")"),"Big Ten,CUSA,MAC,MWC")</f>
        <v>Big Ten,CUSA,MAC,MWC</v>
      </c>
      <c r="AN80" s="132">
        <f>IFERROR(__xludf.DUMMYFUNCTION("iferror($O80-max(filter($O80:$O$397,arrayformula(isnumber(FIND($E80:$E$397,AM80))))))"),-2.0)</f>
        <v>-2</v>
      </c>
      <c r="AO80" s="131">
        <f t="array" ref="AO80">countifs($O$2:$O79,"&lt;"&amp;$O80,isnumber(FIND($E$2:$E79,AM80)),TRUE)</f>
        <v>7</v>
      </c>
      <c r="AP80" s="131">
        <f>IFERROR(__xludf.DUMMYFUNCTION("iferror(COUNT(filter($O81:$O$397,$O81:$O$397&gt;$O80,arrayformula(isnumber(FIND($E81:$E$397,AM80))))))"),3.0)</f>
        <v>3</v>
      </c>
      <c r="AQ80" s="133">
        <f t="shared" si="10"/>
        <v>0</v>
      </c>
      <c r="AR80" s="134">
        <f>IFERROR(__xludf.DUMMYFUNCTION("$O80-min(filter($O80:$O$397,arrayformula(isnumber(FIND($E80:$E$397,AM80)))))"),4.0)</f>
        <v>4</v>
      </c>
      <c r="AS80" s="128" t="str">
        <f>IFERROR(__xludf.DUMMYFUNCTION("iferror(join("","",index(sort(filter($F81:$F$397,$O81:$O$397&gt;$O80,arrayformula(isnumber(FIND($E81:$E$397,AM80)))),2,false),0,1)))"),"Bowling Green,Rutgers,Northwestern")</f>
        <v>Bowling Green,Rutgers,Northwestern</v>
      </c>
    </row>
    <row r="81">
      <c r="A81" s="23">
        <v>80.0</v>
      </c>
      <c r="B81" s="23">
        <v>7.0</v>
      </c>
      <c r="C81" s="23">
        <v>2.0</v>
      </c>
      <c r="D81" s="135" t="s">
        <v>58</v>
      </c>
      <c r="E81" s="136" t="str">
        <f>if(F81&lt;&gt;"",VLOOKUP(F81,offset('Teams-Conference'!A:B,0,(counta('Draft Order'!B$2:B134)-10)*2),2,0),"")</f>
        <v>MWC</v>
      </c>
      <c r="F81" s="137" t="s">
        <v>105</v>
      </c>
      <c r="G81" s="138" t="str">
        <f t="shared" si="1"/>
        <v/>
      </c>
      <c r="H81" s="127">
        <f t="shared" si="2"/>
        <v>0</v>
      </c>
      <c r="I81" s="127">
        <f t="shared" si="3"/>
        <v>2</v>
      </c>
      <c r="J81" s="127">
        <f t="shared" si="11"/>
        <v>2</v>
      </c>
      <c r="K81" s="127">
        <f t="shared" si="21"/>
        <v>2</v>
      </c>
      <c r="L81" s="127">
        <v>5.0</v>
      </c>
      <c r="M81" s="127">
        <f>IFERROR(__xludf.DUMMYFUNCTION("counta(iferror(filter(L$2:L80,E$2:E80=E81,L$2:L80&lt;L81)))"),1.0)</f>
        <v>1</v>
      </c>
      <c r="N81" s="127">
        <f>IFERROR(__xludf.DUMMYFUNCTION("counta(iferror(filter(L82:L$131,E82:E$131=E81,L82:L$136&gt;L81)))"),0.0)</f>
        <v>0</v>
      </c>
      <c r="O81" s="129">
        <f t="array" ref="O81:Z81">XLOOKUP(F81,'Current Week'!C:C,'Current Week'!D:O)</f>
        <v>5</v>
      </c>
      <c r="P81" s="127">
        <v>7.0</v>
      </c>
      <c r="Q81" s="128"/>
      <c r="R81" s="128"/>
      <c r="S81" s="128"/>
      <c r="T81" s="128"/>
      <c r="U81" s="128"/>
      <c r="V81" s="131"/>
      <c r="W81" s="128"/>
      <c r="X81" s="131"/>
      <c r="Y81" s="131">
        <v>313.0</v>
      </c>
      <c r="Z81" s="131">
        <v>355.0</v>
      </c>
      <c r="AA81" s="132">
        <f t="shared" si="4"/>
        <v>-5</v>
      </c>
      <c r="AB81" s="131">
        <f t="shared" si="5"/>
        <v>12</v>
      </c>
      <c r="AC81" s="131">
        <f>IFERROR(__xludf.DUMMYFUNCTION("iferror(COUNT(filter($O82:$O$397,$O82:$O$397&gt;$O81)))"),22.0)</f>
        <v>22</v>
      </c>
      <c r="AD81" s="133">
        <f t="shared" si="6"/>
        <v>0</v>
      </c>
      <c r="AE81" s="134">
        <f t="shared" si="7"/>
        <v>2</v>
      </c>
      <c r="AF81" s="128" t="str">
        <f>IFERROR(__xludf.DUMMYFUNCTION("iferror(join("","",index(sort(filter($F82:$F$398,$O82:$O$398&gt;$O81),2,false),0,1)))"),"Syracuse,Duke,Kansas,Bowling Green,Arkansas State,Texas A&amp;M,California,Arizona,Kentucky,Iowa State,Auburn,Texas State,Rutgers,Missouri,Boston College,South Florida,Northwestern,Old Dominion,Rice,Georgia Tech,Virginia Tech,West Virginia")</f>
        <v>Syracuse,Duke,Kansas,Bowling Green,Arkansas State,Texas A&amp;M,California,Arizona,Kentucky,Iowa State,Auburn,Texas State,Rutgers,Missouri,Boston College,South Florida,Northwestern,Old Dominion,Rice,Georgia Tech,Virginia Tech,West Virginia</v>
      </c>
      <c r="AG81" s="132">
        <f>IFERROR(__xludf.DUMMYFUNCTION("iferror($O81-max(filter($O81:$O$397,$E81:$E$397=$E$2)))"),-5.0)</f>
        <v>-5</v>
      </c>
      <c r="AH81" s="131">
        <f t="shared" si="8"/>
        <v>0</v>
      </c>
      <c r="AI81" s="131">
        <f>IFERROR(__xludf.DUMMYFUNCTION("iferror(COUNT(filter($O82:$O$397,$O82:$O$397&gt;$O81,$E81:$E$397=$E$2)))"),0.0)</f>
        <v>0</v>
      </c>
      <c r="AJ81" s="133">
        <f t="shared" si="9"/>
        <v>0</v>
      </c>
      <c r="AK81" s="134">
        <f>IFERROR(__xludf.DUMMYFUNCTION("iferror($O81-min(filter($O81:$O$397,$E81:$E$397=$E$2)))"),3.0)</f>
        <v>3</v>
      </c>
      <c r="AL81" s="128" t="str">
        <f>IFERROR(__xludf.DUMMYFUNCTION("iferror(join("","",index(sort(filter($F82:$F$397,$O82:$O$397&gt;$O81,$E82:$E$397=$E$2),2,false),0,1)))"),"Texas A&amp;M,Kentucky,Auburn,Missouri")</f>
        <v>Texas A&amp;M,Kentucky,Auburn,Missouri</v>
      </c>
      <c r="AM81" s="128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"""")"),"ACC,Big 12,MWC,SEC")</f>
        <v>ACC,Big 12,MWC,SEC</v>
      </c>
      <c r="AN81" s="132">
        <f>IFERROR(__xludf.DUMMYFUNCTION("iferror($O81-max(filter($O81:$O$397,arrayformula(isnumber(FIND($E81:$E$397,AM81))))))"),-5.0)</f>
        <v>-5</v>
      </c>
      <c r="AO81" s="131">
        <f t="array" ref="AO81">countifs($O$2:$O80,"&lt;"&amp;$O81,isnumber(FIND($E$2:$E80,AM81)),TRUE)</f>
        <v>3</v>
      </c>
      <c r="AP81" s="131">
        <f>IFERROR(__xludf.DUMMYFUNCTION("iferror(COUNT(filter($O82:$O$397,$O82:$O$397&gt;$O81,arrayformula(isnumber(FIND($E82:$E$397,AM81))))))"),12.0)</f>
        <v>12</v>
      </c>
      <c r="AQ81" s="133">
        <f t="shared" si="10"/>
        <v>0</v>
      </c>
      <c r="AR81" s="134">
        <f>IFERROR(__xludf.DUMMYFUNCTION("$O81-min(filter($O81:$O$397,arrayformula(isnumber(FIND($E81:$E$397,AM81)))))"),3.0)</f>
        <v>3</v>
      </c>
      <c r="AS81" s="128" t="str">
        <f>IFERROR(__xludf.DUMMYFUNCTION("iferror(join("","",index(sort(filter($F82:$F$397,$O82:$O$397&gt;$O81,arrayformula(isnumber(FIND($E82:$E$397,AM81)))),2,false),0,1)))"),"Syracuse,Duke,Kansas,Texas A&amp;M,Kentucky,Iowa State,Auburn,Missouri,Boston College,Georgia Tech,Virginia Tech,West Virginia")</f>
        <v>Syracuse,Duke,Kansas,Texas A&amp;M,Kentucky,Iowa State,Auburn,Missouri,Boston College,Georgia Tech,Virginia Tech,West Virginia</v>
      </c>
    </row>
    <row r="82">
      <c r="A82" s="23">
        <v>81.0</v>
      </c>
      <c r="B82" s="23">
        <v>7.0</v>
      </c>
      <c r="C82" s="23">
        <v>3.0</v>
      </c>
      <c r="D82" s="139" t="s">
        <v>56</v>
      </c>
      <c r="E82" s="136" t="str">
        <f>if(F82&lt;&gt;"",VLOOKUP(F82,offset('Teams-Conference'!A:B,0,(counta('Draft Order'!B$2:B134)-10)*2),2,0),"")</f>
        <v>ACC</v>
      </c>
      <c r="F82" s="137" t="s">
        <v>130</v>
      </c>
      <c r="G82" s="138" t="str">
        <f t="shared" si="1"/>
        <v/>
      </c>
      <c r="H82" s="127">
        <f t="shared" si="2"/>
        <v>2</v>
      </c>
      <c r="I82" s="127">
        <f t="shared" si="3"/>
        <v>2</v>
      </c>
      <c r="J82" s="127">
        <f t="shared" si="11"/>
        <v>0</v>
      </c>
      <c r="K82" s="127">
        <f t="shared" si="21"/>
        <v>5</v>
      </c>
      <c r="L82" s="127">
        <v>6.0</v>
      </c>
      <c r="M82" s="127">
        <f>IFERROR(__xludf.DUMMYFUNCTION("counta(iferror(filter(L$2:L81,E$2:E81=E82,L$2:L81&lt;L82)))"),1.0)</f>
        <v>1</v>
      </c>
      <c r="N82" s="127">
        <f>IFERROR(__xludf.DUMMYFUNCTION("counta(iferror(filter(L83:L$131,E83:E$131=E82,L83:L$136&gt;L82)))"),0.0)</f>
        <v>0</v>
      </c>
      <c r="O82" s="129">
        <f t="array" ref="O82:Z82">XLOOKUP(F82,'Current Week'!C:C,'Current Week'!D:O)</f>
        <v>6</v>
      </c>
      <c r="P82" s="127">
        <v>6.0</v>
      </c>
      <c r="Q82" s="128"/>
      <c r="R82" s="128"/>
      <c r="S82" s="128"/>
      <c r="T82" s="128"/>
      <c r="U82" s="128"/>
      <c r="V82" s="131"/>
      <c r="W82" s="128"/>
      <c r="X82" s="131"/>
      <c r="Y82" s="131">
        <v>306.0</v>
      </c>
      <c r="Z82" s="131">
        <v>285.0</v>
      </c>
      <c r="AA82" s="132">
        <f t="shared" si="4"/>
        <v>-4</v>
      </c>
      <c r="AB82" s="131">
        <f t="shared" si="5"/>
        <v>20</v>
      </c>
      <c r="AC82" s="131">
        <f>IFERROR(__xludf.DUMMYFUNCTION("iferror(COUNT(filter($O83:$O$397,$O83:$O$397&gt;$O82)))"),11.0)</f>
        <v>11</v>
      </c>
      <c r="AD82" s="133">
        <f t="shared" si="6"/>
        <v>0</v>
      </c>
      <c r="AE82" s="134">
        <f t="shared" si="7"/>
        <v>3</v>
      </c>
      <c r="AF82" s="128" t="str">
        <f>IFERROR(__xludf.DUMMYFUNCTION("iferror(join("","",index(sort(filter($F83:$F$398,$O83:$O$398&gt;$O82),2,false),0,1)))"),"Duke,Kansas,Bowling Green,Texas A&amp;M,Arizona,Kentucky,Iowa State,Texas State,Missouri,Northwestern,West Virginia")</f>
        <v>Duke,Kansas,Bowling Green,Texas A&amp;M,Arizona,Kentucky,Iowa State,Texas State,Missouri,Northwestern,West Virginia</v>
      </c>
      <c r="AG82" s="132">
        <f>IFERROR(__xludf.DUMMYFUNCTION("iferror($O82-max(filter($O82:$O$397,$E82:$E$397=$E$2)))"),-4.0)</f>
        <v>-4</v>
      </c>
      <c r="AH82" s="131">
        <f t="shared" si="8"/>
        <v>0</v>
      </c>
      <c r="AI82" s="131">
        <f>IFERROR(__xludf.DUMMYFUNCTION("iferror(COUNT(filter($O83:$O$397,$O83:$O$397&gt;$O82,$E82:$E$397=$E$2)))"),0.0)</f>
        <v>0</v>
      </c>
      <c r="AJ82" s="133">
        <f t="shared" si="9"/>
        <v>0</v>
      </c>
      <c r="AK82" s="134">
        <f>IFERROR(__xludf.DUMMYFUNCTION("iferror($O82-min(filter($O82:$O$397,$E82:$E$397=$E$2)))"),4.0)</f>
        <v>4</v>
      </c>
      <c r="AL82" s="128" t="str">
        <f>IFERROR(__xludf.DUMMYFUNCTION("iferror(join("","",index(sort(filter($F83:$F$397,$O83:$O$397&gt;$O82,$E83:$E$397=$E$2),2,false),0,1)))"),"Texas A&amp;M,Kentucky,Missouri")</f>
        <v>Texas A&amp;M,Kentucky,Missouri</v>
      </c>
      <c r="AM82" s="128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"""")"),"ACC,Big 12,SEC,Sun Belt")</f>
        <v>ACC,Big 12,SEC,Sun Belt</v>
      </c>
      <c r="AN82" s="132">
        <f>IFERROR(__xludf.DUMMYFUNCTION("iferror($O82-max(filter($O82:$O$397,arrayformula(isnumber(FIND($E82:$E$397,AM82))))))"),-4.0)</f>
        <v>-4</v>
      </c>
      <c r="AO82" s="131">
        <f t="array" ref="AO82">countifs($O$2:$O81,"&lt;"&amp;$O82,isnumber(FIND($E$2:$E81,AM82)),TRUE)</f>
        <v>4</v>
      </c>
      <c r="AP82" s="131">
        <f>IFERROR(__xludf.DUMMYFUNCTION("iferror(COUNT(filter($O83:$O$397,$O83:$O$397&gt;$O82,arrayformula(isnumber(FIND($E83:$E$397,AM82))))))"),8.0)</f>
        <v>8</v>
      </c>
      <c r="AQ82" s="133">
        <f t="shared" si="10"/>
        <v>0</v>
      </c>
      <c r="AR82" s="134">
        <f>IFERROR(__xludf.DUMMYFUNCTION("$O82-min(filter($O82:$O$397,arrayformula(isnumber(FIND($E82:$E$397,AM82)))))"),4.0)</f>
        <v>4</v>
      </c>
      <c r="AS82" s="128" t="str">
        <f>IFERROR(__xludf.DUMMYFUNCTION("iferror(join("","",index(sort(filter($F83:$F$397,$O83:$O$397&gt;$O82,arrayformula(isnumber(FIND($E83:$E$397,AM82)))),2,false),0,1)))"),"Duke,Kansas,Texas A&amp;M,Kentucky,Iowa State,Texas State,Missouri,West Virginia")</f>
        <v>Duke,Kansas,Texas A&amp;M,Kentucky,Iowa State,Texas State,Missouri,West Virginia</v>
      </c>
    </row>
    <row r="83">
      <c r="A83" s="23">
        <v>82.0</v>
      </c>
      <c r="B83" s="23">
        <v>7.0</v>
      </c>
      <c r="C83" s="23">
        <v>4.0</v>
      </c>
      <c r="D83" s="135" t="s">
        <v>60</v>
      </c>
      <c r="E83" s="136" t="str">
        <f>if(F83&lt;&gt;"",VLOOKUP(F83,offset('Teams-Conference'!A:B,0,(counta('Draft Order'!B$2:B134)-10)*2),2,0),"")</f>
        <v>Big Ten</v>
      </c>
      <c r="F83" s="137" t="s">
        <v>178</v>
      </c>
      <c r="G83" s="138" t="str">
        <f t="shared" si="1"/>
        <v/>
      </c>
      <c r="H83" s="127">
        <f t="shared" si="2"/>
        <v>0</v>
      </c>
      <c r="I83" s="127">
        <f t="shared" si="3"/>
        <v>0</v>
      </c>
      <c r="J83" s="127">
        <f t="shared" si="11"/>
        <v>3</v>
      </c>
      <c r="K83" s="127">
        <f t="shared" si="21"/>
        <v>3</v>
      </c>
      <c r="L83" s="127">
        <v>4.0</v>
      </c>
      <c r="M83" s="127">
        <f>IFERROR(__xludf.DUMMYFUNCTION("counta(iferror(filter(L$2:L82,E$2:E82=E83,L$2:L82&lt;L83)))"),0.0)</f>
        <v>0</v>
      </c>
      <c r="N83" s="127">
        <f>IFERROR(__xludf.DUMMYFUNCTION("counta(iferror(filter(L84:L$131,E84:E$131=E83,L84:L$136&gt;L83)))"),0.0)</f>
        <v>0</v>
      </c>
      <c r="O83" s="129">
        <f t="array" ref="O83:Z83">XLOOKUP(F83,'Current Week'!C:C,'Current Week'!D:O)</f>
        <v>4</v>
      </c>
      <c r="P83" s="127">
        <v>8.0</v>
      </c>
      <c r="Q83" s="128"/>
      <c r="R83" s="128"/>
      <c r="S83" s="128"/>
      <c r="T83" s="128"/>
      <c r="U83" s="128"/>
      <c r="V83" s="131"/>
      <c r="W83" s="128"/>
      <c r="X83" s="131"/>
      <c r="Y83" s="131">
        <v>191.0</v>
      </c>
      <c r="Z83" s="131">
        <v>340.0</v>
      </c>
      <c r="AA83" s="132">
        <f t="shared" si="4"/>
        <v>-6</v>
      </c>
      <c r="AB83" s="131">
        <f t="shared" si="5"/>
        <v>7</v>
      </c>
      <c r="AC83" s="131">
        <f>IFERROR(__xludf.DUMMYFUNCTION("iferror(COUNT(filter($O84:$O$397,$O84:$O$397&gt;$O83)))"),27.0)</f>
        <v>27</v>
      </c>
      <c r="AD83" s="133">
        <f t="shared" si="6"/>
        <v>0</v>
      </c>
      <c r="AE83" s="134">
        <f t="shared" si="7"/>
        <v>1</v>
      </c>
      <c r="AF83" s="128" t="str">
        <f>IFERROR(__xludf.DUMMYFUNCTION("iferror(join("","",index(sort(filter($F84:$F$398,$O84:$O$398&gt;$O83),2,false),0,1)))"),"Duke,Kansas,Bowling Green,Navy,Arkansas State,Texas A&amp;M,California,Arizona,Kentucky,South Carolina,Hawaii,Iowa State,BYU,Auburn,Texas State,Rutgers,Missouri,Boston College,South Florida,Northwestern,Old Dominion,Rice,Mississippi State,Georgia Tech,Florida"&amp;",Virginia Tech,West Virginia")</f>
        <v>Duke,Kansas,Bowling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83" s="132">
        <f>IFERROR(__xludf.DUMMYFUNCTION("iferror($O83-max(filter($O83:$O$397,$E83:$E$397=$E$2)))"),-6.0)</f>
        <v>-6</v>
      </c>
      <c r="AH83" s="131">
        <f t="shared" si="8"/>
        <v>0</v>
      </c>
      <c r="AI83" s="131">
        <f>IFERROR(__xludf.DUMMYFUNCTION("iferror(COUNT(filter($O84:$O$397,$O84:$O$397&gt;$O83,$E83:$E$397=$E$2)))"),0.0)</f>
        <v>0</v>
      </c>
      <c r="AJ83" s="133">
        <f t="shared" si="9"/>
        <v>0</v>
      </c>
      <c r="AK83" s="134">
        <f>IFERROR(__xludf.DUMMYFUNCTION("iferror($O83-min(filter($O83:$O$397,$E83:$E$397=$E$2)))"),2.0)</f>
        <v>2</v>
      </c>
      <c r="AL83" s="128" t="str">
        <f>IFERROR(__xludf.DUMMYFUNCTION("iferror(join("","",index(sort(filter($F84:$F$397,$O84:$O$397&gt;$O83,$E84:$E$397=$E$2),2,false),0,1)))"),"Texas A&amp;M,Kentucky,South Carolina,Auburn,Missouri,Mississippi State,Florida")</f>
        <v>Texas A&amp;M,Kentucky,South Carolina,Auburn,Missouri,Mississippi State,Florida</v>
      </c>
      <c r="AM83" s="128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"""")"),"Big Ten,CUSA,MWC,Pac12")</f>
        <v>Big Ten,CUSA,MWC,Pac12</v>
      </c>
      <c r="AN83" s="132">
        <f>IFERROR(__xludf.DUMMYFUNCTION("iferror($O83-max(filter($O83:$O$397,arrayformula(isnumber(FIND($E83:$E$397,AM83))))))"),-5.0)</f>
        <v>-5</v>
      </c>
      <c r="AO83" s="131">
        <f t="array" ref="AO83">countifs($O$2:$O82,"&lt;"&amp;$O83,isnumber(FIND($E$2:$E82,AM83)),TRUE)</f>
        <v>2</v>
      </c>
      <c r="AP83" s="131">
        <f>IFERROR(__xludf.DUMMYFUNCTION("iferror(COUNT(filter($O84:$O$397,$O84:$O$397&gt;$O83,arrayformula(isnumber(FIND($E84:$E$397,AM83))))))"),5.0)</f>
        <v>5</v>
      </c>
      <c r="AQ83" s="133">
        <f t="shared" si="10"/>
        <v>0</v>
      </c>
      <c r="AR83" s="134">
        <f>IFERROR(__xludf.DUMMYFUNCTION("$O83-min(filter($O83:$O$397,arrayformula(isnumber(FIND($E83:$E$397,AM83)))))"),2.0)</f>
        <v>2</v>
      </c>
      <c r="AS83" s="128" t="str">
        <f>IFERROR(__xludf.DUMMYFUNCTION("iferror(join("","",index(sort(filter($F84:$F$397,$O84:$O$397&gt;$O83,arrayformula(isnumber(FIND($E84:$E$397,AM83)))),2,false),0,1)))"),"California,Arizona,Hawaii,Rutgers,Northwestern")</f>
        <v>California,Arizona,Hawaii,Rutgers,Northwestern</v>
      </c>
    </row>
    <row r="84">
      <c r="A84" s="23">
        <v>83.0</v>
      </c>
      <c r="B84" s="23">
        <v>7.0</v>
      </c>
      <c r="C84" s="23">
        <v>5.0</v>
      </c>
      <c r="D84" s="135" t="s">
        <v>46</v>
      </c>
      <c r="E84" s="136" t="str">
        <f>if(F84&lt;&gt;"",VLOOKUP(F84,offset('Teams-Conference'!A:B,0,(counta('Draft Order'!B$2:B134)-10)*2),2,0),"")</f>
        <v>ACC</v>
      </c>
      <c r="F84" s="140" t="s">
        <v>187</v>
      </c>
      <c r="G84" s="138" t="str">
        <f t="shared" si="1"/>
        <v/>
      </c>
      <c r="H84" s="127">
        <f t="shared" si="2"/>
        <v>1</v>
      </c>
      <c r="I84" s="127">
        <f t="shared" si="3"/>
        <v>1</v>
      </c>
      <c r="J84" s="127">
        <f t="shared" si="11"/>
        <v>1</v>
      </c>
      <c r="K84" s="127">
        <f t="shared" si="21"/>
        <v>1</v>
      </c>
      <c r="L84" s="127">
        <v>7.0</v>
      </c>
      <c r="M84" s="127">
        <f>IFERROR(__xludf.DUMMYFUNCTION("counta(iferror(filter(L$2:L83,E$2:E83=E84,L$2:L83&lt;L84)))"),2.0)</f>
        <v>2</v>
      </c>
      <c r="N84" s="127">
        <f>IFERROR(__xludf.DUMMYFUNCTION("counta(iferror(filter(L85:L$131,E85:E$131=E84,L85:L$136&gt;L84)))"),0.0)</f>
        <v>0</v>
      </c>
      <c r="O84" s="129">
        <f t="array" ref="O84:Z84">XLOOKUP(F84,'Current Week'!C:C,'Current Week'!D:O)</f>
        <v>7</v>
      </c>
      <c r="P84" s="127">
        <v>5.0</v>
      </c>
      <c r="Q84" s="128"/>
      <c r="R84" s="128"/>
      <c r="S84" s="128"/>
      <c r="T84" s="128"/>
      <c r="U84" s="128"/>
      <c r="V84" s="131"/>
      <c r="W84" s="128"/>
      <c r="X84" s="131"/>
      <c r="Y84" s="131">
        <v>333.0</v>
      </c>
      <c r="Z84" s="131">
        <v>237.0</v>
      </c>
      <c r="AA84" s="132">
        <f t="shared" si="4"/>
        <v>-3</v>
      </c>
      <c r="AB84" s="131">
        <f t="shared" si="5"/>
        <v>33</v>
      </c>
      <c r="AC84" s="131">
        <f>IFERROR(__xludf.DUMMYFUNCTION("iferror(COUNT(filter($O85:$O$397,$O85:$O$397&gt;$O84)))"),4.0)</f>
        <v>4</v>
      </c>
      <c r="AD84" s="133">
        <f t="shared" si="6"/>
        <v>0</v>
      </c>
      <c r="AE84" s="134">
        <f t="shared" si="7"/>
        <v>4</v>
      </c>
      <c r="AF84" s="128" t="str">
        <f>IFERROR(__xludf.DUMMYFUNCTION("iferror(join("","",index(sort(filter($F85:$F$398,$O85:$O$398&gt;$O84),2,false),0,1)))"),"Kansas,Arizona,Missouri,West Virginia")</f>
        <v>Kansas,Arizona,Missouri,West Virginia</v>
      </c>
      <c r="AG84" s="132">
        <f>IFERROR(__xludf.DUMMYFUNCTION("iferror($O84-max(filter($O84:$O$397,$E84:$E$397=$E$2)))"),-3.0)</f>
        <v>-3</v>
      </c>
      <c r="AH84" s="131">
        <f t="shared" si="8"/>
        <v>0</v>
      </c>
      <c r="AI84" s="131">
        <f>IFERROR(__xludf.DUMMYFUNCTION("iferror(COUNT(filter($O85:$O$397,$O85:$O$397&gt;$O84,$E84:$E$397=$E$2)))"),0.0)</f>
        <v>0</v>
      </c>
      <c r="AJ84" s="133">
        <f t="shared" si="9"/>
        <v>0</v>
      </c>
      <c r="AK84" s="134">
        <f>IFERROR(__xludf.DUMMYFUNCTION("iferror($O84-min(filter($O84:$O$397,$E84:$E$397=$E$2)))"),5.0)</f>
        <v>5</v>
      </c>
      <c r="AL84" s="128" t="str">
        <f>IFERROR(__xludf.DUMMYFUNCTION("iferror(join("","",index(sort(filter($F85:$F$397,$O85:$O$397&gt;$O84,$E85:$E$397=$E$2),2,false),0,1)))"),"Missouri")</f>
        <v>Missouri</v>
      </c>
      <c r="AM84" s="128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"""")"),"ACC,CUSA,MAC,SEC")</f>
        <v>ACC,CUSA,MAC,SEC</v>
      </c>
      <c r="AN84" s="132">
        <f>IFERROR(__xludf.DUMMYFUNCTION("iferror($O84-max(filter($O84:$O$397,arrayformula(isnumber(FIND($E84:$E$397,AM84))))))"),-3.0)</f>
        <v>-3</v>
      </c>
      <c r="AO84" s="131">
        <f t="array" ref="AO84">countifs($O$2:$O83,"&lt;"&amp;$O84,isnumber(FIND($E$2:$E83,AM84)),TRUE)</f>
        <v>11</v>
      </c>
      <c r="AP84" s="131">
        <f>IFERROR(__xludf.DUMMYFUNCTION("iferror(COUNT(filter($O85:$O$397,$O85:$O$397&gt;$O84,arrayformula(isnumber(FIND($E85:$E$397,AM84))))))"),1.0)</f>
        <v>1</v>
      </c>
      <c r="AQ84" s="133">
        <f t="shared" si="10"/>
        <v>0</v>
      </c>
      <c r="AR84" s="134">
        <f>IFERROR(__xludf.DUMMYFUNCTION("$O84-min(filter($O84:$O$397,arrayformula(isnumber(FIND($E84:$E$397,AM84)))))"),6.0)</f>
        <v>6</v>
      </c>
      <c r="AS84" s="128" t="str">
        <f>IFERROR(__xludf.DUMMYFUNCTION("iferror(join("","",index(sort(filter($F85:$F$397,$O85:$O$397&gt;$O84,arrayformula(isnumber(FIND($E85:$E$397,AM84)))),2,false),0,1)))"),"Missouri")</f>
        <v>Missouri</v>
      </c>
    </row>
    <row r="85">
      <c r="A85" s="23">
        <v>84.0</v>
      </c>
      <c r="B85" s="23">
        <v>7.0</v>
      </c>
      <c r="C85" s="23">
        <v>6.0</v>
      </c>
      <c r="D85" s="135" t="s">
        <v>70</v>
      </c>
      <c r="E85" s="136" t="str">
        <f>if(F85&lt;&gt;"",VLOOKUP(F85,offset('Teams-Conference'!A:B,0,(counta('Draft Order'!B$2:B134)-10)*2),2,0),"")</f>
        <v>Big 12</v>
      </c>
      <c r="F85" s="137" t="s">
        <v>192</v>
      </c>
      <c r="G85" s="138" t="str">
        <f t="shared" si="1"/>
        <v/>
      </c>
      <c r="H85" s="127">
        <f t="shared" si="2"/>
        <v>0</v>
      </c>
      <c r="I85" s="127">
        <f t="shared" si="3"/>
        <v>3</v>
      </c>
      <c r="J85" s="127">
        <f t="shared" si="11"/>
        <v>0</v>
      </c>
      <c r="K85" s="127">
        <f t="shared" si="21"/>
        <v>3</v>
      </c>
      <c r="L85" s="127">
        <v>8.0</v>
      </c>
      <c r="M85" s="127">
        <f>IFERROR(__xludf.DUMMYFUNCTION("counta(iferror(filter(L$2:L84,E$2:E84=E85,L$2:L84&lt;L85)))"),4.0)</f>
        <v>4</v>
      </c>
      <c r="N85" s="127">
        <f>IFERROR(__xludf.DUMMYFUNCTION("counta(iferror(filter(L86:L$131,E86:E$131=E85,L86:L$136&gt;L85)))"),0.0)</f>
        <v>0</v>
      </c>
      <c r="O85" s="129">
        <f t="array" ref="O85:Z85">XLOOKUP(F85,'Current Week'!C:C,'Current Week'!D:O)</f>
        <v>8</v>
      </c>
      <c r="P85" s="127">
        <v>4.0</v>
      </c>
      <c r="Q85" s="128"/>
      <c r="R85" s="128"/>
      <c r="S85" s="128"/>
      <c r="T85" s="128"/>
      <c r="U85" s="128"/>
      <c r="V85" s="131"/>
      <c r="W85" s="128"/>
      <c r="X85" s="131"/>
      <c r="Y85" s="131">
        <v>403.0</v>
      </c>
      <c r="Z85" s="131">
        <v>309.0</v>
      </c>
      <c r="AA85" s="132">
        <f t="shared" si="4"/>
        <v>-2</v>
      </c>
      <c r="AB85" s="131">
        <f t="shared" si="5"/>
        <v>43</v>
      </c>
      <c r="AC85" s="131">
        <f>IFERROR(__xludf.DUMMYFUNCTION("iferror(COUNT(filter($O86:$O$397,$O86:$O$397&gt;$O85)))"),3.0)</f>
        <v>3</v>
      </c>
      <c r="AD85" s="133">
        <f t="shared" si="6"/>
        <v>0</v>
      </c>
      <c r="AE85" s="134">
        <f t="shared" si="7"/>
        <v>5</v>
      </c>
      <c r="AF85" s="128" t="str">
        <f>IFERROR(__xludf.DUMMYFUNCTION("iferror(join("","",index(sort(filter($F86:$F$398,$O86:$O$398&gt;$O85),2,false),0,1)))"),"Arizona,Missouri,West Virginia")</f>
        <v>Arizona,Missouri,West Virginia</v>
      </c>
      <c r="AG85" s="132">
        <f>IFERROR(__xludf.DUMMYFUNCTION("iferror($O85-max(filter($O85:$O$397,$E85:$E$397=$E$2)))"),-2.0)</f>
        <v>-2</v>
      </c>
      <c r="AH85" s="131">
        <f t="shared" si="8"/>
        <v>0</v>
      </c>
      <c r="AI85" s="131">
        <f>IFERROR(__xludf.DUMMYFUNCTION("iferror(COUNT(filter($O86:$O$397,$O86:$O$397&gt;$O85,$E85:$E$397=$E$2)))"),0.0)</f>
        <v>0</v>
      </c>
      <c r="AJ85" s="133">
        <f t="shared" si="9"/>
        <v>0</v>
      </c>
      <c r="AK85" s="134">
        <f>IFERROR(__xludf.DUMMYFUNCTION("iferror($O85-min(filter($O85:$O$397,$E85:$E$397=$E$2)))"),6.0)</f>
        <v>6</v>
      </c>
      <c r="AL85" s="128" t="str">
        <f>IFERROR(__xludf.DUMMYFUNCTION("iferror(join("","",index(sort(filter($F86:$F$397,$O86:$O$397&gt;$O85,$E86:$E$397=$E$2),2,false),0,1)))"),"Missouri")</f>
        <v>Missouri</v>
      </c>
      <c r="AM85" s="128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"""")"),"Big 12,Big Ten,Pac12,SEC")</f>
        <v>Big 12,Big Ten,Pac12,SEC</v>
      </c>
      <c r="AN85" s="132">
        <f>IFERROR(__xludf.DUMMYFUNCTION("iferror($O85-max(filter($O85:$O$397,arrayformula(isnumber(FIND($E85:$E$397,AM85))))))"),-2.0)</f>
        <v>-2</v>
      </c>
      <c r="AO85" s="131">
        <f t="array" ref="AO85">countifs($O$2:$O84,"&lt;"&amp;$O85,isnumber(FIND($E$2:$E84,AM85)),TRUE)</f>
        <v>14</v>
      </c>
      <c r="AP85" s="131">
        <f>IFERROR(__xludf.DUMMYFUNCTION("iferror(COUNT(filter($O86:$O$397,$O86:$O$397&gt;$O85,arrayformula(isnumber(FIND($E86:$E$397,AM85))))))"),3.0)</f>
        <v>3</v>
      </c>
      <c r="AQ85" s="133">
        <f t="shared" si="10"/>
        <v>0</v>
      </c>
      <c r="AR85" s="134">
        <f>IFERROR(__xludf.DUMMYFUNCTION("$O85-min(filter($O85:$O$397,arrayformula(isnumber(FIND($E85:$E$397,AM85)))))"),6.0)</f>
        <v>6</v>
      </c>
      <c r="AS85" s="128" t="str">
        <f>IFERROR(__xludf.DUMMYFUNCTION("iferror(join("","",index(sort(filter($F86:$F$397,$O86:$O$397&gt;$O85,arrayformula(isnumber(FIND($E86:$E$397,AM85)))),2,false),0,1)))"),"Arizona,Missouri,West Virginia")</f>
        <v>Arizona,Missouri,West Virginia</v>
      </c>
    </row>
    <row r="86">
      <c r="A86" s="23">
        <v>85.0</v>
      </c>
      <c r="B86" s="23">
        <v>7.0</v>
      </c>
      <c r="C86" s="23">
        <v>7.0</v>
      </c>
      <c r="D86" s="135" t="s">
        <v>57</v>
      </c>
      <c r="E86" s="136" t="str">
        <f>if(F86&lt;&gt;"",VLOOKUP(F86,offset('Teams-Conference'!A:B,0,(counta('Draft Order'!B$2:B134)-10)*2),2,0),"")</f>
        <v>ACC</v>
      </c>
      <c r="F86" s="140" t="s">
        <v>208</v>
      </c>
      <c r="G86" s="138" t="str">
        <f t="shared" si="1"/>
        <v/>
      </c>
      <c r="H86" s="127">
        <f t="shared" si="2"/>
        <v>0</v>
      </c>
      <c r="I86" s="127">
        <f t="shared" si="3"/>
        <v>0</v>
      </c>
      <c r="J86" s="127">
        <f t="shared" si="11"/>
        <v>2</v>
      </c>
      <c r="K86" s="127">
        <f t="shared" ref="K86:K90" si="22">countif(E67:E86,E87)</f>
        <v>1</v>
      </c>
      <c r="L86" s="127">
        <v>4.0</v>
      </c>
      <c r="M86" s="127">
        <f>IFERROR(__xludf.DUMMYFUNCTION("counta(iferror(filter(L$2:L85,E$2:E85=E86,L$2:L85&lt;L86)))"),1.0)</f>
        <v>1</v>
      </c>
      <c r="N86" s="127">
        <f>IFERROR(__xludf.DUMMYFUNCTION("counta(iferror(filter(L87:L$131,E87:E$131=E86,L87:L$136&gt;L86)))"),0.0)</f>
        <v>0</v>
      </c>
      <c r="O86" s="129">
        <f t="array" ref="O86:Z86">XLOOKUP(F86,'Current Week'!C:C,'Current Week'!D:O)</f>
        <v>4</v>
      </c>
      <c r="P86" s="127">
        <v>8.0</v>
      </c>
      <c r="Q86" s="128"/>
      <c r="R86" s="128"/>
      <c r="S86" s="128"/>
      <c r="T86" s="128"/>
      <c r="U86" s="128"/>
      <c r="V86" s="131"/>
      <c r="W86" s="128"/>
      <c r="X86" s="131"/>
      <c r="Y86" s="131">
        <v>243.0</v>
      </c>
      <c r="Z86" s="131">
        <v>326.0</v>
      </c>
      <c r="AA86" s="132">
        <f t="shared" si="4"/>
        <v>-6</v>
      </c>
      <c r="AB86" s="131">
        <f t="shared" si="5"/>
        <v>7</v>
      </c>
      <c r="AC86" s="131">
        <f>IFERROR(__xludf.DUMMYFUNCTION("iferror(COUNT(filter($O87:$O$397,$O87:$O$397&gt;$O86)))"),25.0)</f>
        <v>25</v>
      </c>
      <c r="AD86" s="133">
        <f t="shared" si="6"/>
        <v>0</v>
      </c>
      <c r="AE86" s="134">
        <f t="shared" si="7"/>
        <v>1</v>
      </c>
      <c r="AF86" s="128" t="str">
        <f>IFERROR(__xludf.DUMMYFUNCTION("iferror(join("","",index(sort(filter($F87:$F$398,$O87:$O$398&gt;$O86),2,false),0,1)))"),"Bowling Green,Navy,Arkansas State,Texas A&amp;M,California,Arizona,Kentucky,South Carolina,Hawaii,Iowa State,BYU,Auburn,Texas State,Rutgers,Missouri,Boston College,South Florida,Northwestern,Old Dominion,Rice,Mississippi State,Georgia Tech,Florida,Virginia Te"&amp;"ch,West Virginia")</f>
        <v>Bowling Green,Navy,Arkansas State,Texas A&amp;M,California,Arizona,Kentucky,South Carolina,Hawaii,Iowa State,BYU,Auburn,Texas State,Rutgers,Missouri,Boston College,South Florida,Northwestern,Old Dominion,Rice,Mississippi State,Georgia Tech,Florida,Virginia Tech,West Virginia</v>
      </c>
      <c r="AG86" s="132">
        <f>IFERROR(__xludf.DUMMYFUNCTION("iferror($O86-max(filter($O86:$O$397,$E86:$E$397=$E$2)))"),-6.0)</f>
        <v>-6</v>
      </c>
      <c r="AH86" s="131">
        <f t="shared" si="8"/>
        <v>0</v>
      </c>
      <c r="AI86" s="131">
        <f>IFERROR(__xludf.DUMMYFUNCTION("iferror(COUNT(filter($O87:$O$397,$O87:$O$397&gt;$O86,$E86:$E$397=$E$2)))"),0.0)</f>
        <v>0</v>
      </c>
      <c r="AJ86" s="133">
        <f t="shared" si="9"/>
        <v>0</v>
      </c>
      <c r="AK86" s="134">
        <f>IFERROR(__xludf.DUMMYFUNCTION("iferror($O86-min(filter($O86:$O$397,$E86:$E$397=$E$2)))"),2.0)</f>
        <v>2</v>
      </c>
      <c r="AL86" s="128" t="str">
        <f>IFERROR(__xludf.DUMMYFUNCTION("iferror(join("","",index(sort(filter($F87:$F$397,$O87:$O$397&gt;$O86,$E87:$E$397=$E$2),2,false),0,1)))"),"Texas A&amp;M,Kentucky,South Carolina,Auburn,Missouri,Mississippi State,Florida")</f>
        <v>Texas A&amp;M,Kentucky,South Carolina,Auburn,Missouri,Mississippi State,Florida</v>
      </c>
      <c r="AM86" s="128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"""")"),"AAC,ACC,Big 12,,SEC")</f>
        <v>AAC,ACC,Big 12,,SEC</v>
      </c>
      <c r="AN86" s="132">
        <f>IFERROR(__xludf.DUMMYFUNCTION("iferror($O86-max(filter($O86:$O$397,arrayformula(isnumber(FIND($E86:$E$397,AM86))))))"),-6.0)</f>
        <v>-6</v>
      </c>
      <c r="AO86" s="131">
        <f t="array" ref="AO86">countifs($O$2:$O85,"&lt;"&amp;$O86,isnumber(FIND($E$2:$E85,AM86)),TRUE)</f>
        <v>3</v>
      </c>
      <c r="AP86" s="131">
        <f>IFERROR(__xludf.DUMMYFUNCTION("iferror(COUNT(filter($O87:$O$397,$O87:$O$397&gt;$O86,arrayformula(isnumber(FIND($E87:$E$397,AM86))))))"),16.0)</f>
        <v>16</v>
      </c>
      <c r="AQ86" s="133">
        <f t="shared" si="10"/>
        <v>0</v>
      </c>
      <c r="AR86" s="134">
        <f>IFERROR(__xludf.DUMMYFUNCTION("$O86-min(filter($O86:$O$397,arrayformula(isnumber(FIND($E86:$E$397,AM86)))))"),2.0)</f>
        <v>2</v>
      </c>
      <c r="AS86" s="128" t="str">
        <f>IFERROR(__xludf.DUMMYFUNCTION("iferror(join("","",index(sort(filter($F87:$F$397,$O87:$O$397&gt;$O86,arrayformula(isnumber(FIND($E87:$E$397,AM86)))),2,false),0,1)))"),"Navy,Texas A&amp;M,Kentucky,South Carolina,Iowa State,BYU,Auburn,Missouri,Boston College,South Florida,Rice,Mississippi State,Georgia Tech,Florida,Virginia Tech,West Virginia")</f>
        <v>Navy,Texas A&amp;M,Kentucky,South Carolina,Iowa State,BYU,Auburn,Missouri,Boston College,South Florida,Rice,Mississippi State,Georgia Tech,Florida,Virginia Tech,West Virginia</v>
      </c>
    </row>
    <row r="87">
      <c r="A87" s="23">
        <v>86.0</v>
      </c>
      <c r="B87" s="23">
        <v>7.0</v>
      </c>
      <c r="C87" s="23">
        <v>8.0</v>
      </c>
      <c r="D87" s="135" t="s">
        <v>67</v>
      </c>
      <c r="E87" s="136" t="str">
        <f>if(F87&lt;&gt;"",VLOOKUP(F87,offset('Teams-Conference'!A:B,0,(counta('Draft Order'!B$2:B134)-10)*2),2,0),"")</f>
        <v>MAC</v>
      </c>
      <c r="F87" s="137" t="s">
        <v>226</v>
      </c>
      <c r="G87" s="138" t="str">
        <f t="shared" si="1"/>
        <v/>
      </c>
      <c r="H87" s="127">
        <f t="shared" si="2"/>
        <v>1</v>
      </c>
      <c r="I87" s="127">
        <f t="shared" si="3"/>
        <v>1</v>
      </c>
      <c r="J87" s="127">
        <f t="shared" si="11"/>
        <v>0</v>
      </c>
      <c r="K87" s="127">
        <f t="shared" si="22"/>
        <v>1</v>
      </c>
      <c r="L87" s="127">
        <v>7.0</v>
      </c>
      <c r="M87" s="127">
        <f>IFERROR(__xludf.DUMMYFUNCTION("counta(iferror(filter(L$2:L86,E$2:E86=E87,L$2:L86&lt;L87)))"),5.0)</f>
        <v>5</v>
      </c>
      <c r="N87" s="127">
        <f>IFERROR(__xludf.DUMMYFUNCTION("counta(iferror(filter(L88:L$131,E88:E$131=E87,L88:L$136&gt;L87)))"),0.0)</f>
        <v>0</v>
      </c>
      <c r="O87" s="129">
        <f t="array" ref="O87:Z87">XLOOKUP(F87,'Current Week'!C:C,'Current Week'!D:O)</f>
        <v>7</v>
      </c>
      <c r="P87" s="127">
        <v>5.0</v>
      </c>
      <c r="Q87" s="128"/>
      <c r="R87" s="128"/>
      <c r="S87" s="128"/>
      <c r="T87" s="128"/>
      <c r="U87" s="128"/>
      <c r="V87" s="131"/>
      <c r="W87" s="128"/>
      <c r="X87" s="131"/>
      <c r="Y87" s="131">
        <v>316.0</v>
      </c>
      <c r="Z87" s="131">
        <v>282.0</v>
      </c>
      <c r="AA87" s="132">
        <f t="shared" si="4"/>
        <v>-3</v>
      </c>
      <c r="AB87" s="131">
        <f t="shared" si="5"/>
        <v>34</v>
      </c>
      <c r="AC87" s="131">
        <f>IFERROR(__xludf.DUMMYFUNCTION("iferror(COUNT(filter($O88:$O$397,$O88:$O$397&gt;$O87)))"),3.0)</f>
        <v>3</v>
      </c>
      <c r="AD87" s="133">
        <f t="shared" si="6"/>
        <v>0</v>
      </c>
      <c r="AE87" s="134">
        <f t="shared" si="7"/>
        <v>4</v>
      </c>
      <c r="AF87" s="128" t="str">
        <f>IFERROR(__xludf.DUMMYFUNCTION("iferror(join("","",index(sort(filter($F88:$F$398,$O88:$O$398&gt;$O87),2,false),0,1)))"),"Arizona,Missouri,West Virginia")</f>
        <v>Arizona,Missouri,West Virginia</v>
      </c>
      <c r="AG87" s="132">
        <f>IFERROR(__xludf.DUMMYFUNCTION("iferror($O87-max(filter($O87:$O$397,$E87:$E$397=$E$2)))"),-3.0)</f>
        <v>-3</v>
      </c>
      <c r="AH87" s="131">
        <f t="shared" si="8"/>
        <v>0</v>
      </c>
      <c r="AI87" s="131">
        <f>IFERROR(__xludf.DUMMYFUNCTION("iferror(COUNT(filter($O88:$O$397,$O88:$O$397&gt;$O87,$E87:$E$397=$E$2)))"),0.0)</f>
        <v>0</v>
      </c>
      <c r="AJ87" s="133">
        <f t="shared" si="9"/>
        <v>0</v>
      </c>
      <c r="AK87" s="134">
        <f>IFERROR(__xludf.DUMMYFUNCTION("iferror($O87-min(filter($O87:$O$397,$E87:$E$397=$E$2)))"),5.0)</f>
        <v>5</v>
      </c>
      <c r="AL87" s="128" t="str">
        <f>IFERROR(__xludf.DUMMYFUNCTION("iferror(join("","",index(sort(filter($F88:$F$397,$O88:$O$397&gt;$O87,$E88:$E$397=$E$2),2,false),0,1)))"),"Missouri")</f>
        <v>Missouri</v>
      </c>
      <c r="AM87" s="128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"""")"),"CUSA,MAC,MWC,Pac12")</f>
        <v>CUSA,MAC,MWC,Pac12</v>
      </c>
      <c r="AN87" s="132">
        <f>IFERROR(__xludf.DUMMYFUNCTION("iferror($O87-max(filter($O87:$O$397,arrayformula(isnumber(FIND($E87:$E$397,AM87))))))"),-2.0)</f>
        <v>-2</v>
      </c>
      <c r="AO87" s="131">
        <f t="array" ref="AO87">countifs($O$2:$O86,"&lt;"&amp;$O87,isnumber(FIND($E$2:$E86,AM87)),TRUE)</f>
        <v>13</v>
      </c>
      <c r="AP87" s="131">
        <f>IFERROR(__xludf.DUMMYFUNCTION("iferror(COUNT(filter($O88:$O$397,$O88:$O$397&gt;$O87,arrayformula(isnumber(FIND($E88:$E$397,AM87))))))"),1.0)</f>
        <v>1</v>
      </c>
      <c r="AQ87" s="133">
        <f t="shared" si="10"/>
        <v>0</v>
      </c>
      <c r="AR87" s="134">
        <f>IFERROR(__xludf.DUMMYFUNCTION("$O87-min(filter($O87:$O$397,arrayformula(isnumber(FIND($E87:$E$397,AM87)))))"),6.0)</f>
        <v>6</v>
      </c>
      <c r="AS87" s="128" t="str">
        <f>IFERROR(__xludf.DUMMYFUNCTION("iferror(join("","",index(sort(filter($F88:$F$397,$O88:$O$397&gt;$O87,arrayformula(isnumber(FIND($E88:$E$397,AM87)))),2,false),0,1)))"),"Arizona")</f>
        <v>Arizona</v>
      </c>
    </row>
    <row r="88">
      <c r="A88" s="23">
        <v>87.0</v>
      </c>
      <c r="B88" s="23">
        <v>7.0</v>
      </c>
      <c r="C88" s="23">
        <v>9.0</v>
      </c>
      <c r="D88" s="135" t="s">
        <v>59</v>
      </c>
      <c r="E88" s="136" t="str">
        <f>if(F88&lt;&gt;"",VLOOKUP(F88,offset('Teams-Conference'!A:B,0,(counta('Draft Order'!B$2:B134)-10)*2),2,0),"")</f>
        <v>AAC</v>
      </c>
      <c r="F88" s="140" t="s">
        <v>234</v>
      </c>
      <c r="G88" s="138" t="str">
        <f t="shared" si="1"/>
        <v/>
      </c>
      <c r="H88" s="127">
        <f t="shared" si="2"/>
        <v>2</v>
      </c>
      <c r="I88" s="127">
        <f t="shared" si="3"/>
        <v>2</v>
      </c>
      <c r="J88" s="127">
        <f t="shared" si="11"/>
        <v>1</v>
      </c>
      <c r="K88" s="127">
        <f t="shared" si="22"/>
        <v>2</v>
      </c>
      <c r="L88" s="127">
        <v>5.0</v>
      </c>
      <c r="M88" s="127">
        <f>IFERROR(__xludf.DUMMYFUNCTION("counta(iferror(filter(L$2:L87,E$2:E87=E88,L$2:L87&lt;L88)))"),2.0)</f>
        <v>2</v>
      </c>
      <c r="N88" s="127">
        <f>IFERROR(__xludf.DUMMYFUNCTION("counta(iferror(filter(L89:L$131,E89:E$131=E88,L89:L$136&gt;L88)))"),0.0)</f>
        <v>0</v>
      </c>
      <c r="O88" s="129">
        <f t="array" ref="O88:Z88">XLOOKUP(F88,'Current Week'!C:C,'Current Week'!D:O)</f>
        <v>5</v>
      </c>
      <c r="P88" s="127">
        <v>7.0</v>
      </c>
      <c r="Q88" s="128"/>
      <c r="R88" s="128"/>
      <c r="S88" s="128"/>
      <c r="T88" s="128"/>
      <c r="U88" s="128"/>
      <c r="V88" s="131"/>
      <c r="W88" s="128"/>
      <c r="X88" s="131"/>
      <c r="Y88" s="131">
        <v>201.0</v>
      </c>
      <c r="Z88" s="131">
        <v>252.0</v>
      </c>
      <c r="AA88" s="132">
        <f t="shared" si="4"/>
        <v>-5</v>
      </c>
      <c r="AB88" s="131">
        <f t="shared" si="5"/>
        <v>14</v>
      </c>
      <c r="AC88" s="131">
        <f>IFERROR(__xludf.DUMMYFUNCTION("iferror(COUNT(filter($O89:$O$397,$O89:$O$397&gt;$O88)))"),18.0)</f>
        <v>18</v>
      </c>
      <c r="AD88" s="133">
        <f t="shared" si="6"/>
        <v>0</v>
      </c>
      <c r="AE88" s="134">
        <f t="shared" si="7"/>
        <v>2</v>
      </c>
      <c r="AF88" s="128" t="str">
        <f>IFERROR(__xludf.DUMMYFUNCTION("iferror(join("","",index(sort(filter($F89:$F$398,$O89:$O$398&gt;$O88),2,false),0,1)))"),"Arkansas State,Texas A&amp;M,California,Arizona,Kentucky,Iowa State,Auburn,Texas State,Rutgers,Missouri,Boston College,South Florida,Northwestern,Old Dominion,Rice,Georgia Tech,Virginia Tech,West Virginia")</f>
        <v>Arkansas State,Texas A&amp;M,California,Arizona,Kentucky,Iowa State,Auburn,Texas State,Rutgers,Missouri,Boston College,South Florida,Northwestern,Old Dominion,Rice,Georgia Tech,Virginia Tech,West Virginia</v>
      </c>
      <c r="AG88" s="132">
        <f>IFERROR(__xludf.DUMMYFUNCTION("iferror($O88-max(filter($O88:$O$397,$E88:$E$397=$E$2)))"),-5.0)</f>
        <v>-5</v>
      </c>
      <c r="AH88" s="131">
        <f t="shared" si="8"/>
        <v>0</v>
      </c>
      <c r="AI88" s="131">
        <f>IFERROR(__xludf.DUMMYFUNCTION("iferror(COUNT(filter($O89:$O$397,$O89:$O$397&gt;$O88,$E88:$E$397=$E$2)))"),0.0)</f>
        <v>0</v>
      </c>
      <c r="AJ88" s="133">
        <f t="shared" si="9"/>
        <v>0</v>
      </c>
      <c r="AK88" s="134">
        <f>IFERROR(__xludf.DUMMYFUNCTION("iferror($O88-min(filter($O88:$O$397,$E88:$E$397=$E$2)))"),3.0)</f>
        <v>3</v>
      </c>
      <c r="AL88" s="128" t="str">
        <f>IFERROR(__xludf.DUMMYFUNCTION("iferror(join("","",index(sort(filter($F89:$F$397,$O89:$O$397&gt;$O88,$E89:$E$397=$E$2),2,false),0,1)))"),"Texas A&amp;M,Kentucky,Auburn,Missouri")</f>
        <v>Texas A&amp;M,Kentucky,Auburn,Missouri</v>
      </c>
      <c r="AM88" s="128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"""")"),"AAC,ACC,,CUSA,SEC")</f>
        <v>AAC,ACC,,CUSA,SEC</v>
      </c>
      <c r="AN88" s="132">
        <f>IFERROR(__xludf.DUMMYFUNCTION("iferror($O88-max(filter($O88:$O$397,arrayformula(isnumber(FIND($E88:$E$397,AM88))))))"),-5.0)</f>
        <v>-5</v>
      </c>
      <c r="AO88" s="131">
        <f t="array" ref="AO88">countifs($O$2:$O87,"&lt;"&amp;$O88,isnumber(FIND($E$2:$E87,AM88)),TRUE)</f>
        <v>7</v>
      </c>
      <c r="AP88" s="131">
        <f>IFERROR(__xludf.DUMMYFUNCTION("iferror(COUNT(filter($O89:$O$397,$O89:$O$397&gt;$O88,arrayformula(isnumber(FIND($E89:$E$397,AM88))))))"),10.0)</f>
        <v>10</v>
      </c>
      <c r="AQ88" s="133">
        <f t="shared" si="10"/>
        <v>0</v>
      </c>
      <c r="AR88" s="134">
        <f>IFERROR(__xludf.DUMMYFUNCTION("$O88-min(filter($O88:$O$397,arrayformula(isnumber(FIND($E88:$E$397,AM88)))))"),3.0)</f>
        <v>3</v>
      </c>
      <c r="AS88" s="128" t="str">
        <f>IFERROR(__xludf.DUMMYFUNCTION("iferror(join("","",index(sort(filter($F89:$F$397,$O89:$O$397&gt;$O88,arrayformula(isnumber(FIND($E89:$E$397,AM88)))),2,false),0,1)))"),"Texas A&amp;M,Kentucky,Auburn,Rutgers,Missouri,Boston College,South Florida,Rice,Georgia Tech,Virginia Tech")</f>
        <v>Texas A&amp;M,Kentucky,Auburn,Rutgers,Missouri,Boston College,South Florida,Rice,Georgia Tech,Virginia Tech</v>
      </c>
    </row>
    <row r="89">
      <c r="A89" s="23">
        <v>88.0</v>
      </c>
      <c r="B89" s="23">
        <v>7.0</v>
      </c>
      <c r="C89" s="23">
        <v>10.0</v>
      </c>
      <c r="D89" s="135" t="s">
        <v>62</v>
      </c>
      <c r="E89" s="136" t="str">
        <f>if(F89&lt;&gt;"",VLOOKUP(F89,offset('Teams-Conference'!A:B,0,(counta('Draft Order'!B$2:B134)-10)*2),2,0),"")</f>
        <v>AAC</v>
      </c>
      <c r="F89" s="140" t="s">
        <v>246</v>
      </c>
      <c r="G89" s="138" t="str">
        <f t="shared" si="1"/>
        <v/>
      </c>
      <c r="H89" s="127">
        <f t="shared" si="2"/>
        <v>1</v>
      </c>
      <c r="I89" s="127">
        <f t="shared" si="3"/>
        <v>1</v>
      </c>
      <c r="J89" s="127">
        <f t="shared" si="11"/>
        <v>2</v>
      </c>
      <c r="K89" s="127">
        <f t="shared" si="22"/>
        <v>3</v>
      </c>
      <c r="L89" s="127">
        <v>2.0</v>
      </c>
      <c r="M89" s="127">
        <f>IFERROR(__xludf.DUMMYFUNCTION("counta(iferror(filter(L$2:L88,E$2:E88=E89,L$2:L88&lt;L89)))"),0.0)</f>
        <v>0</v>
      </c>
      <c r="N89" s="127">
        <f>IFERROR(__xludf.DUMMYFUNCTION("counta(iferror(filter(L90:L$131,E90:E$131=E89,L90:L$136&gt;L89)))"),0.0)</f>
        <v>0</v>
      </c>
      <c r="O89" s="129">
        <f t="array" ref="O89:Z89">XLOOKUP(F89,'Current Week'!C:C,'Current Week'!D:O)</f>
        <v>2</v>
      </c>
      <c r="P89" s="127">
        <v>10.0</v>
      </c>
      <c r="Q89" s="128"/>
      <c r="R89" s="128"/>
      <c r="S89" s="128"/>
      <c r="T89" s="128"/>
      <c r="U89" s="128"/>
      <c r="V89" s="131"/>
      <c r="W89" s="128"/>
      <c r="X89" s="131"/>
      <c r="Y89" s="131">
        <v>208.0</v>
      </c>
      <c r="Z89" s="131">
        <v>269.0</v>
      </c>
      <c r="AA89" s="132">
        <f t="shared" si="4"/>
        <v>-8</v>
      </c>
      <c r="AB89" s="131">
        <f t="shared" si="5"/>
        <v>0</v>
      </c>
      <c r="AC89" s="131">
        <f>IFERROR(__xludf.DUMMYFUNCTION("iferror(COUNT(filter($O90:$O$397,$O90:$O$397&gt;$O89)))"),40.0)</f>
        <v>40</v>
      </c>
      <c r="AD89" s="133">
        <f t="shared" si="6"/>
        <v>0</v>
      </c>
      <c r="AE89" s="134">
        <f t="shared" si="7"/>
        <v>0</v>
      </c>
      <c r="AF89" s="128" t="str">
        <f>IFERROR(__xludf.DUMMYFUNCTION("iferror(join("","",index(sort(filter($F90:$F$398,$O90:$O$398&gt;$O89),2,false),0,1)))"),"Arkansas State,Texas A&amp;M,UAB,Western Michigan,California,Cincinnati,UConn,Arizona,Arkansas,Kentucky,South Carolina,Hawaii,Iowa State,BYU,Sam Houston,New Mexico,Auburn,Texas State,Arizona State,Rutgers,Indiana,Tulsa,Florida Intl,Missouri,Boston College,Sou"&amp;"th Florida,Northwestern,Colorado,Old Dominion,Rice,Charlotte,Mississippi State,Georgia Tech,Houston,Stanford,UMASS,Florida,Virginia Tech,Virginia,West Virginia")</f>
        <v>Arkansas State,Texas A&amp;M,UAB,Western Michigan,California,Cincinnati,UConn,Arizona,Arkansas,Kentucky,South Carolina,Hawaii,Iowa State,BYU,Sam Houston,New Mexico,Auburn,Texas State,Arizona State,Rutgers,Indiana,Tulsa,Florida Intl,Missouri,Boston College,South Florida,Northwestern,Colorado,Old Dominion,Rice,Charlotte,Mississippi State,Georgia Tech,Houston,Stanford,UMASS,Florida,Virginia Tech,Virginia,West Virginia</v>
      </c>
      <c r="AG89" s="132">
        <f>IFERROR(__xludf.DUMMYFUNCTION("iferror($O89-max(filter($O89:$O$397,$E89:$E$397=$E$2)))"),-8.0)</f>
        <v>-8</v>
      </c>
      <c r="AH89" s="131">
        <f t="shared" si="8"/>
        <v>0</v>
      </c>
      <c r="AI89" s="131">
        <f>IFERROR(__xludf.DUMMYFUNCTION("iferror(COUNT(filter($O90:$O$397,$O90:$O$397&gt;$O89,$E89:$E$397=$E$2)))"),0.0)</f>
        <v>0</v>
      </c>
      <c r="AJ89" s="133">
        <f t="shared" si="9"/>
        <v>0</v>
      </c>
      <c r="AK89" s="134">
        <f>IFERROR(__xludf.DUMMYFUNCTION("iferror($O89-min(filter($O89:$O$397,$E89:$E$397=$E$2)))"),0.0)</f>
        <v>0</v>
      </c>
      <c r="AL89" s="128" t="str">
        <f>IFERROR(__xludf.DUMMYFUNCTION("iferror(join("","",index(sort(filter($F90:$F$397,$O90:$O$397&gt;$O89,$E90:$E$397=$E$2),2,false),0,1)))"),"Texas A&amp;M,Arkansas,Kentucky,South Carolina,Auburn,Missouri,Mississippi State,Florida")</f>
        <v>Texas A&amp;M,Arkansas,Kentucky,South Carolina,Auburn,Missouri,Mississippi State,Florida</v>
      </c>
      <c r="AM89" s="128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"""")"),"AAC,ACC,Big 12,,SEC")</f>
        <v>AAC,ACC,Big 12,,SEC</v>
      </c>
      <c r="AN89" s="132">
        <f>IFERROR(__xludf.DUMMYFUNCTION("iferror($O89-max(filter($O89:$O$397,arrayformula(isnumber(FIND($E89:$E$397,AM89))))))"),-8.0)</f>
        <v>-8</v>
      </c>
      <c r="AO89" s="131">
        <f t="array" ref="AO89">countifs($O$2:$O88,"&lt;"&amp;$O89,isnumber(FIND($E$2:$E88,AM89)),TRUE)</f>
        <v>0</v>
      </c>
      <c r="AP89" s="131">
        <f>IFERROR(__xludf.DUMMYFUNCTION("iferror(COUNT(filter($O90:$O$397,$O90:$O$397&gt;$O89,arrayformula(isnumber(FIND($E90:$E$397,AM89))))))"),21.0)</f>
        <v>21</v>
      </c>
      <c r="AQ89" s="133">
        <f t="shared" si="10"/>
        <v>0</v>
      </c>
      <c r="AR89" s="134">
        <f>IFERROR(__xludf.DUMMYFUNCTION("$O89-min(filter($O89:$O$397,arrayformula(isnumber(FIND($E89:$E$397,AM89)))))"),0.0)</f>
        <v>0</v>
      </c>
      <c r="AS89" s="128" t="str">
        <f>IFERROR(__xludf.DUMMYFUNCTION("iferror(join("","",index(sort(filter($F90:$F$397,$O90:$O$397&gt;$O89,arrayformula(isnumber(FIND($E90:$E$397,AM89)))),2,false),0,1)))"),"Texas A&amp;M,UAB,Cincinnati,Arkansas,Kentucky,South Carolina,Iowa State,BYU,Auburn,Tulsa,Missouri,Boston College,South Florida,Rice,Mississippi State,Georgia Tech,Houston,Florida,Virginia Tech,Virginia,West Virginia")</f>
        <v>Texas A&amp;M,UAB,Cincinnati,Arkansas,Kentucky,South Carolina,Iowa State,BYU,Auburn,Tulsa,Missouri,Boston College,South Florida,Rice,Mississippi State,Georgia Tech,Houston,Florida,Virginia Tech,Virginia,West Virginia</v>
      </c>
    </row>
    <row r="90">
      <c r="A90" s="23">
        <v>89.0</v>
      </c>
      <c r="B90" s="23">
        <v>7.0</v>
      </c>
      <c r="C90" s="23">
        <v>11.0</v>
      </c>
      <c r="D90" s="135" t="s">
        <v>69</v>
      </c>
      <c r="E90" s="136" t="str">
        <f>if(F90&lt;&gt;"",VLOOKUP(F90,offset('Teams-Conference'!A:B,0,(counta('Draft Order'!B$2:B134)-10)*2),2,0),"")</f>
        <v>Sun Belt</v>
      </c>
      <c r="F90" s="140" t="s">
        <v>254</v>
      </c>
      <c r="G90" s="138" t="str">
        <f t="shared" si="1"/>
        <v/>
      </c>
      <c r="H90" s="127">
        <f t="shared" si="2"/>
        <v>0</v>
      </c>
      <c r="I90" s="127">
        <f t="shared" si="3"/>
        <v>1</v>
      </c>
      <c r="J90" s="127">
        <f t="shared" si="11"/>
        <v>0</v>
      </c>
      <c r="K90" s="127">
        <f t="shared" si="22"/>
        <v>0</v>
      </c>
      <c r="L90" s="127">
        <v>6.0</v>
      </c>
      <c r="M90" s="127">
        <f>IFERROR(__xludf.DUMMYFUNCTION("counta(iferror(filter(L$2:L89,E$2:E89=E90,L$2:L89&lt;L90)))"),1.0)</f>
        <v>1</v>
      </c>
      <c r="N90" s="127">
        <f>IFERROR(__xludf.DUMMYFUNCTION("counta(iferror(filter(L91:L$131,E91:E$131=E90,L91:L$136&gt;L90)))"),0.0)</f>
        <v>0</v>
      </c>
      <c r="O90" s="129">
        <f t="array" ref="O90:Z90">XLOOKUP(F90,'Current Week'!C:C,'Current Week'!D:O)</f>
        <v>6</v>
      </c>
      <c r="P90" s="127">
        <v>6.0</v>
      </c>
      <c r="Q90" s="128"/>
      <c r="R90" s="128"/>
      <c r="S90" s="128"/>
      <c r="T90" s="128"/>
      <c r="U90" s="128"/>
      <c r="V90" s="131"/>
      <c r="W90" s="128"/>
      <c r="X90" s="131"/>
      <c r="Y90" s="131">
        <v>333.0</v>
      </c>
      <c r="Z90" s="131">
        <v>374.0</v>
      </c>
      <c r="AA90" s="132">
        <f t="shared" si="4"/>
        <v>-4</v>
      </c>
      <c r="AB90" s="131">
        <f t="shared" si="5"/>
        <v>24</v>
      </c>
      <c r="AC90" s="131">
        <f>IFERROR(__xludf.DUMMYFUNCTION("iferror(COUNT(filter($O91:$O$397,$O91:$O$397&gt;$O90)))"),8.0)</f>
        <v>8</v>
      </c>
      <c r="AD90" s="133">
        <f t="shared" si="6"/>
        <v>0</v>
      </c>
      <c r="AE90" s="134">
        <f t="shared" si="7"/>
        <v>4</v>
      </c>
      <c r="AF90" s="128" t="str">
        <f>IFERROR(__xludf.DUMMYFUNCTION("iferror(join("","",index(sort(filter($F91:$F$398,$O91:$O$398&gt;$O90),2,false),0,1)))"),"Texas A&amp;M,Arizona,Kentucky,Iowa State,Texas State,Missouri,Northwestern,West Virginia")</f>
        <v>Texas A&amp;M,Arizona,Kentucky,Iowa State,Texas State,Missouri,Northwestern,West Virginia</v>
      </c>
      <c r="AG90" s="132">
        <f>IFERROR(__xludf.DUMMYFUNCTION("iferror($O90-max(filter($O90:$O$397,$E90:$E$397=$E$2)))"),-4.0)</f>
        <v>-4</v>
      </c>
      <c r="AH90" s="131">
        <f t="shared" si="8"/>
        <v>0</v>
      </c>
      <c r="AI90" s="131">
        <f>IFERROR(__xludf.DUMMYFUNCTION("iferror(COUNT(filter($O91:$O$397,$O91:$O$397&gt;$O90,$E90:$E$397=$E$2)))"),0.0)</f>
        <v>0</v>
      </c>
      <c r="AJ90" s="133">
        <f t="shared" si="9"/>
        <v>0</v>
      </c>
      <c r="AK90" s="134">
        <f>IFERROR(__xludf.DUMMYFUNCTION("iferror($O90-min(filter($O90:$O$397,$E90:$E$397=$E$2)))"),4.0)</f>
        <v>4</v>
      </c>
      <c r="AL90" s="128" t="str">
        <f>IFERROR(__xludf.DUMMYFUNCTION("iferror(join("","",index(sort(filter($F91:$F$397,$O91:$O$397&gt;$O90,$E91:$E$397=$E$2),2,false),0,1)))"),"Texas A&amp;M,Kentucky,Missouri")</f>
        <v>Texas A&amp;M,Kentucky,Missouri</v>
      </c>
      <c r="AM90" s="128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"""")"),"AAC,,MAC,Pac12,Sun Belt")</f>
        <v>AAC,,MAC,Pac12,Sun Belt</v>
      </c>
      <c r="AN90" s="132">
        <f>IFERROR(__xludf.DUMMYFUNCTION("iferror($O90-max(filter($O90:$O$397,arrayformula(isnumber(FIND($E90:$E$397,AM90))))))"),-3.0)</f>
        <v>-3</v>
      </c>
      <c r="AO90" s="131">
        <f t="array" ref="AO90">countifs($O$2:$O89,"&lt;"&amp;$O90,isnumber(FIND($E$2:$E89,AM90)),TRUE)</f>
        <v>10</v>
      </c>
      <c r="AP90" s="131">
        <f>IFERROR(__xludf.DUMMYFUNCTION("iferror(COUNT(filter($O91:$O$397,$O91:$O$397&gt;$O90,arrayformula(isnumber(FIND($E91:$E$397,AM90))))))"),2.0)</f>
        <v>2</v>
      </c>
      <c r="AQ90" s="133">
        <f t="shared" si="10"/>
        <v>0</v>
      </c>
      <c r="AR90" s="134">
        <f>IFERROR(__xludf.DUMMYFUNCTION("$O90-min(filter($O90:$O$397,arrayformula(isnumber(FIND($E90:$E$397,AM90)))))"),5.0)</f>
        <v>5</v>
      </c>
      <c r="AS90" s="128" t="str">
        <f>IFERROR(__xludf.DUMMYFUNCTION("iferror(join("","",index(sort(filter($F91:$F$397,$O91:$O$397&gt;$O90,arrayformula(isnumber(FIND($E91:$E$397,AM90)))),2,false),0,1)))"),"Arizona,Texas State")</f>
        <v>Arizona,Texas State</v>
      </c>
    </row>
    <row r="91">
      <c r="A91" s="23">
        <v>90.0</v>
      </c>
      <c r="B91" s="23">
        <v>7.0</v>
      </c>
      <c r="C91" s="23">
        <v>12.0</v>
      </c>
      <c r="D91" s="135" t="s">
        <v>125</v>
      </c>
      <c r="E91" t="str">
        <f>if(F91&lt;&gt;"",VLOOKUP(F91,offset('Teams-Conference'!A:B,0,(counta('Draft Order'!B$2:B134)-10)*2),2,0),"")</f>
        <v>SEC</v>
      </c>
      <c r="F91" s="140" t="s">
        <v>264</v>
      </c>
      <c r="G91" s="138" t="str">
        <f t="shared" si="1"/>
        <v/>
      </c>
      <c r="H91" s="127">
        <f t="shared" si="2"/>
        <v>3</v>
      </c>
      <c r="I91" s="127">
        <f t="shared" si="3"/>
        <v>4</v>
      </c>
      <c r="J91" s="127">
        <f t="shared" si="11"/>
        <v>0</v>
      </c>
      <c r="K91" s="127">
        <f>countif(E72:E91,E93)</f>
        <v>2</v>
      </c>
      <c r="L91" s="127">
        <v>7.0</v>
      </c>
      <c r="M91" s="127">
        <f>IFERROR(__xludf.DUMMYFUNCTION("counta(iferror(filter(L$2:L90,E$2:E90=E91,L$2:L90&lt;L91)))"),0.0)</f>
        <v>0</v>
      </c>
      <c r="N91" s="127">
        <f>IFERROR(__xludf.DUMMYFUNCTION("counta(iferror(filter(L92:L$131,E92:E$131=E91,L92:L$136&gt;L91)))"),0.0)</f>
        <v>0</v>
      </c>
      <c r="O91" s="129">
        <f t="array" ref="O91:Z91">XLOOKUP(F91,'Current Week'!C:C,'Current Week'!D:O)</f>
        <v>7</v>
      </c>
      <c r="P91" s="127">
        <v>5.0</v>
      </c>
      <c r="Q91" s="128"/>
      <c r="R91" s="128"/>
      <c r="S91" s="128"/>
      <c r="T91" s="128"/>
      <c r="U91" s="128"/>
      <c r="V91" s="131"/>
      <c r="W91" s="128"/>
      <c r="X91" s="131"/>
      <c r="Y91" s="131">
        <v>410.0</v>
      </c>
      <c r="Z91" s="131">
        <v>256.0</v>
      </c>
      <c r="AA91" s="132">
        <f t="shared" si="4"/>
        <v>-3</v>
      </c>
      <c r="AB91" s="131">
        <f t="shared" si="5"/>
        <v>37</v>
      </c>
      <c r="AC91" s="131">
        <f>IFERROR(__xludf.DUMMYFUNCTION("iferror(COUNT(filter($O92:$O$397,$O92:$O$397&gt;$O91)))"),3.0)</f>
        <v>3</v>
      </c>
      <c r="AD91" s="133">
        <f t="shared" si="6"/>
        <v>0</v>
      </c>
      <c r="AE91" s="134">
        <f t="shared" si="7"/>
        <v>5</v>
      </c>
      <c r="AF91" s="128" t="str">
        <f>IFERROR(__xludf.DUMMYFUNCTION("iferror(join("","",index(sort(filter($F92:$F$398,$O92:$O$398&gt;$O91),2,false),0,1)))"),"Arizona,Missouri,West Virginia")</f>
        <v>Arizona,Missouri,West Virginia</v>
      </c>
      <c r="AG91" s="132">
        <f>IFERROR(__xludf.DUMMYFUNCTION("iferror($O91-max(filter($O91:$O$397,$E91:$E$397=$E$2)))"),-3.0)</f>
        <v>-3</v>
      </c>
      <c r="AH91" s="131">
        <f t="shared" si="8"/>
        <v>0</v>
      </c>
      <c r="AI91" s="131">
        <f>IFERROR(__xludf.DUMMYFUNCTION("iferror(COUNT(filter($O92:$O$397,$O92:$O$397&gt;$O91,$E91:$E$397=$E$2)))"),0.0)</f>
        <v>0</v>
      </c>
      <c r="AJ91" s="133">
        <f t="shared" si="9"/>
        <v>0</v>
      </c>
      <c r="AK91" s="134">
        <f>IFERROR(__xludf.DUMMYFUNCTION("iferror($O91-min(filter($O91:$O$397,$E91:$E$397=$E$2)))"),5.0)</f>
        <v>5</v>
      </c>
      <c r="AL91" s="128" t="str">
        <f>IFERROR(__xludf.DUMMYFUNCTION("iferror(join("","",index(sort(filter($F92:$F$397,$O92:$O$397&gt;$O91,$E92:$E$397=$E$2),2,false),0,1)))"),"Missouri")</f>
        <v>Missouri</v>
      </c>
      <c r="AM91" s="128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"""")"),"AAC,,Big Ten,MWC,SEC")</f>
        <v>AAC,,Big Ten,MWC,SEC</v>
      </c>
      <c r="AN91" s="132">
        <f>IFERROR(__xludf.DUMMYFUNCTION("iferror($O91-max(filter($O91:$O$397,arrayformula(isnumber(FIND($E91:$E$397,AM91))))))"),-3.0)</f>
        <v>-3</v>
      </c>
      <c r="AO91" s="131">
        <f t="array" ref="AO91">countifs($O$2:$O90,"&lt;"&amp;$O91,isnumber(FIND($E$2:$E90,AM91)),TRUE)</f>
        <v>13</v>
      </c>
      <c r="AP91" s="131">
        <f>IFERROR(__xludf.DUMMYFUNCTION("iferror(COUNT(filter($O92:$O$397,$O92:$O$397&gt;$O91,arrayformula(isnumber(FIND($E92:$E$397,AM91))))))"),1.0)</f>
        <v>1</v>
      </c>
      <c r="AQ91" s="133">
        <f t="shared" si="10"/>
        <v>0</v>
      </c>
      <c r="AR91" s="134">
        <f>IFERROR(__xludf.DUMMYFUNCTION("$O91-min(filter($O91:$O$397,arrayformula(isnumber(FIND($E91:$E$397,AM91)))))"),5.0)</f>
        <v>5</v>
      </c>
      <c r="AS91" s="128" t="str">
        <f>IFERROR(__xludf.DUMMYFUNCTION("iferror(join("","",index(sort(filter($F92:$F$397,$O92:$O$397&gt;$O91,arrayformula(isnumber(FIND($E92:$E$397,AM91)))),2,false),0,1)))"),"Missouri")</f>
        <v>Missouri</v>
      </c>
    </row>
    <row r="92">
      <c r="A92" s="141">
        <v>91.0</v>
      </c>
      <c r="B92" s="141">
        <v>7.0</v>
      </c>
      <c r="C92" s="141">
        <v>13.0</v>
      </c>
      <c r="D92" s="142" t="s">
        <v>61</v>
      </c>
      <c r="E92" s="143" t="str">
        <f>if(F92&lt;&gt;"",VLOOKUP(F92,offset('Teams-Conference'!A:B,0,(counta('Draft Order'!B$2:B134)-10)*2),2,0),"")</f>
        <v>AAC</v>
      </c>
      <c r="F92" s="144" t="s">
        <v>271</v>
      </c>
      <c r="G92" s="145" t="str">
        <f t="shared" si="1"/>
        <v/>
      </c>
      <c r="H92" s="127">
        <f t="shared" si="2"/>
        <v>0</v>
      </c>
      <c r="I92" s="127">
        <f t="shared" si="3"/>
        <v>1</v>
      </c>
      <c r="J92" s="127">
        <f t="shared" si="11"/>
        <v>2</v>
      </c>
      <c r="K92" s="128"/>
      <c r="L92" s="127">
        <v>4.0</v>
      </c>
      <c r="M92" s="127">
        <f>IFERROR(__xludf.DUMMYFUNCTION("counta(iferror(filter(L$2:L91,E$2:E91=E92,L$2:L91&lt;L92)))"),2.0)</f>
        <v>2</v>
      </c>
      <c r="N92" s="127">
        <f>IFERROR(__xludf.DUMMYFUNCTION("counta(iferror(filter(L93:L$131,E93:E$131=E92,L93:L$136&gt;L92)))"),0.0)</f>
        <v>0</v>
      </c>
      <c r="O92" s="129">
        <f t="array" ref="O92:Z92">XLOOKUP(F92,'Current Week'!C:C,'Current Week'!D:O)</f>
        <v>4</v>
      </c>
      <c r="P92" s="127">
        <v>8.0</v>
      </c>
      <c r="Q92" s="128"/>
      <c r="R92" s="128"/>
      <c r="S92" s="128"/>
      <c r="T92" s="128"/>
      <c r="U92" s="128"/>
      <c r="V92" s="131"/>
      <c r="W92" s="128"/>
      <c r="X92" s="131"/>
      <c r="Y92" s="131">
        <v>359.0</v>
      </c>
      <c r="Z92" s="131">
        <v>443.0</v>
      </c>
      <c r="AA92" s="132">
        <f t="shared" si="4"/>
        <v>-6</v>
      </c>
      <c r="AB92" s="131">
        <f t="shared" si="5"/>
        <v>8</v>
      </c>
      <c r="AC92" s="131">
        <f>IFERROR(__xludf.DUMMYFUNCTION("iferror(COUNT(filter($O93:$O$397,$O93:$O$397&gt;$O92)))"),21.0)</f>
        <v>21</v>
      </c>
      <c r="AD92" s="133">
        <f t="shared" si="6"/>
        <v>0</v>
      </c>
      <c r="AE92" s="134">
        <f t="shared" si="7"/>
        <v>2</v>
      </c>
      <c r="AF92" s="128" t="str">
        <f>IFERROR(__xludf.DUMMYFUNCTION("iferror(join("","",index(sort(filter($F93:$F$398,$O93:$O$398&gt;$O92),2,false),0,1)))"),"California,Arizona,Kentucky,South Carolina,Hawaii,Iowa State,BYU,Auburn,Texas State,Rutgers,Missouri,Boston College,South Florida,Northwestern,Old Dominion,Rice,Mississippi State,Georgia Tech,Florida,Virginia Tech,West Virginia")</f>
        <v>California,Arizona,Kentucky,South Carolina,Hawaii,Iowa State,BYU,Auburn,Texas State,Rutgers,Missouri,Boston College,South Florida,Northwestern,Old Dominion,Rice,Mississippi State,Georgia Tech,Florida,Virginia Tech,West Virginia</v>
      </c>
      <c r="AG92" s="132">
        <f>IFERROR(__xludf.DUMMYFUNCTION("iferror($O92-max(filter($O92:$O$397,$E92:$E$397=$E$2)))"),-6.0)</f>
        <v>-6</v>
      </c>
      <c r="AH92" s="131">
        <f t="shared" si="8"/>
        <v>0</v>
      </c>
      <c r="AI92" s="131">
        <f>IFERROR(__xludf.DUMMYFUNCTION("iferror(COUNT(filter($O93:$O$397,$O93:$O$397&gt;$O92,$E92:$E$397=$E$2)))"),0.0)</f>
        <v>0</v>
      </c>
      <c r="AJ92" s="133">
        <f t="shared" si="9"/>
        <v>0</v>
      </c>
      <c r="AK92" s="134">
        <f>IFERROR(__xludf.DUMMYFUNCTION("iferror($O92-min(filter($O92:$O$397,$E92:$E$397=$E$2)))"),2.0)</f>
        <v>2</v>
      </c>
      <c r="AL92" s="128" t="str">
        <f>IFERROR(__xludf.DUMMYFUNCTION("iferror(join("","",index(sort(filter($F93:$F$397,$O93:$O$397&gt;$O92,$E93:$E$397=$E$2),2,false),0,1)))"),"Kentucky,South Carolina,Auburn,Missouri,Mississippi State,Florida")</f>
        <v>Kentucky,South Carolina,Auburn,Missouri,Mississippi State,Florida</v>
      </c>
      <c r="AM92" s="128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"""")"),"AAC,,MAC,Pac12,Sun Belt")</f>
        <v>AAC,,MAC,Pac12,Sun Belt</v>
      </c>
      <c r="AN92" s="132">
        <f>IFERROR(__xludf.DUMMYFUNCTION("iferror($O92-max(filter($O92:$O$397,arrayformula(isnumber(FIND($E92:$E$397,AM92))))))"),-5.0)</f>
        <v>-5</v>
      </c>
      <c r="AO92" s="131">
        <f t="array" ref="AO92">countifs($O$2:$O91,"&lt;"&amp;$O92,isnumber(FIND($E$2:$E91,AM92)),TRUE)</f>
        <v>4</v>
      </c>
      <c r="AP92" s="131">
        <f>IFERROR(__xludf.DUMMYFUNCTION("iferror(COUNT(filter($O93:$O$397,$O93:$O$397&gt;$O92,arrayformula(isnumber(FIND($E93:$E$397,AM92))))))"),6.0)</f>
        <v>6</v>
      </c>
      <c r="AQ92" s="133">
        <f t="shared" si="10"/>
        <v>0</v>
      </c>
      <c r="AR92" s="134">
        <f>IFERROR(__xludf.DUMMYFUNCTION("$O92-min(filter($O92:$O$397,arrayformula(isnumber(FIND($E92:$E$397,AM92)))))"),3.0)</f>
        <v>3</v>
      </c>
      <c r="AS92" s="128" t="str">
        <f>IFERROR(__xludf.DUMMYFUNCTION("iferror(join("","",index(sort(filter($F93:$F$397,$O93:$O$397&gt;$O92,arrayformula(isnumber(FIND($E93:$E$397,AM92)))),2,false),0,1)))"),"California,Arizona,Texas State,South Florida,Old Dominion,Rice")</f>
        <v>California,Arizona,Texas State,South Florida,Old Dominion,Rice</v>
      </c>
    </row>
    <row r="93">
      <c r="A93" s="122">
        <v>92.0</v>
      </c>
      <c r="B93" s="122">
        <v>8.0</v>
      </c>
      <c r="C93" s="122">
        <v>1.0</v>
      </c>
      <c r="D93" s="123" t="str">
        <f t="array" ref="D93:D105">index(sort('Draft Order'!$A$2:$B$14,1,0),0,2)</f>
        <v>Justin</v>
      </c>
      <c r="E93" s="124" t="str">
        <f>if(F93&lt;&gt;"",VLOOKUP(F93,offset('Teams-Conference'!A:B,0,(counta('Draft Order'!B$2:B134)-10)*2),2,0),"")</f>
        <v>MAC</v>
      </c>
      <c r="F93" s="125" t="s">
        <v>272</v>
      </c>
      <c r="G93" s="126" t="str">
        <f t="shared" si="1"/>
        <v/>
      </c>
      <c r="H93" s="127">
        <f t="shared" si="2"/>
        <v>0</v>
      </c>
      <c r="I93" s="127">
        <f t="shared" si="3"/>
        <v>0</v>
      </c>
      <c r="J93" s="127">
        <f t="shared" si="11"/>
        <v>1</v>
      </c>
      <c r="K93" s="127">
        <f t="shared" ref="K93:K98" si="23">countif(E73:E93,E94)</f>
        <v>3</v>
      </c>
      <c r="L93" s="127">
        <v>4.0</v>
      </c>
      <c r="M93" s="127">
        <f>IFERROR(__xludf.DUMMYFUNCTION("counta(iferror(filter(L$2:L92,E$2:E92=E93,L$2:L92&lt;L93)))"),1.0)</f>
        <v>1</v>
      </c>
      <c r="N93" s="127">
        <f>IFERROR(__xludf.DUMMYFUNCTION("counta(iferror(filter(L94:L$131,E94:E$131=E93,L94:L$136&gt;L93)))"),0.0)</f>
        <v>0</v>
      </c>
      <c r="O93" s="129">
        <f t="array" ref="O93:Z93">XLOOKUP(F93,'Current Week'!C:C,'Current Week'!D:O)</f>
        <v>4</v>
      </c>
      <c r="P93" s="127">
        <v>8.0</v>
      </c>
      <c r="Q93" s="128"/>
      <c r="R93" s="128"/>
      <c r="S93" s="128"/>
      <c r="T93" s="128"/>
      <c r="U93" s="128"/>
      <c r="V93" s="131"/>
      <c r="W93" s="128"/>
      <c r="X93" s="131"/>
      <c r="Y93" s="131">
        <v>284.0</v>
      </c>
      <c r="Z93" s="131">
        <v>381.0</v>
      </c>
      <c r="AA93" s="132">
        <f t="shared" si="4"/>
        <v>-6</v>
      </c>
      <c r="AB93" s="131">
        <f t="shared" si="5"/>
        <v>8</v>
      </c>
      <c r="AC93" s="131">
        <f>IFERROR(__xludf.DUMMYFUNCTION("iferror(COUNT(filter($O94:$O$397,$O94:$O$397&gt;$O93)))"),21.0)</f>
        <v>21</v>
      </c>
      <c r="AD93" s="133">
        <f t="shared" si="6"/>
        <v>0</v>
      </c>
      <c r="AE93" s="134">
        <f t="shared" si="7"/>
        <v>2</v>
      </c>
      <c r="AF93" s="128" t="str">
        <f>IFERROR(__xludf.DUMMYFUNCTION("iferror(join("","",index(sort(filter($F94:$F$398,$O94:$O$398&gt;$O93),2,false),0,1)))"),"California,Arizona,Kentucky,South Carolina,Hawaii,Iowa State,BYU,Auburn,Texas State,Rutgers,Missouri,Boston College,South Florida,Northwestern,Old Dominion,Rice,Mississippi State,Georgia Tech,Florida,Virginia Tech,West Virginia")</f>
        <v>California,Arizona,Kentucky,South Carolina,Hawaii,Iowa State,BYU,Auburn,Texas State,Rutgers,Missouri,Boston College,South Florida,Northwestern,Old Dominion,Rice,Mississippi State,Georgia Tech,Florida,Virginia Tech,West Virginia</v>
      </c>
      <c r="AG93" s="132">
        <f>IFERROR(__xludf.DUMMYFUNCTION("iferror($O93-max(filter($O93:$O$397,$E93:$E$397=$E$2)))"),-6.0)</f>
        <v>-6</v>
      </c>
      <c r="AH93" s="131">
        <f t="shared" si="8"/>
        <v>0</v>
      </c>
      <c r="AI93" s="131">
        <f>IFERROR(__xludf.DUMMYFUNCTION("iferror(COUNT(filter($O94:$O$397,$O94:$O$397&gt;$O93,$E93:$E$397=$E$2)))"),0.0)</f>
        <v>0</v>
      </c>
      <c r="AJ93" s="133">
        <f t="shared" si="9"/>
        <v>0</v>
      </c>
      <c r="AK93" s="134">
        <f>IFERROR(__xludf.DUMMYFUNCTION("iferror($O93-min(filter($O93:$O$397,$E93:$E$397=$E$2)))"),2.0)</f>
        <v>2</v>
      </c>
      <c r="AL93" s="128" t="str">
        <f>IFERROR(__xludf.DUMMYFUNCTION("iferror(join("","",index(sort(filter($F94:$F$397,$O94:$O$397&gt;$O93,$E94:$E$397=$E$2),2,false),0,1)))"),"Kentucky,South Carolina,Auburn,Missouri,Mississippi State,Florida")</f>
        <v>Kentucky,South Carolina,Auburn,Missouri,Mississippi State,Florida</v>
      </c>
      <c r="AM93" s="128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"""")"),"MAC,Pac12,Sun Belt")</f>
        <v>MAC,Pac12,Sun Belt</v>
      </c>
      <c r="AN93" s="132">
        <f>IFERROR(__xludf.DUMMYFUNCTION("iferror($O93-max(filter($O93:$O$397,arrayformula(isnumber(FIND($E93:$E$397,AM93))))))"),-5.0)</f>
        <v>-5</v>
      </c>
      <c r="AO93" s="131">
        <f t="array" ref="AO93">countifs($O$2:$O92,"&lt;"&amp;$O93,isnumber(FIND($E$2:$E92,AM93)),TRUE)</f>
        <v>2</v>
      </c>
      <c r="AP93" s="131">
        <f>IFERROR(__xludf.DUMMYFUNCTION("iferror(COUNT(filter($O94:$O$397,$O94:$O$397&gt;$O93,arrayformula(isnumber(FIND($E94:$E$397,AM93))))))"),4.0)</f>
        <v>4</v>
      </c>
      <c r="AQ93" s="133">
        <f t="shared" si="10"/>
        <v>0</v>
      </c>
      <c r="AR93" s="134">
        <f>IFERROR(__xludf.DUMMYFUNCTION("$O93-min(filter($O93:$O$397,arrayformula(isnumber(FIND($E93:$E$397,AM93)))))"),3.0)</f>
        <v>3</v>
      </c>
      <c r="AS93" s="128" t="str">
        <f>IFERROR(__xludf.DUMMYFUNCTION("iferror(join("","",index(sort(filter($F94:$F$397,$O94:$O$397&gt;$O93,arrayformula(isnumber(FIND($E94:$E$397,AM93)))),2,false),0,1)))"),"California,Arizona,Texas State,Old Dominion")</f>
        <v>California,Arizona,Texas State,Old Dominion</v>
      </c>
    </row>
    <row r="94">
      <c r="A94" s="23">
        <v>93.0</v>
      </c>
      <c r="B94" s="23">
        <v>8.0</v>
      </c>
      <c r="C94" s="23">
        <v>2.0</v>
      </c>
      <c r="D94" s="135" t="s">
        <v>125</v>
      </c>
      <c r="E94" s="136" t="str">
        <f>if(F94&lt;&gt;"",VLOOKUP(F94,offset('Teams-Conference'!A:B,0,(counta('Draft Order'!B$2:B134)-10)*2),2,0),"")</f>
        <v>MWC</v>
      </c>
      <c r="F94" s="137" t="s">
        <v>258</v>
      </c>
      <c r="G94" s="138" t="str">
        <f t="shared" si="1"/>
        <v/>
      </c>
      <c r="H94" s="127">
        <f t="shared" si="2"/>
        <v>1</v>
      </c>
      <c r="I94" s="127">
        <f t="shared" si="3"/>
        <v>2</v>
      </c>
      <c r="J94" s="127">
        <f t="shared" si="11"/>
        <v>0</v>
      </c>
      <c r="K94" s="127">
        <f t="shared" si="23"/>
        <v>0</v>
      </c>
      <c r="L94" s="127">
        <v>2.0</v>
      </c>
      <c r="M94" s="127">
        <f>IFERROR(__xludf.DUMMYFUNCTION("counta(iferror(filter(L$2:L93,E$2:E93=E94,L$2:L93&lt;L94)))"),0.0)</f>
        <v>0</v>
      </c>
      <c r="N94" s="127">
        <f>IFERROR(__xludf.DUMMYFUNCTION("counta(iferror(filter(L95:L$131,E95:E$131=E94,L95:L$136&gt;L94)))"),0.0)</f>
        <v>0</v>
      </c>
      <c r="O94" s="129">
        <f t="array" ref="O94:Z94">XLOOKUP(F94,'Current Week'!C:C,'Current Week'!D:O)</f>
        <v>2</v>
      </c>
      <c r="P94" s="127">
        <v>10.0</v>
      </c>
      <c r="Q94" s="128"/>
      <c r="R94" s="128"/>
      <c r="S94" s="128"/>
      <c r="T94" s="128"/>
      <c r="U94" s="128"/>
      <c r="V94" s="131"/>
      <c r="W94" s="128"/>
      <c r="X94" s="131"/>
      <c r="Y94" s="131">
        <v>208.0</v>
      </c>
      <c r="Z94" s="131">
        <v>401.0</v>
      </c>
      <c r="AA94" s="132">
        <f t="shared" si="4"/>
        <v>-8</v>
      </c>
      <c r="AB94" s="131">
        <f t="shared" si="5"/>
        <v>0</v>
      </c>
      <c r="AC94" s="131">
        <f>IFERROR(__xludf.DUMMYFUNCTION("iferror(COUNT(filter($O95:$O$397,$O95:$O$397&gt;$O94)))"),36.0)</f>
        <v>36</v>
      </c>
      <c r="AD94" s="133">
        <f t="shared" si="6"/>
        <v>0</v>
      </c>
      <c r="AE94" s="134">
        <f t="shared" si="7"/>
        <v>0</v>
      </c>
      <c r="AF94" s="128" t="str">
        <f>IFERROR(__xludf.DUMMYFUNCTION("iferror(join("","",index(sort(filter($F95:$F$398,$O95:$O$398&gt;$O94),2,false),0,1)))"),"California,Cincinnati,UConn,Arizona,Arkansas,Kentucky,South Carolina,Hawaii,Iowa State,BYU,Sam Houston,New Mexico,Auburn,Texas State,Arizona State,Rutgers,Indiana,Tulsa,Florida Intl,Missouri,Boston College,South Florida,Northwestern,Colorado,Old Dominion,"&amp;"Rice,Charlotte,Mississippi State,Georgia Tech,Houston,Stanford,UMASS,Florida,Virginia Tech,Virginia,West Virginia")</f>
        <v>California,Cincinnati,UConn,Arizona,Arkansas,Kentucky,South Carolina,Hawaii,Iowa State,BYU,Sam Houston,New Mexico,Auburn,Texas State,Arizona State,Rutgers,Indiana,Tulsa,Florida Intl,Missouri,Boston College,South Florida,Northwestern,Colorado,Old Dominion,Rice,Charlotte,Mississippi State,Georgia Tech,Houston,Stanford,UMASS,Florida,Virginia Tech,Virginia,West Virginia</v>
      </c>
      <c r="AG94" s="132">
        <f>IFERROR(__xludf.DUMMYFUNCTION("iferror($O94-max(filter($O94:$O$397,$E94:$E$397=$E$2)))"),-8.0)</f>
        <v>-8</v>
      </c>
      <c r="AH94" s="131">
        <f t="shared" si="8"/>
        <v>0</v>
      </c>
      <c r="AI94" s="131">
        <f>IFERROR(__xludf.DUMMYFUNCTION("iferror(COUNT(filter($O95:$O$397,$O95:$O$397&gt;$O94,$E94:$E$397=$E$2)))"),0.0)</f>
        <v>0</v>
      </c>
      <c r="AJ94" s="133">
        <f t="shared" si="9"/>
        <v>0</v>
      </c>
      <c r="AK94" s="134">
        <f>IFERROR(__xludf.DUMMYFUNCTION("iferror($O94-min(filter($O94:$O$397,$E94:$E$397=$E$2)))"),0.0)</f>
        <v>0</v>
      </c>
      <c r="AL94" s="128" t="str">
        <f>IFERROR(__xludf.DUMMYFUNCTION("iferror(join("","",index(sort(filter($F95:$F$397,$O95:$O$397&gt;$O94,$E95:$E$397=$E$2),2,false),0,1)))"),"Arkansas,Kentucky,South Carolina,Auburn,Missouri,Mississippi State,Florida")</f>
        <v>Arkansas,Kentucky,South Carolina,Auburn,Missouri,Mississippi State,Florida</v>
      </c>
      <c r="AM94" s="128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"""")"),"AAC,,Big Ten,MWC")</f>
        <v>AAC,,Big Ten,MWC</v>
      </c>
      <c r="AN94" s="132">
        <f>IFERROR(__xludf.DUMMYFUNCTION("iferror($O94-max(filter($O94:$O$397,arrayformula(isnumber(FIND($E94:$E$397,AM94))))))"),-5.0)</f>
        <v>-5</v>
      </c>
      <c r="AO94" s="131">
        <f t="array" ref="AO94">countifs($O$2:$O93,"&lt;"&amp;$O94,isnumber(FIND($E$2:$E93,AM94)),TRUE)</f>
        <v>0</v>
      </c>
      <c r="AP94" s="131">
        <f>IFERROR(__xludf.DUMMYFUNCTION("iferror(COUNT(filter($O95:$O$397,$O95:$O$397&gt;$O94,arrayformula(isnumber(FIND($E95:$E$397,AM94))))))"),7.0)</f>
        <v>7</v>
      </c>
      <c r="AQ94" s="133">
        <f t="shared" si="10"/>
        <v>0</v>
      </c>
      <c r="AR94" s="134">
        <f>IFERROR(__xludf.DUMMYFUNCTION("$O94-min(filter($O94:$O$397,arrayformula(isnumber(FIND($E94:$E$397,AM94)))))"),0.0)</f>
        <v>0</v>
      </c>
      <c r="AS94" s="128" t="str">
        <f>IFERROR(__xludf.DUMMYFUNCTION("iferror(join("","",index(sort(filter($F95:$F$397,$O95:$O$397&gt;$O94,arrayformula(isnumber(FIND($E95:$E$397,AM94)))),2,false),0,1)))"),"Hawaii,New Mexico,Indiana,Tulsa,South Florida,Northwestern,Rice")</f>
        <v>Hawaii,New Mexico,Indiana,Tulsa,South Florida,Northwestern,Rice</v>
      </c>
    </row>
    <row r="95">
      <c r="A95" s="23">
        <v>94.0</v>
      </c>
      <c r="B95" s="23">
        <v>8.0</v>
      </c>
      <c r="C95" s="23">
        <v>3.0</v>
      </c>
      <c r="D95" s="139" t="s">
        <v>69</v>
      </c>
      <c r="E95" s="136" t="str">
        <f>if(F95&lt;&gt;"",VLOOKUP(F95,offset('Teams-Conference'!A:B,0,(counta('Draft Order'!B$2:B134)-10)*2),2,0),"")</f>
        <v>Pac12</v>
      </c>
      <c r="F95" s="140" t="s">
        <v>251</v>
      </c>
      <c r="G95" s="138" t="str">
        <f t="shared" si="1"/>
        <v/>
      </c>
      <c r="H95" s="127">
        <f t="shared" si="2"/>
        <v>1</v>
      </c>
      <c r="I95" s="127">
        <f t="shared" si="3"/>
        <v>2</v>
      </c>
      <c r="J95" s="127">
        <f t="shared" si="11"/>
        <v>0</v>
      </c>
      <c r="K95" s="127">
        <f t="shared" si="23"/>
        <v>1</v>
      </c>
      <c r="L95" s="127">
        <v>6.0</v>
      </c>
      <c r="M95" s="127">
        <f>IFERROR(__xludf.DUMMYFUNCTION("counta(iferror(filter(L$2:L94,E$2:E94=E95,L$2:L94&lt;L95)))"),1.0)</f>
        <v>1</v>
      </c>
      <c r="N95" s="127">
        <f>IFERROR(__xludf.DUMMYFUNCTION("counta(iferror(filter(L96:L$131,E96:E$131=E95,L96:L$136&gt;L95)))"),0.0)</f>
        <v>0</v>
      </c>
      <c r="O95" s="129">
        <f t="array" ref="O95:Z95">XLOOKUP(F95,'Current Week'!C:C,'Current Week'!D:O)</f>
        <v>6</v>
      </c>
      <c r="P95" s="127">
        <v>6.0</v>
      </c>
      <c r="Q95" s="128"/>
      <c r="R95" s="128"/>
      <c r="S95" s="128"/>
      <c r="T95" s="128"/>
      <c r="U95" s="128"/>
      <c r="V95" s="131"/>
      <c r="W95" s="128"/>
      <c r="X95" s="131"/>
      <c r="Y95" s="131">
        <v>379.0</v>
      </c>
      <c r="Z95" s="131">
        <v>392.0</v>
      </c>
      <c r="AA95" s="132">
        <f t="shared" si="4"/>
        <v>-4</v>
      </c>
      <c r="AB95" s="131">
        <f t="shared" si="5"/>
        <v>27</v>
      </c>
      <c r="AC95" s="131">
        <f>IFERROR(__xludf.DUMMYFUNCTION("iferror(COUNT(filter($O96:$O$397,$O96:$O$397&gt;$O95)))"),7.0)</f>
        <v>7</v>
      </c>
      <c r="AD95" s="133">
        <f t="shared" si="6"/>
        <v>0</v>
      </c>
      <c r="AE95" s="134">
        <f t="shared" si="7"/>
        <v>4</v>
      </c>
      <c r="AF95" s="128" t="str">
        <f>IFERROR(__xludf.DUMMYFUNCTION("iferror(join("","",index(sort(filter($F96:$F$398,$O96:$O$398&gt;$O95),2,false),0,1)))"),"Arizona,Kentucky,Iowa State,Texas State,Missouri,Northwestern,West Virginia")</f>
        <v>Arizona,Kentucky,Iowa State,Texas State,Missouri,Northwestern,West Virginia</v>
      </c>
      <c r="AG95" s="132">
        <f>IFERROR(__xludf.DUMMYFUNCTION("iferror($O95-max(filter($O95:$O$397,$E95:$E$397=$E$2)))"),-4.0)</f>
        <v>-4</v>
      </c>
      <c r="AH95" s="131">
        <f t="shared" si="8"/>
        <v>0</v>
      </c>
      <c r="AI95" s="131">
        <f>IFERROR(__xludf.DUMMYFUNCTION("iferror(COUNT(filter($O96:$O$397,$O96:$O$397&gt;$O95,$E95:$E$397=$E$2)))"),0.0)</f>
        <v>0</v>
      </c>
      <c r="AJ95" s="133">
        <f t="shared" si="9"/>
        <v>0</v>
      </c>
      <c r="AK95" s="134">
        <f>IFERROR(__xludf.DUMMYFUNCTION("iferror($O95-min(filter($O95:$O$397,$E95:$E$397=$E$2)))"),4.0)</f>
        <v>4</v>
      </c>
      <c r="AL95" s="128" t="str">
        <f>IFERROR(__xludf.DUMMYFUNCTION("iferror(join("","",index(sort(filter($F96:$F$397,$O96:$O$397&gt;$O95,$E96:$E$397=$E$2),2,false),0,1)))"),"Kentucky,Missouri")</f>
        <v>Kentucky,Missouri</v>
      </c>
      <c r="AM95" s="128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"""")"),"AAC,,MAC,Pac12")</f>
        <v>AAC,,MAC,Pac12</v>
      </c>
      <c r="AN95" s="132">
        <f>IFERROR(__xludf.DUMMYFUNCTION("iferror($O95-max(filter($O95:$O$397,arrayformula(isnumber(FIND($E95:$E$397,AM95))))))"),-3.0)</f>
        <v>-3</v>
      </c>
      <c r="AO95" s="131">
        <f t="array" ref="AO95">countifs($O$2:$O94,"&lt;"&amp;$O95,isnumber(FIND($E$2:$E94,AM95)),TRUE)</f>
        <v>11</v>
      </c>
      <c r="AP95" s="131">
        <f>IFERROR(__xludf.DUMMYFUNCTION("iferror(COUNT(filter($O96:$O$397,$O96:$O$397&gt;$O95,arrayformula(isnumber(FIND($E96:$E$397,AM95))))))"),1.0)</f>
        <v>1</v>
      </c>
      <c r="AQ95" s="133">
        <f t="shared" si="10"/>
        <v>0</v>
      </c>
      <c r="AR95" s="134">
        <f>IFERROR(__xludf.DUMMYFUNCTION("$O95-min(filter($O95:$O$397,arrayformula(isnumber(FIND($E95:$E$397,AM95)))))"),5.0)</f>
        <v>5</v>
      </c>
      <c r="AS95" s="128" t="str">
        <f>IFERROR(__xludf.DUMMYFUNCTION("iferror(join("","",index(sort(filter($F96:$F$397,$O96:$O$397&gt;$O95,arrayformula(isnumber(FIND($E96:$E$397,AM95)))),2,false),0,1)))"),"Arizona")</f>
        <v>Arizona</v>
      </c>
    </row>
    <row r="96">
      <c r="A96" s="23">
        <v>95.0</v>
      </c>
      <c r="B96" s="23">
        <v>8.0</v>
      </c>
      <c r="C96" s="23">
        <v>4.0</v>
      </c>
      <c r="D96" s="135" t="s">
        <v>62</v>
      </c>
      <c r="E96" s="136" t="str">
        <f>if(F96&lt;&gt;"",VLOOKUP(F96,offset('Teams-Conference'!A:B,0,(counta('Draft Order'!B$2:B134)-10)*2),2,0),"")</f>
        <v>Big 12</v>
      </c>
      <c r="F96" s="137" t="s">
        <v>242</v>
      </c>
      <c r="G96" s="138" t="str">
        <f t="shared" si="1"/>
        <v/>
      </c>
      <c r="H96" s="127">
        <f t="shared" si="2"/>
        <v>2</v>
      </c>
      <c r="I96" s="127">
        <f t="shared" si="3"/>
        <v>2</v>
      </c>
      <c r="J96" s="127">
        <f t="shared" si="11"/>
        <v>0</v>
      </c>
      <c r="K96" s="127">
        <f t="shared" si="23"/>
        <v>0</v>
      </c>
      <c r="L96" s="127">
        <v>3.0</v>
      </c>
      <c r="M96" s="127">
        <f>IFERROR(__xludf.DUMMYFUNCTION("counta(iferror(filter(L$2:L95,E$2:E95=E96,L$2:L95&lt;L96)))"),0.0)</f>
        <v>0</v>
      </c>
      <c r="N96" s="127">
        <f>IFERROR(__xludf.DUMMYFUNCTION("counta(iferror(filter(L97:L$131,E97:E$131=E96,L97:L$136&gt;L96)))"),0.0)</f>
        <v>0</v>
      </c>
      <c r="O96" s="129">
        <f t="array" ref="O96:Z96">XLOOKUP(F96,'Current Week'!C:C,'Current Week'!D:O)</f>
        <v>3</v>
      </c>
      <c r="P96" s="127">
        <v>9.0</v>
      </c>
      <c r="Q96" s="128"/>
      <c r="R96" s="128"/>
      <c r="S96" s="128"/>
      <c r="T96" s="128"/>
      <c r="U96" s="128"/>
      <c r="V96" s="131"/>
      <c r="W96" s="128"/>
      <c r="X96" s="131"/>
      <c r="Y96" s="131">
        <v>289.0</v>
      </c>
      <c r="Z96" s="131">
        <v>360.0</v>
      </c>
      <c r="AA96" s="132">
        <f t="shared" si="4"/>
        <v>-7</v>
      </c>
      <c r="AB96" s="131">
        <f t="shared" si="5"/>
        <v>2</v>
      </c>
      <c r="AC96" s="131">
        <f>IFERROR(__xludf.DUMMYFUNCTION("iferror(COUNT(filter($O97:$O$397,$O97:$O$397&gt;$O96)))"),26.0)</f>
        <v>26</v>
      </c>
      <c r="AD96" s="133">
        <f t="shared" si="6"/>
        <v>0</v>
      </c>
      <c r="AE96" s="134">
        <f t="shared" si="7"/>
        <v>1</v>
      </c>
      <c r="AF96" s="128" t="str">
        <f>IFERROR(__xludf.DUMMYFUNCTION("iferror(join("","",index(sort(filter($F97:$F$398,$O97:$O$398&gt;$O96),2,false),0,1)))"),"Arizona,Arkansas,Kentucky,South Carolina,Hawaii,Iowa State,BYU,New Mexico,Auburn,Texas State,Rutgers,Tulsa,Florida Intl,Missouri,Boston College,South Florida,Northwestern,Colorado,Old Dominion,Rice,Mississippi State,Georgia Tech,Houston,Florida,Virginia T"&amp;"ech,West Virginia")</f>
        <v>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96" s="132">
        <f>IFERROR(__xludf.DUMMYFUNCTION("iferror($O96-max(filter($O96:$O$397,$E96:$E$397=$E$2)))"),-7.0)</f>
        <v>-7</v>
      </c>
      <c r="AH96" s="131">
        <f t="shared" si="8"/>
        <v>0</v>
      </c>
      <c r="AI96" s="131">
        <f>IFERROR(__xludf.DUMMYFUNCTION("iferror(COUNT(filter($O97:$O$397,$O97:$O$397&gt;$O96,$E96:$E$397=$E$2)))"),0.0)</f>
        <v>0</v>
      </c>
      <c r="AJ96" s="133">
        <f t="shared" si="9"/>
        <v>0</v>
      </c>
      <c r="AK96" s="134">
        <f>IFERROR(__xludf.DUMMYFUNCTION("iferror($O96-min(filter($O96:$O$397,$E96:$E$397=$E$2)))"),1.0)</f>
        <v>1</v>
      </c>
      <c r="AL96" s="128" t="str">
        <f>IFERROR(__xludf.DUMMYFUNCTION("iferror(join("","",index(sort(filter($F97:$F$397,$O97:$O$397&gt;$O96,$E97:$E$397=$E$2),2,false),0,1)))"),"Arkansas,Kentucky,South Carolina,Auburn,Missouri,Mississippi State,Florida")</f>
        <v>Arkansas,Kentucky,South Carolina,Auburn,Missouri,Mississippi State,Florida</v>
      </c>
      <c r="AM96" s="128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"""")"),"ACC,Big 12,SEC")</f>
        <v>ACC,Big 12,SEC</v>
      </c>
      <c r="AN96" s="132">
        <f>IFERROR(__xludf.DUMMYFUNCTION("iferror($O96-max(filter($O96:$O$397,arrayformula(isnumber(FIND($E96:$E$397,AM96))))))"),-7.0)</f>
        <v>-7</v>
      </c>
      <c r="AO96" s="131">
        <f t="array" ref="AO96">countifs($O$2:$O95,"&lt;"&amp;$O96,isnumber(FIND($E$2:$E95,AM96)),TRUE)</f>
        <v>0</v>
      </c>
      <c r="AP96" s="131">
        <f>IFERROR(__xludf.DUMMYFUNCTION("iferror(COUNT(filter($O97:$O$397,$O97:$O$397&gt;$O96,arrayformula(isnumber(FIND($E97:$E$397,AM96))))))"),14.0)</f>
        <v>14</v>
      </c>
      <c r="AQ96" s="133">
        <f t="shared" si="10"/>
        <v>0</v>
      </c>
      <c r="AR96" s="134">
        <f>IFERROR(__xludf.DUMMYFUNCTION("$O96-min(filter($O96:$O$397,arrayformula(isnumber(FIND($E96:$E$397,AM96)))))"),1.0)</f>
        <v>1</v>
      </c>
      <c r="AS96" s="128" t="str">
        <f>IFERROR(__xludf.DUMMYFUNCTION("iferror(join("","",index(sort(filter($F97:$F$397,$O97:$O$397&gt;$O96,arrayformula(isnumber(FIND($E97:$E$397,AM96)))),2,false),0,1)))"),"Arkansas,Kentucky,South Carolina,Iowa State,BYU,Auburn,Missouri,Boston College,Mississippi State,Georgia Tech,Houston,Florida,Virginia Tech,West Virginia")</f>
        <v>Arkansas,Kentucky,South Carolina,Iowa State,BYU,Auburn,Missouri,Boston College,Mississippi State,Georgia Tech,Houston,Florida,Virginia Tech,West Virginia</v>
      </c>
    </row>
    <row r="97">
      <c r="A97" s="23">
        <v>96.0</v>
      </c>
      <c r="B97" s="23">
        <v>8.0</v>
      </c>
      <c r="C97" s="23">
        <v>5.0</v>
      </c>
      <c r="D97" s="135" t="s">
        <v>59</v>
      </c>
      <c r="E97" s="136" t="str">
        <f>if(F97&lt;&gt;"",VLOOKUP(F97,offset('Teams-Conference'!A:B,0,(counta('Draft Order'!B$2:B134)-10)*2),2,0),"")</f>
        <v>CUSA</v>
      </c>
      <c r="F97" s="140" t="s">
        <v>236</v>
      </c>
      <c r="G97" s="138" t="str">
        <f t="shared" si="1"/>
        <v/>
      </c>
      <c r="H97" s="127">
        <f t="shared" si="2"/>
        <v>1</v>
      </c>
      <c r="I97" s="127">
        <f t="shared" si="3"/>
        <v>3</v>
      </c>
      <c r="J97" s="127">
        <f t="shared" si="11"/>
        <v>0</v>
      </c>
      <c r="K97" s="127">
        <f t="shared" si="23"/>
        <v>1</v>
      </c>
      <c r="L97" s="127">
        <v>3.0</v>
      </c>
      <c r="M97" s="127">
        <f>IFERROR(__xludf.DUMMYFUNCTION("counta(iferror(filter(L$2:L96,E$2:E96=E97,L$2:L96&lt;L97)))"),0.0)</f>
        <v>0</v>
      </c>
      <c r="N97" s="127">
        <f>IFERROR(__xludf.DUMMYFUNCTION("counta(iferror(filter(L98:L$131,E98:E$131=E97,L98:L$136&gt;L97)))"),0.0)</f>
        <v>0</v>
      </c>
      <c r="O97" s="129">
        <f t="array" ref="O97:Z97">XLOOKUP(F97,'Current Week'!C:C,'Current Week'!D:O)</f>
        <v>3</v>
      </c>
      <c r="P97" s="127">
        <v>9.0</v>
      </c>
      <c r="Q97" s="128"/>
      <c r="R97" s="128"/>
      <c r="S97" s="128"/>
      <c r="T97" s="128"/>
      <c r="U97" s="128"/>
      <c r="V97" s="131"/>
      <c r="W97" s="128"/>
      <c r="X97" s="131"/>
      <c r="Y97" s="131">
        <v>229.0</v>
      </c>
      <c r="Z97" s="131">
        <v>358.0</v>
      </c>
      <c r="AA97" s="132">
        <f t="shared" si="4"/>
        <v>-7</v>
      </c>
      <c r="AB97" s="131">
        <f t="shared" si="5"/>
        <v>2</v>
      </c>
      <c r="AC97" s="131">
        <f>IFERROR(__xludf.DUMMYFUNCTION("iferror(COUNT(filter($O98:$O$397,$O98:$O$397&gt;$O97)))"),26.0)</f>
        <v>26</v>
      </c>
      <c r="AD97" s="133">
        <f t="shared" si="6"/>
        <v>0</v>
      </c>
      <c r="AE97" s="134">
        <f t="shared" si="7"/>
        <v>1</v>
      </c>
      <c r="AF97" s="128" t="str">
        <f>IFERROR(__xludf.DUMMYFUNCTION("iferror(join("","",index(sort(filter($F98:$F$398,$O98:$O$398&gt;$O97),2,false),0,1)))"),"Arizona,Arkansas,Kentucky,South Carolina,Hawaii,Iowa State,BYU,New Mexico,Auburn,Texas State,Rutgers,Tulsa,Florida Intl,Missouri,Boston College,South Florida,Northwestern,Colorado,Old Dominion,Rice,Mississippi State,Georgia Tech,Houston,Florida,Virginia T"&amp;"ech,West Virginia")</f>
        <v>Arizona,Arkansas,Kentucky,South Carolina,Hawaii,Iowa State,BYU,New Mexico,Auburn,Texas State,Rutgers,Tulsa,Florida Intl,Missouri,Boston College,South Florida,Northwestern,Colorado,Old Dominion,Rice,Mississippi State,Georgia Tech,Houston,Florida,Virginia Tech,West Virginia</v>
      </c>
      <c r="AG97" s="132">
        <f>IFERROR(__xludf.DUMMYFUNCTION("iferror($O97-max(filter($O97:$O$397,$E97:$E$397=$E$2)))"),-7.0)</f>
        <v>-7</v>
      </c>
      <c r="AH97" s="131">
        <f t="shared" si="8"/>
        <v>0</v>
      </c>
      <c r="AI97" s="131">
        <f>IFERROR(__xludf.DUMMYFUNCTION("iferror(COUNT(filter($O98:$O$397,$O98:$O$397&gt;$O97,$E97:$E$397=$E$2)))"),0.0)</f>
        <v>0</v>
      </c>
      <c r="AJ97" s="133">
        <f t="shared" si="9"/>
        <v>0</v>
      </c>
      <c r="AK97" s="134">
        <f>IFERROR(__xludf.DUMMYFUNCTION("iferror($O97-min(filter($O97:$O$397,$E97:$E$397=$E$2)))"),1.0)</f>
        <v>1</v>
      </c>
      <c r="AL97" s="128" t="str">
        <f>IFERROR(__xludf.DUMMYFUNCTION("iferror(join("","",index(sort(filter($F98:$F$397,$O98:$O$397&gt;$O97,$E98:$E$397=$E$2),2,false),0,1)))"),"Arkansas,Kentucky,South Carolina,Auburn,Missouri,Mississippi State,Florida")</f>
        <v>Arkansas,Kentucky,South Carolina,Auburn,Missouri,Mississippi State,Florida</v>
      </c>
      <c r="AM97" s="128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"""")"),"ACC,CUSA,SEC")</f>
        <v>ACC,CUSA,SEC</v>
      </c>
      <c r="AN97" s="132">
        <f>IFERROR(__xludf.DUMMYFUNCTION("iferror($O97-max(filter($O97:$O$397,arrayformula(isnumber(FIND($E97:$E$397,AM97))))))"),-7.0)</f>
        <v>-7</v>
      </c>
      <c r="AO97" s="131">
        <f t="array" ref="AO97">countifs($O$2:$O96,"&lt;"&amp;$O97,isnumber(FIND($E$2:$E96,AM97)),TRUE)</f>
        <v>0</v>
      </c>
      <c r="AP97" s="131">
        <f>IFERROR(__xludf.DUMMYFUNCTION("iferror(COUNT(filter($O98:$O$397,$O98:$O$397&gt;$O97,arrayformula(isnumber(FIND($E98:$E$397,AM97))))))"),12.0)</f>
        <v>12</v>
      </c>
      <c r="AQ97" s="133">
        <f t="shared" si="10"/>
        <v>0</v>
      </c>
      <c r="AR97" s="134">
        <f>IFERROR(__xludf.DUMMYFUNCTION("$O97-min(filter($O97:$O$397,arrayformula(isnumber(FIND($E97:$E$397,AM97)))))"),1.0)</f>
        <v>1</v>
      </c>
      <c r="AS97" s="128" t="str">
        <f>IFERROR(__xludf.DUMMYFUNCTION("iferror(join("","",index(sort(filter($F98:$F$397,$O98:$O$397&gt;$O97,arrayformula(isnumber(FIND($E98:$E$397,AM97)))),2,false),0,1)))"),"Arkansas,Kentucky,South Carolina,Auburn,Rutgers,Florida Intl,Missouri,Boston College,Mississippi State,Georgia Tech,Florida,Virginia Tech")</f>
        <v>Arkansas,Kentucky,South Carolina,Auburn,Rutgers,Florida Intl,Missouri,Boston College,Mississippi State,Georgia Tech,Florida,Virginia Tech</v>
      </c>
    </row>
    <row r="98">
      <c r="A98" s="23">
        <v>97.0</v>
      </c>
      <c r="B98" s="23">
        <v>8.0</v>
      </c>
      <c r="C98" s="23">
        <v>6.0</v>
      </c>
      <c r="D98" s="135" t="s">
        <v>67</v>
      </c>
      <c r="E98" s="136" t="str">
        <f>if(F98&lt;&gt;"",VLOOKUP(F98,offset('Teams-Conference'!A:B,0,(counta('Draft Order'!B$2:B134)-10)*2),2,0),"")</f>
        <v>Pac12</v>
      </c>
      <c r="F98" s="137" t="s">
        <v>217</v>
      </c>
      <c r="G98" s="138" t="str">
        <f t="shared" si="1"/>
        <v/>
      </c>
      <c r="H98" s="127">
        <f t="shared" si="2"/>
        <v>0</v>
      </c>
      <c r="I98" s="127">
        <f t="shared" si="3"/>
        <v>2</v>
      </c>
      <c r="J98" s="127">
        <f t="shared" si="11"/>
        <v>1</v>
      </c>
      <c r="K98" s="127">
        <f t="shared" si="23"/>
        <v>1</v>
      </c>
      <c r="L98" s="127">
        <v>9.0</v>
      </c>
      <c r="M98" s="127">
        <f>IFERROR(__xludf.DUMMYFUNCTION("counta(iferror(filter(L$2:L97,E$2:E97=E98,L$2:L97&lt;L98)))"),6.0)</f>
        <v>6</v>
      </c>
      <c r="N98" s="127">
        <f>IFERROR(__xludf.DUMMYFUNCTION("counta(iferror(filter(L99:L$131,E99:E$131=E98,L99:L$136&gt;L98)))"),0.0)</f>
        <v>0</v>
      </c>
      <c r="O98" s="129">
        <f t="array" ref="O98:Z98">XLOOKUP(F98,'Current Week'!C:C,'Current Week'!D:O)</f>
        <v>9</v>
      </c>
      <c r="P98" s="127">
        <v>3.0</v>
      </c>
      <c r="Q98" s="128"/>
      <c r="R98" s="128"/>
      <c r="S98" s="128"/>
      <c r="T98" s="128"/>
      <c r="U98" s="128"/>
      <c r="V98" s="131"/>
      <c r="W98" s="128"/>
      <c r="X98" s="131"/>
      <c r="Y98" s="131">
        <v>412.0</v>
      </c>
      <c r="Z98" s="131">
        <v>250.0</v>
      </c>
      <c r="AA98" s="132">
        <f t="shared" si="4"/>
        <v>-1</v>
      </c>
      <c r="AB98" s="131">
        <f t="shared" si="5"/>
        <v>68</v>
      </c>
      <c r="AC98" s="131">
        <f>IFERROR(__xludf.DUMMYFUNCTION("iferror(COUNT(filter($O99:$O$397,$O99:$O$397&gt;$O98)))"),1.0)</f>
        <v>1</v>
      </c>
      <c r="AD98" s="133">
        <f t="shared" si="6"/>
        <v>0</v>
      </c>
      <c r="AE98" s="134">
        <f t="shared" si="7"/>
        <v>7</v>
      </c>
      <c r="AF98" s="128" t="str">
        <f>IFERROR(__xludf.DUMMYFUNCTION("iferror(join("","",index(sort(filter($F99:$F$398,$O99:$O$398&gt;$O98),2,false),0,1)))"),"Missouri")</f>
        <v>Missouri</v>
      </c>
      <c r="AG98" s="132">
        <f>IFERROR(__xludf.DUMMYFUNCTION("iferror($O98-max(filter($O98:$O$397,$E98:$E$397=$E$2)))"),-1.0)</f>
        <v>-1</v>
      </c>
      <c r="AH98" s="131">
        <f t="shared" si="8"/>
        <v>2</v>
      </c>
      <c r="AI98" s="131">
        <f>IFERROR(__xludf.DUMMYFUNCTION("iferror(COUNT(filter($O99:$O$397,$O99:$O$397&gt;$O98,$E98:$E$397=$E$2)))"),0.0)</f>
        <v>0</v>
      </c>
      <c r="AJ98" s="133">
        <f t="shared" si="9"/>
        <v>0</v>
      </c>
      <c r="AK98" s="134">
        <f>IFERROR(__xludf.DUMMYFUNCTION("iferror($O98-min(filter($O98:$O$397,$E98:$E$397=$E$2)))"),7.0)</f>
        <v>7</v>
      </c>
      <c r="AL98" s="128" t="str">
        <f>IFERROR(__xludf.DUMMYFUNCTION("iferror(join("","",index(sort(filter($F99:$F$397,$O99:$O$397&gt;$O98,$E99:$E$397=$E$2),2,false),0,1)))"),"Missouri")</f>
        <v>Missouri</v>
      </c>
      <c r="AM98" s="128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"""")"),"CUSA,MWC,Pac12")</f>
        <v>CUSA,MWC,Pac12</v>
      </c>
      <c r="AN98" s="132">
        <f>IFERROR(__xludf.DUMMYFUNCTION("iferror($O98-max(filter($O98:$O$397,arrayformula(isnumber(FIND($E98:$E$397,AM98))))))"),0.0)</f>
        <v>0</v>
      </c>
      <c r="AO98" s="131">
        <f t="array" ref="AO98">countifs($O$2:$O97,"&lt;"&amp;$O98,isnumber(FIND($E$2:$E97,AM98)),TRUE)</f>
        <v>22</v>
      </c>
      <c r="AP98" s="131">
        <f>IFERROR(__xludf.DUMMYFUNCTION("iferror(COUNT(filter($O99:$O$397,$O99:$O$397&gt;$O98,arrayformula(isnumber(FIND($E99:$E$397,AM98))))))"),0.0)</f>
        <v>0</v>
      </c>
      <c r="AQ98" s="133">
        <f t="shared" si="10"/>
        <v>1</v>
      </c>
      <c r="AR98" s="134">
        <f>IFERROR(__xludf.DUMMYFUNCTION("$O98-min(filter($O98:$O$397,arrayformula(isnumber(FIND($E98:$E$397,AM98)))))"),7.0)</f>
        <v>7</v>
      </c>
      <c r="AS98" s="128" t="str">
        <f>IFERROR(__xludf.DUMMYFUNCTION("iferror(join("","",index(sort(filter($F99:$F$397,$O99:$O$397&gt;$O98,arrayformula(isnumber(FIND($E99:$E$397,AM98)))),2,false),0,1)))"),"")</f>
        <v/>
      </c>
    </row>
    <row r="99">
      <c r="A99" s="23">
        <v>98.0</v>
      </c>
      <c r="B99" s="23">
        <v>8.0</v>
      </c>
      <c r="C99" s="23">
        <v>7.0</v>
      </c>
      <c r="D99" s="135" t="s">
        <v>57</v>
      </c>
      <c r="E99" s="136" t="str">
        <f>if(F99&lt;&gt;"",VLOOKUP(F99,offset('Teams-Conference'!A:B,0,(counta('Draft Order'!B$2:B134)-10)*2),2,0),"")</f>
        <v>SEC</v>
      </c>
      <c r="F99" s="140" t="s">
        <v>213</v>
      </c>
      <c r="G99" s="138" t="str">
        <f t="shared" si="1"/>
        <v/>
      </c>
      <c r="H99" s="127">
        <f t="shared" si="2"/>
        <v>3</v>
      </c>
      <c r="I99" s="127">
        <f t="shared" si="3"/>
        <v>4</v>
      </c>
      <c r="J99" s="127">
        <f t="shared" si="11"/>
        <v>1</v>
      </c>
      <c r="K99" s="127">
        <f t="shared" ref="K99:K103" si="24">countif(E80:E99,E100)</f>
        <v>2</v>
      </c>
      <c r="L99" s="127">
        <v>4.0</v>
      </c>
      <c r="M99" s="127">
        <f>IFERROR(__xludf.DUMMYFUNCTION("counta(iferror(filter(L$2:L98,E$2:E98=E99,L$2:L98&lt;L99)))"),0.0)</f>
        <v>0</v>
      </c>
      <c r="N99" s="127">
        <f>IFERROR(__xludf.DUMMYFUNCTION("counta(iferror(filter(L100:L$131,E100:E$131=E99,L100:L$136&gt;L99)))"),0.0)</f>
        <v>0</v>
      </c>
      <c r="O99" s="129">
        <f t="array" ref="O99:Z99">XLOOKUP(F99,'Current Week'!C:C,'Current Week'!D:O)</f>
        <v>4</v>
      </c>
      <c r="P99" s="127">
        <v>8.0</v>
      </c>
      <c r="Q99" s="128"/>
      <c r="R99" s="128"/>
      <c r="S99" s="128"/>
      <c r="T99" s="128"/>
      <c r="U99" s="128"/>
      <c r="V99" s="131"/>
      <c r="W99" s="128"/>
      <c r="X99" s="131"/>
      <c r="Y99" s="131">
        <v>319.0</v>
      </c>
      <c r="Z99" s="131">
        <v>335.0</v>
      </c>
      <c r="AA99" s="132">
        <f t="shared" si="4"/>
        <v>-6</v>
      </c>
      <c r="AB99" s="131">
        <f t="shared" si="5"/>
        <v>11</v>
      </c>
      <c r="AC99" s="131">
        <f>IFERROR(__xludf.DUMMYFUNCTION("iferror(COUNT(filter($O100:$O$397,$O100:$O$397&gt;$O99)))"),19.0)</f>
        <v>19</v>
      </c>
      <c r="AD99" s="133">
        <f t="shared" si="6"/>
        <v>0</v>
      </c>
      <c r="AE99" s="134">
        <f t="shared" si="7"/>
        <v>2</v>
      </c>
      <c r="AF99" s="128" t="str">
        <f>IFERROR(__xludf.DUMMYFUNCTION("iferror(join("","",index(sort(filter($F100:$F$398,$O100:$O$398&gt;$O99),2,false),0,1)))"),"Kentucky,South Carolina,Hawaii,Iowa State,BYU,Auburn,Texas State,Rutgers,Missouri,Boston College,South Florida,Northwestern,Old Dominion,Rice,Mississippi State,Georgia Tech,Florida,Virginia Tech,West Virginia")</f>
        <v>Kentucky,South Carolina,Hawaii,Iowa State,BYU,Auburn,Texas State,Rutgers,Missouri,Boston College,South Florida,Northwestern,Old Dominion,Rice,Mississippi State,Georgia Tech,Florida,Virginia Tech,West Virginia</v>
      </c>
      <c r="AG99" s="132">
        <f>IFERROR(__xludf.DUMMYFUNCTION("iferror($O99-max(filter($O99:$O$397,$E99:$E$397=$E$2)))"),-6.0)</f>
        <v>-6</v>
      </c>
      <c r="AH99" s="131">
        <f t="shared" si="8"/>
        <v>0</v>
      </c>
      <c r="AI99" s="131">
        <f>IFERROR(__xludf.DUMMYFUNCTION("iferror(COUNT(filter($O100:$O$397,$O100:$O$397&gt;$O99,$E99:$E$397=$E$2)))"),0.0)</f>
        <v>0</v>
      </c>
      <c r="AJ99" s="133">
        <f t="shared" si="9"/>
        <v>0</v>
      </c>
      <c r="AK99" s="134">
        <f>IFERROR(__xludf.DUMMYFUNCTION("iferror($O99-min(filter($O99:$O$397,$E99:$E$397=$E$2)))"),2.0)</f>
        <v>2</v>
      </c>
      <c r="AL99" s="128" t="str">
        <f>IFERROR(__xludf.DUMMYFUNCTION("iferror(join("","",index(sort(filter($F100:$F$397,$O100:$O$397&gt;$O99,$E100:$E$397=$E$2),2,false),0,1)))"),"Kentucky,South Carolina,Auburn,Missouri,Mississippi State,Florida")</f>
        <v>Kentucky,South Carolina,Auburn,Missouri,Mississippi State,Florida</v>
      </c>
      <c r="AM99" s="128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"""")"),"AAC,,Big 12,SEC")</f>
        <v>AAC,,Big 12,SEC</v>
      </c>
      <c r="AN99" s="132">
        <f>IFERROR(__xludf.DUMMYFUNCTION("iferror($O99-max(filter($O99:$O$397,arrayformula(isnumber(FIND($E99:$E$397,AM99))))))"),-6.0)</f>
        <v>-6</v>
      </c>
      <c r="AO99" s="131">
        <f t="array" ref="AO99">countifs($O$2:$O98,"&lt;"&amp;$O99,isnumber(FIND($E$2:$E98,AM99)),TRUE)</f>
        <v>4</v>
      </c>
      <c r="AP99" s="131">
        <f>IFERROR(__xludf.DUMMYFUNCTION("iferror(COUNT(filter($O100:$O$397,$O100:$O$397&gt;$O99,arrayformula(isnumber(FIND($E100:$E$397,AM99))))))"),11.0)</f>
        <v>11</v>
      </c>
      <c r="AQ99" s="133">
        <f t="shared" si="10"/>
        <v>0</v>
      </c>
      <c r="AR99" s="134">
        <f>IFERROR(__xludf.DUMMYFUNCTION("$O99-min(filter($O99:$O$397,arrayformula(isnumber(FIND($E99:$E$397,AM99)))))"),2.0)</f>
        <v>2</v>
      </c>
      <c r="AS99" s="128" t="str">
        <f>IFERROR(__xludf.DUMMYFUNCTION("iferror(join("","",index(sort(filter($F100:$F$397,$O100:$O$397&gt;$O99,arrayformula(isnumber(FIND($E100:$E$397,AM99)))),2,false),0,1)))"),"Kentucky,South Carolina,Iowa State,BYU,Auburn,Missouri,South Florida,Rice,Mississippi State,Florida,West Virginia")</f>
        <v>Kentucky,South Carolina,Iowa State,BYU,Auburn,Missouri,South Florida,Rice,Mississippi State,Florida,West Virginia</v>
      </c>
    </row>
    <row r="100">
      <c r="A100" s="23">
        <v>99.0</v>
      </c>
      <c r="B100" s="23">
        <v>8.0</v>
      </c>
      <c r="C100" s="23">
        <v>8.0</v>
      </c>
      <c r="D100" s="135" t="s">
        <v>70</v>
      </c>
      <c r="E100" s="136" t="str">
        <f>if(F100&lt;&gt;"",VLOOKUP(F100,offset('Teams-Conference'!A:B,0,(counta('Draft Order'!B$2:B134)-10)*2),2,0),"")</f>
        <v>SEC</v>
      </c>
      <c r="F100" s="140" t="s">
        <v>196</v>
      </c>
      <c r="G100" s="138" t="str">
        <f t="shared" si="1"/>
        <v/>
      </c>
      <c r="H100" s="127">
        <f t="shared" si="2"/>
        <v>2</v>
      </c>
      <c r="I100" s="127">
        <f t="shared" si="3"/>
        <v>4</v>
      </c>
      <c r="J100" s="127">
        <f t="shared" si="11"/>
        <v>2</v>
      </c>
      <c r="K100" s="127">
        <f t="shared" si="24"/>
        <v>3</v>
      </c>
      <c r="L100" s="127">
        <v>7.0</v>
      </c>
      <c r="M100" s="127">
        <f>IFERROR(__xludf.DUMMYFUNCTION("counta(iferror(filter(L$2:L99,E$2:E99=E100,L$2:L99&lt;L100)))"),1.0)</f>
        <v>1</v>
      </c>
      <c r="N100" s="127">
        <f>IFERROR(__xludf.DUMMYFUNCTION("counta(iferror(filter(L101:L$131,E101:E$131=E100,L101:L$136&gt;L100)))"),0.0)</f>
        <v>0</v>
      </c>
      <c r="O100" s="129">
        <f t="array" ref="O100:Z100">XLOOKUP(F100,'Current Week'!C:C,'Current Week'!D:O)</f>
        <v>7</v>
      </c>
      <c r="P100" s="127">
        <v>5.0</v>
      </c>
      <c r="Q100" s="128"/>
      <c r="R100" s="128"/>
      <c r="S100" s="128"/>
      <c r="T100" s="128"/>
      <c r="U100" s="128"/>
      <c r="V100" s="131"/>
      <c r="W100" s="128"/>
      <c r="X100" s="131"/>
      <c r="Y100" s="131">
        <v>343.0</v>
      </c>
      <c r="Z100" s="131">
        <v>298.0</v>
      </c>
      <c r="AA100" s="132">
        <f t="shared" si="4"/>
        <v>-3</v>
      </c>
      <c r="AB100" s="131">
        <f t="shared" si="5"/>
        <v>44</v>
      </c>
      <c r="AC100" s="131">
        <f>IFERROR(__xludf.DUMMYFUNCTION("iferror(COUNT(filter($O101:$O$397,$O101:$O$397&gt;$O100)))"),2.0)</f>
        <v>2</v>
      </c>
      <c r="AD100" s="133">
        <f t="shared" si="6"/>
        <v>0</v>
      </c>
      <c r="AE100" s="134">
        <f t="shared" si="7"/>
        <v>5</v>
      </c>
      <c r="AF100" s="128" t="str">
        <f>IFERROR(__xludf.DUMMYFUNCTION("iferror(join("","",index(sort(filter($F101:$F$398,$O101:$O$398&gt;$O100),2,false),0,1)))"),"Missouri,West Virginia")</f>
        <v>Missouri,West Virginia</v>
      </c>
      <c r="AG100" s="132">
        <f>IFERROR(__xludf.DUMMYFUNCTION("iferror($O100-max(filter($O100:$O$397,$E100:$E$397=$E$2)))"),-3.0)</f>
        <v>-3</v>
      </c>
      <c r="AH100" s="131">
        <f t="shared" si="8"/>
        <v>1</v>
      </c>
      <c r="AI100" s="131">
        <f>IFERROR(__xludf.DUMMYFUNCTION("iferror(COUNT(filter($O101:$O$397,$O101:$O$397&gt;$O100,$E100:$E$397=$E$2)))"),0.0)</f>
        <v>0</v>
      </c>
      <c r="AJ100" s="133">
        <f t="shared" si="9"/>
        <v>0</v>
      </c>
      <c r="AK100" s="134">
        <f>IFERROR(__xludf.DUMMYFUNCTION("iferror($O100-min(filter($O100:$O$397,$E100:$E$397=$E$2)))"),5.0)</f>
        <v>5</v>
      </c>
      <c r="AL100" s="128" t="str">
        <f>IFERROR(__xludf.DUMMYFUNCTION("iferror(join("","",index(sort(filter($F101:$F$397,$O101:$O$397&gt;$O100,$E101:$E$397=$E$2),2,false),0,1)))"),"Missouri")</f>
        <v>Missouri</v>
      </c>
      <c r="AM100" s="128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"""")"),"Big Ten,Pac12,SEC")</f>
        <v>Big Ten,Pac12,SEC</v>
      </c>
      <c r="AN100" s="132">
        <f>IFERROR(__xludf.DUMMYFUNCTION("iferror($O100-max(filter($O100:$O$397,arrayformula(isnumber(FIND($E100:$E$397,AM100))))))"),-3.0)</f>
        <v>-3</v>
      </c>
      <c r="AO100" s="131">
        <f t="array" ref="AO100">countifs($O$2:$O99,"&lt;"&amp;$O100,isnumber(FIND($E$2:$E99,AM100)),TRUE)</f>
        <v>8</v>
      </c>
      <c r="AP100" s="131">
        <f>IFERROR(__xludf.DUMMYFUNCTION("iferror(COUNT(filter($O101:$O$397,$O101:$O$397&gt;$O100,arrayformula(isnumber(FIND($E101:$E$397,AM100))))))"),1.0)</f>
        <v>1</v>
      </c>
      <c r="AQ100" s="133">
        <f t="shared" si="10"/>
        <v>0</v>
      </c>
      <c r="AR100" s="134">
        <f>IFERROR(__xludf.DUMMYFUNCTION("$O100-min(filter($O100:$O$397,arrayformula(isnumber(FIND($E100:$E$397,AM100)))))"),5.0)</f>
        <v>5</v>
      </c>
      <c r="AS100" s="128" t="str">
        <f>IFERROR(__xludf.DUMMYFUNCTION("iferror(join("","",index(sort(filter($F101:$F$397,$O101:$O$397&gt;$O100,arrayformula(isnumber(FIND($E101:$E$397,AM100)))),2,false),0,1)))"),"Missouri")</f>
        <v>Missouri</v>
      </c>
    </row>
    <row r="101">
      <c r="A101" s="23">
        <v>100.0</v>
      </c>
      <c r="B101" s="23">
        <v>8.0</v>
      </c>
      <c r="C101" s="23">
        <v>9.0</v>
      </c>
      <c r="D101" s="135" t="s">
        <v>46</v>
      </c>
      <c r="E101" s="136" t="str">
        <f>if(F101&lt;&gt;"",VLOOKUP(F101,offset('Teams-Conference'!A:B,0,(counta('Draft Order'!B$2:B134)-10)*2),2,0),"")</f>
        <v>SEC</v>
      </c>
      <c r="F101" s="140" t="s">
        <v>184</v>
      </c>
      <c r="G101" s="138" t="str">
        <f t="shared" si="1"/>
        <v/>
      </c>
      <c r="H101" s="127">
        <f t="shared" si="2"/>
        <v>1</v>
      </c>
      <c r="I101" s="127">
        <f t="shared" si="3"/>
        <v>3</v>
      </c>
      <c r="J101" s="127">
        <f t="shared" si="11"/>
        <v>3</v>
      </c>
      <c r="K101" s="127">
        <f t="shared" si="24"/>
        <v>1</v>
      </c>
      <c r="L101" s="127">
        <v>5.0</v>
      </c>
      <c r="M101" s="127">
        <f>IFERROR(__xludf.DUMMYFUNCTION("counta(iferror(filter(L$2:L100,E$2:E100=E101,L$2:L100&lt;L101)))"),1.0)</f>
        <v>1</v>
      </c>
      <c r="N101" s="127">
        <f>IFERROR(__xludf.DUMMYFUNCTION("counta(iferror(filter(L102:L$131,E102:E$131=E101,L102:L$136&gt;L101)))"),0.0)</f>
        <v>0</v>
      </c>
      <c r="O101" s="129">
        <f t="array" ref="O101:Z101">XLOOKUP(F101,'Current Week'!C:C,'Current Week'!D:O)</f>
        <v>5</v>
      </c>
      <c r="P101" s="127">
        <v>7.0</v>
      </c>
      <c r="Q101" s="128"/>
      <c r="R101" s="128"/>
      <c r="S101" s="128"/>
      <c r="T101" s="128"/>
      <c r="U101" s="128"/>
      <c r="V101" s="131"/>
      <c r="W101" s="128"/>
      <c r="X101" s="131"/>
      <c r="Y101" s="131">
        <v>312.0</v>
      </c>
      <c r="Z101" s="131">
        <v>316.0</v>
      </c>
      <c r="AA101" s="132">
        <f t="shared" si="4"/>
        <v>-5</v>
      </c>
      <c r="AB101" s="131">
        <f t="shared" si="5"/>
        <v>21</v>
      </c>
      <c r="AC101" s="131">
        <f>IFERROR(__xludf.DUMMYFUNCTION("iferror(COUNT(filter($O102:$O$397,$O102:$O$397&gt;$O101)))"),13.0)</f>
        <v>13</v>
      </c>
      <c r="AD101" s="133">
        <f t="shared" si="6"/>
        <v>0</v>
      </c>
      <c r="AE101" s="134">
        <f t="shared" si="7"/>
        <v>3</v>
      </c>
      <c r="AF101" s="128" t="str">
        <f>IFERROR(__xludf.DUMMYFUNCTION("iferror(join("","",index(sort(filter($F102:$F$398,$O102:$O$398&gt;$O101),2,false),0,1)))"),"Iowa State,Auburn,Texas State,Rutgers,Missouri,Boston College,South Florida,Northwestern,Old Dominion,Rice,Georgia Tech,Virginia Tech,West Virginia")</f>
        <v>Iowa State,Auburn,Texas State,Rutgers,Missouri,Boston College,South Florida,Northwestern,Old Dominion,Rice,Georgia Tech,Virginia Tech,West Virginia</v>
      </c>
      <c r="AG101" s="132">
        <f>IFERROR(__xludf.DUMMYFUNCTION("iferror($O101-max(filter($O101:$O$397,$E101:$E$397=$E$2)))"),-5.0)</f>
        <v>-5</v>
      </c>
      <c r="AH101" s="131">
        <f t="shared" si="8"/>
        <v>1</v>
      </c>
      <c r="AI101" s="131">
        <f>IFERROR(__xludf.DUMMYFUNCTION("iferror(COUNT(filter($O102:$O$397,$O102:$O$397&gt;$O101,$E101:$E$397=$E$2)))"),0.0)</f>
        <v>0</v>
      </c>
      <c r="AJ101" s="133">
        <f t="shared" si="9"/>
        <v>0</v>
      </c>
      <c r="AK101" s="134">
        <f>IFERROR(__xludf.DUMMYFUNCTION("iferror($O101-min(filter($O101:$O$397,$E101:$E$397=$E$2)))"),3.0)</f>
        <v>3</v>
      </c>
      <c r="AL101" s="128" t="str">
        <f>IFERROR(__xludf.DUMMYFUNCTION("iferror(join("","",index(sort(filter($F102:$F$397,$O102:$O$397&gt;$O101,$E102:$E$397=$E$2),2,false),0,1)))"),"Auburn,Missouri")</f>
        <v>Auburn,Missouri</v>
      </c>
      <c r="AM101" s="128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"""")"),"CUSA,MAC,SEC")</f>
        <v>CUSA,MAC,SEC</v>
      </c>
      <c r="AN101" s="132">
        <f>IFERROR(__xludf.DUMMYFUNCTION("iferror($O101-max(filter($O101:$O$397,arrayformula(isnumber(FIND($E101:$E$397,AM101))))))"),-5.0)</f>
        <v>-5</v>
      </c>
      <c r="AO101" s="131">
        <f t="array" ref="AO101">countifs($O$2:$O100,"&lt;"&amp;$O101,isnumber(FIND($E$2:$E100,AM101)),TRUE)</f>
        <v>8</v>
      </c>
      <c r="AP101" s="131">
        <f>IFERROR(__xludf.DUMMYFUNCTION("iferror(COUNT(filter($O102:$O$397,$O102:$O$397&gt;$O101,arrayformula(isnumber(FIND($E102:$E$397,AM101))))))"),3.0)</f>
        <v>3</v>
      </c>
      <c r="AQ101" s="133">
        <f t="shared" si="10"/>
        <v>0</v>
      </c>
      <c r="AR101" s="134">
        <f>IFERROR(__xludf.DUMMYFUNCTION("$O101-min(filter($O101:$O$397,arrayformula(isnumber(FIND($E101:$E$397,AM101)))))"),4.0)</f>
        <v>4</v>
      </c>
      <c r="AS101" s="128" t="str">
        <f>IFERROR(__xludf.DUMMYFUNCTION("iferror(join("","",index(sort(filter($F102:$F$397,$O102:$O$397&gt;$O101,arrayformula(isnumber(FIND($E102:$E$397,AM101)))),2,false),0,1)))"),"Auburn,Rutgers,Missouri")</f>
        <v>Auburn,Rutgers,Missouri</v>
      </c>
    </row>
    <row r="102">
      <c r="A102" s="23">
        <v>101.0</v>
      </c>
      <c r="B102" s="23">
        <v>8.0</v>
      </c>
      <c r="C102" s="23">
        <v>10.0</v>
      </c>
      <c r="D102" s="135" t="s">
        <v>60</v>
      </c>
      <c r="E102" s="136" t="str">
        <f>if(F102&lt;&gt;"",VLOOKUP(F102,offset('Teams-Conference'!A:B,0,(counta('Draft Order'!B$2:B134)-10)*2),2,0),"")</f>
        <v>MWC</v>
      </c>
      <c r="F102" s="140" t="s">
        <v>173</v>
      </c>
      <c r="G102" s="138" t="str">
        <f t="shared" si="1"/>
        <v/>
      </c>
      <c r="H102" s="127">
        <f t="shared" si="2"/>
        <v>1</v>
      </c>
      <c r="I102" s="127">
        <f t="shared" si="3"/>
        <v>2</v>
      </c>
      <c r="J102" s="127">
        <f t="shared" si="11"/>
        <v>1</v>
      </c>
      <c r="K102" s="127">
        <f t="shared" si="24"/>
        <v>2</v>
      </c>
      <c r="L102" s="127">
        <v>5.0</v>
      </c>
      <c r="M102" s="127">
        <f>IFERROR(__xludf.DUMMYFUNCTION("counta(iferror(filter(L$2:L101,E$2:E101=E102,L$2:L101&lt;L102)))"),2.0)</f>
        <v>2</v>
      </c>
      <c r="N102" s="127">
        <f>IFERROR(__xludf.DUMMYFUNCTION("counta(iferror(filter(L103:L$131,E103:E$131=E102,L103:L$136&gt;L102)))"),0.0)</f>
        <v>0</v>
      </c>
      <c r="O102" s="129">
        <f t="array" ref="O102:Z102">XLOOKUP(F102,'Current Week'!C:C,'Current Week'!D:O)</f>
        <v>5</v>
      </c>
      <c r="P102" s="127">
        <v>8.0</v>
      </c>
      <c r="Q102" s="128"/>
      <c r="R102" s="128"/>
      <c r="S102" s="128"/>
      <c r="T102" s="128"/>
      <c r="U102" s="128"/>
      <c r="V102" s="131"/>
      <c r="W102" s="128"/>
      <c r="X102" s="131"/>
      <c r="Y102" s="131">
        <v>278.0</v>
      </c>
      <c r="Z102" s="131">
        <v>419.0</v>
      </c>
      <c r="AA102" s="132">
        <f t="shared" si="4"/>
        <v>-5</v>
      </c>
      <c r="AB102" s="131">
        <f t="shared" si="5"/>
        <v>21</v>
      </c>
      <c r="AC102" s="131">
        <f>IFERROR(__xludf.DUMMYFUNCTION("iferror(COUNT(filter($O103:$O$397,$O103:$O$397&gt;$O102)))"),13.0)</f>
        <v>13</v>
      </c>
      <c r="AD102" s="133">
        <f t="shared" si="6"/>
        <v>0</v>
      </c>
      <c r="AE102" s="134">
        <f t="shared" si="7"/>
        <v>3</v>
      </c>
      <c r="AF102" s="128" t="str">
        <f>IFERROR(__xludf.DUMMYFUNCTION("iferror(join("","",index(sort(filter($F103:$F$398,$O103:$O$398&gt;$O102),2,false),0,1)))"),"Iowa State,Auburn,Texas State,Rutgers,Missouri,Boston College,South Florida,Northwestern,Old Dominion,Rice,Georgia Tech,Virginia Tech,West Virginia")</f>
        <v>Iowa State,Auburn,Texas State,Rutgers,Missouri,Boston College,South Florida,Northwestern,Old Dominion,Rice,Georgia Tech,Virginia Tech,West Virginia</v>
      </c>
      <c r="AG102" s="132">
        <f>IFERROR(__xludf.DUMMYFUNCTION("iferror($O102-max(filter($O102:$O$397,$E102:$E$397=$E$2)))"),-5.0)</f>
        <v>-5</v>
      </c>
      <c r="AH102" s="131">
        <f t="shared" si="8"/>
        <v>1</v>
      </c>
      <c r="AI102" s="131">
        <f>IFERROR(__xludf.DUMMYFUNCTION("iferror(COUNT(filter($O103:$O$397,$O103:$O$397&gt;$O102,$E102:$E$397=$E$2)))"),0.0)</f>
        <v>0</v>
      </c>
      <c r="AJ102" s="133">
        <f t="shared" si="9"/>
        <v>0</v>
      </c>
      <c r="AK102" s="134">
        <f>IFERROR(__xludf.DUMMYFUNCTION("iferror($O102-min(filter($O102:$O$397,$E102:$E$397=$E$2)))"),3.0)</f>
        <v>3</v>
      </c>
      <c r="AL102" s="128" t="str">
        <f>IFERROR(__xludf.DUMMYFUNCTION("iferror(join("","",index(sort(filter($F103:$F$397,$O103:$O$397&gt;$O102,$E103:$E$397=$E$2),2,false),0,1)))"),"Auburn,Missouri")</f>
        <v>Auburn,Missouri</v>
      </c>
      <c r="AM102" s="128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"""")"),"CUSA,MWC,Pac12")</f>
        <v>CUSA,MWC,Pac12</v>
      </c>
      <c r="AN102" s="132">
        <f>IFERROR(__xludf.DUMMYFUNCTION("iferror($O102-max(filter($O102:$O$397,arrayformula(isnumber(FIND($E102:$E$397,AM102))))))"),-1.0)</f>
        <v>-1</v>
      </c>
      <c r="AO102" s="131">
        <f t="array" ref="AO102">countifs($O$2:$O101,"&lt;"&amp;$O102,isnumber(FIND($E$2:$E101,AM102)),TRUE)</f>
        <v>6</v>
      </c>
      <c r="AP102" s="131">
        <f>IFERROR(__xludf.DUMMYFUNCTION("iferror(COUNT(filter($O103:$O$397,$O103:$O$397&gt;$O102,arrayformula(isnumber(FIND($E103:$E$397,AM102))))))"),1.0)</f>
        <v>1</v>
      </c>
      <c r="AQ102" s="133">
        <f t="shared" si="10"/>
        <v>0</v>
      </c>
      <c r="AR102" s="134">
        <f>IFERROR(__xludf.DUMMYFUNCTION("$O102-min(filter($O102:$O$397,arrayformula(isnumber(FIND($E102:$E$397,AM102)))))"),3.0)</f>
        <v>3</v>
      </c>
      <c r="AS102" s="128" t="str">
        <f>IFERROR(__xludf.DUMMYFUNCTION("iferror(join("","",index(sort(filter($F103:$F$397,$O103:$O$397&gt;$O102,arrayformula(isnumber(FIND($E103:$E$397,AM102)))),2,false),0,1)))"),"Rutgers")</f>
        <v>Rutgers</v>
      </c>
    </row>
    <row r="103">
      <c r="A103" s="23">
        <v>102.0</v>
      </c>
      <c r="B103" s="23">
        <v>8.0</v>
      </c>
      <c r="C103" s="23">
        <v>11.0</v>
      </c>
      <c r="D103" s="135" t="s">
        <v>56</v>
      </c>
      <c r="E103" s="136" t="str">
        <f>if(F103&lt;&gt;"",VLOOKUP(F103,offset('Teams-Conference'!A:B,0,(counta('Draft Order'!B$2:B134)-10)*2),2,0),"")</f>
        <v>Big 12</v>
      </c>
      <c r="F103" s="140" t="s">
        <v>124</v>
      </c>
      <c r="G103" s="138" t="str">
        <f t="shared" si="1"/>
        <v/>
      </c>
      <c r="H103" s="127">
        <f t="shared" si="2"/>
        <v>1</v>
      </c>
      <c r="I103" s="127">
        <f t="shared" si="3"/>
        <v>2</v>
      </c>
      <c r="J103" s="127">
        <f t="shared" si="11"/>
        <v>1</v>
      </c>
      <c r="K103" s="127">
        <f t="shared" si="24"/>
        <v>3</v>
      </c>
      <c r="L103" s="127">
        <v>7.0</v>
      </c>
      <c r="M103" s="127">
        <f>IFERROR(__xludf.DUMMYFUNCTION("counta(iferror(filter(L$2:L102,E$2:E102=E103,L$2:L102&lt;L103)))"),5.0)</f>
        <v>5</v>
      </c>
      <c r="N103" s="127">
        <f>IFERROR(__xludf.DUMMYFUNCTION("counta(iferror(filter(L104:L$131,E104:E$131=E103,L104:L$136&gt;L103)))"),0.0)</f>
        <v>0</v>
      </c>
      <c r="O103" s="129">
        <f t="array" ref="O103:Z103">XLOOKUP(F103,'Current Week'!C:C,'Current Week'!D:O)</f>
        <v>7</v>
      </c>
      <c r="P103" s="127">
        <v>5.0</v>
      </c>
      <c r="Q103" s="128"/>
      <c r="R103" s="128"/>
      <c r="S103" s="128"/>
      <c r="T103" s="128"/>
      <c r="U103" s="128"/>
      <c r="V103" s="131"/>
      <c r="W103" s="128"/>
      <c r="X103" s="131"/>
      <c r="Y103" s="131">
        <v>315.0</v>
      </c>
      <c r="Z103" s="131">
        <v>260.0</v>
      </c>
      <c r="AA103" s="132">
        <f t="shared" si="4"/>
        <v>-3</v>
      </c>
      <c r="AB103" s="131">
        <f t="shared" si="5"/>
        <v>46</v>
      </c>
      <c r="AC103" s="131">
        <f>IFERROR(__xludf.DUMMYFUNCTION("iferror(COUNT(filter($O104:$O$397,$O104:$O$397&gt;$O103)))"),2.0)</f>
        <v>2</v>
      </c>
      <c r="AD103" s="133">
        <f t="shared" si="6"/>
        <v>0</v>
      </c>
      <c r="AE103" s="134">
        <f t="shared" si="7"/>
        <v>5</v>
      </c>
      <c r="AF103" s="128" t="str">
        <f>IFERROR(__xludf.DUMMYFUNCTION("iferror(join("","",index(sort(filter($F104:$F$398,$O104:$O$398&gt;$O103),2,false),0,1)))"),"Missouri,West Virginia")</f>
        <v>Missouri,West Virginia</v>
      </c>
      <c r="AG103" s="132">
        <f>IFERROR(__xludf.DUMMYFUNCTION("iferror($O103-max(filter($O103:$O$397,$E103:$E$397=$E$2)))"),-3.0)</f>
        <v>-3</v>
      </c>
      <c r="AH103" s="131">
        <f t="shared" si="8"/>
        <v>2</v>
      </c>
      <c r="AI103" s="131">
        <f>IFERROR(__xludf.DUMMYFUNCTION("iferror(COUNT(filter($O104:$O$397,$O104:$O$397&gt;$O103,$E103:$E$397=$E$2)))"),0.0)</f>
        <v>0</v>
      </c>
      <c r="AJ103" s="133">
        <f t="shared" si="9"/>
        <v>0</v>
      </c>
      <c r="AK103" s="134">
        <f>IFERROR(__xludf.DUMMYFUNCTION("iferror($O103-min(filter($O103:$O$397,$E103:$E$397=$E$2)))"),5.0)</f>
        <v>5</v>
      </c>
      <c r="AL103" s="128" t="str">
        <f>IFERROR(__xludf.DUMMYFUNCTION("iferror(join("","",index(sort(filter($F104:$F$397,$O104:$O$397&gt;$O103,$E104:$E$397=$E$2),2,false),0,1)))"),"Missouri")</f>
        <v>Missouri</v>
      </c>
      <c r="AM103" s="128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"""")"),"Big 12,SEC,Sun Belt")</f>
        <v>Big 12,SEC,Sun Belt</v>
      </c>
      <c r="AN103" s="132">
        <f>IFERROR(__xludf.DUMMYFUNCTION("iferror($O103-max(filter($O103:$O$397,arrayformula(isnumber(FIND($E103:$E$397,AM103))))))"),-3.0)</f>
        <v>-3</v>
      </c>
      <c r="AO103" s="131">
        <f t="array" ref="AO103">countifs($O$2:$O102,"&lt;"&amp;$O103,isnumber(FIND($E$2:$E102,AM103)),TRUE)</f>
        <v>14</v>
      </c>
      <c r="AP103" s="131">
        <f>IFERROR(__xludf.DUMMYFUNCTION("iferror(COUNT(filter($O104:$O$397,$O104:$O$397&gt;$O103,arrayformula(isnumber(FIND($E104:$E$397,AM103))))))"),2.0)</f>
        <v>2</v>
      </c>
      <c r="AQ103" s="133">
        <f t="shared" si="10"/>
        <v>0</v>
      </c>
      <c r="AR103" s="134">
        <f>IFERROR(__xludf.DUMMYFUNCTION("$O103-min(filter($O103:$O$397,arrayformula(isnumber(FIND($E103:$E$397,AM103)))))"),5.0)</f>
        <v>5</v>
      </c>
      <c r="AS103" s="128" t="str">
        <f>IFERROR(__xludf.DUMMYFUNCTION("iferror(join("","",index(sort(filter($F104:$F$397,$O104:$O$397&gt;$O103,arrayformula(isnumber(FIND($E104:$E$397,AM103)))),2,false),0,1)))"),"Missouri,West Virginia")</f>
        <v>Missouri,West Virginia</v>
      </c>
    </row>
    <row r="104">
      <c r="A104" s="23">
        <v>103.0</v>
      </c>
      <c r="B104" s="23">
        <v>8.0</v>
      </c>
      <c r="C104" s="23">
        <v>12.0</v>
      </c>
      <c r="D104" s="135" t="s">
        <v>58</v>
      </c>
      <c r="E104" t="str">
        <f>if(F104&lt;&gt;"",VLOOKUP(F104,offset('Teams-Conference'!A:B,0,(counta('Draft Order'!B$2:B134)-10)*2),2,0),"")</f>
        <v>Big 12</v>
      </c>
      <c r="F104" s="140" t="s">
        <v>119</v>
      </c>
      <c r="G104" s="138" t="str">
        <f t="shared" si="1"/>
        <v/>
      </c>
      <c r="H104" s="127">
        <f t="shared" si="2"/>
        <v>0</v>
      </c>
      <c r="I104" s="127">
        <f t="shared" si="3"/>
        <v>1</v>
      </c>
      <c r="J104" s="127">
        <f t="shared" si="11"/>
        <v>2</v>
      </c>
      <c r="K104" s="127">
        <f>countif(E85:E104,E106)</f>
        <v>2</v>
      </c>
      <c r="L104" s="127">
        <v>5.0</v>
      </c>
      <c r="M104" s="127">
        <f>IFERROR(__xludf.DUMMYFUNCTION("counta(iferror(filter(L$2:L103,E$2:E103=E104,L$2:L103&lt;L104)))"),2.0)</f>
        <v>2</v>
      </c>
      <c r="N104" s="127">
        <f>IFERROR(__xludf.DUMMYFUNCTION("counta(iferror(filter(L105:L$131,E105:E$131=E104,L105:L$136&gt;L104)))"),0.0)</f>
        <v>0</v>
      </c>
      <c r="O104" s="129">
        <f t="array" ref="O104:Z104">XLOOKUP(F104,'Current Week'!C:C,'Current Week'!D:O)</f>
        <v>5</v>
      </c>
      <c r="P104" s="127">
        <v>7.0</v>
      </c>
      <c r="Q104" s="128"/>
      <c r="R104" s="128"/>
      <c r="S104" s="128"/>
      <c r="T104" s="128"/>
      <c r="U104" s="128"/>
      <c r="V104" s="131"/>
      <c r="W104" s="128"/>
      <c r="X104" s="131"/>
      <c r="Y104" s="131">
        <v>277.0</v>
      </c>
      <c r="Z104" s="131">
        <v>358.0</v>
      </c>
      <c r="AA104" s="132">
        <f t="shared" si="4"/>
        <v>-5</v>
      </c>
      <c r="AB104" s="131">
        <f t="shared" si="5"/>
        <v>21</v>
      </c>
      <c r="AC104" s="131">
        <f>IFERROR(__xludf.DUMMYFUNCTION("iferror(COUNT(filter($O105:$O$397,$O105:$O$397&gt;$O104)))"),12.0)</f>
        <v>12</v>
      </c>
      <c r="AD104" s="133">
        <f t="shared" si="6"/>
        <v>0</v>
      </c>
      <c r="AE104" s="134">
        <f t="shared" si="7"/>
        <v>3</v>
      </c>
      <c r="AF104" s="128" t="str">
        <f>IFERROR(__xludf.DUMMYFUNCTION("iferror(join("","",index(sort(filter($F105:$F$398,$O105:$O$398&gt;$O104),2,false),0,1)))"),"Auburn,Texas State,Rutgers,Missouri,Boston College,South Florida,Northwestern,Old Dominion,Rice,Georgia Tech,Virginia Tech,West Virginia")</f>
        <v>Auburn,Texas State,Rutgers,Missouri,Boston College,South Florida,Northwestern,Old Dominion,Rice,Georgia Tech,Virginia Tech,West Virginia</v>
      </c>
      <c r="AG104" s="132">
        <f>IFERROR(__xludf.DUMMYFUNCTION("iferror($O104-max(filter($O104:$O$397,$E104:$E$397=$E$2)))"),-5.0)</f>
        <v>-5</v>
      </c>
      <c r="AH104" s="131">
        <f t="shared" si="8"/>
        <v>1</v>
      </c>
      <c r="AI104" s="131">
        <f>IFERROR(__xludf.DUMMYFUNCTION("iferror(COUNT(filter($O105:$O$397,$O105:$O$397&gt;$O104,$E104:$E$397=$E$2)))"),0.0)</f>
        <v>0</v>
      </c>
      <c r="AJ104" s="133">
        <f t="shared" si="9"/>
        <v>0</v>
      </c>
      <c r="AK104" s="134">
        <f>IFERROR(__xludf.DUMMYFUNCTION("iferror($O104-min(filter($O104:$O$397,$E104:$E$397=$E$2)))"),3.0)</f>
        <v>3</v>
      </c>
      <c r="AL104" s="128" t="str">
        <f>IFERROR(__xludf.DUMMYFUNCTION("iferror(join("","",index(sort(filter($F105:$F$397,$O105:$O$397&gt;$O104,$E105:$E$397=$E$2),2,false),0,1)))"),"Auburn,Missouri")</f>
        <v>Auburn,Missouri</v>
      </c>
      <c r="AM104" s="128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"""")"),"ACC,Big 12,SEC")</f>
        <v>ACC,Big 12,SEC</v>
      </c>
      <c r="AN104" s="132">
        <f>IFERROR(__xludf.DUMMYFUNCTION("iferror($O104-max(filter($O104:$O$397,arrayformula(isnumber(FIND($E104:$E$397,AM104))))))"),-5.0)</f>
        <v>-5</v>
      </c>
      <c r="AO104" s="131">
        <f t="array" ref="AO104">countifs($O$2:$O103,"&lt;"&amp;$O104,isnumber(FIND($E$2:$E103,AM104)),TRUE)</f>
        <v>5</v>
      </c>
      <c r="AP104" s="131">
        <f>IFERROR(__xludf.DUMMYFUNCTION("iferror(COUNT(filter($O105:$O$397,$O105:$O$397&gt;$O104,arrayformula(isnumber(FIND($E105:$E$397,AM104))))))"),6.0)</f>
        <v>6</v>
      </c>
      <c r="AQ104" s="133">
        <f t="shared" si="10"/>
        <v>0</v>
      </c>
      <c r="AR104" s="134">
        <f>IFERROR(__xludf.DUMMYFUNCTION("$O104-min(filter($O104:$O$397,arrayformula(isnumber(FIND($E104:$E$397,AM104)))))"),3.0)</f>
        <v>3</v>
      </c>
      <c r="AS104" s="128" t="str">
        <f>IFERROR(__xludf.DUMMYFUNCTION("iferror(join("","",index(sort(filter($F105:$F$397,$O105:$O$397&gt;$O104,arrayformula(isnumber(FIND($E105:$E$397,AM104)))),2,false),0,1)))"),"Auburn,Missouri,Boston College,Georgia Tech,Virginia Tech,West Virginia")</f>
        <v>Auburn,Missouri,Boston College,Georgia Tech,Virginia Tech,West Virginia</v>
      </c>
    </row>
    <row r="105">
      <c r="A105" s="141">
        <v>104.0</v>
      </c>
      <c r="B105" s="141">
        <v>8.0</v>
      </c>
      <c r="C105" s="141">
        <v>13.0</v>
      </c>
      <c r="D105" s="142" t="s">
        <v>35</v>
      </c>
      <c r="E105" s="143" t="str">
        <f>if(F105&lt;&gt;"",VLOOKUP(F105,offset('Teams-Conference'!A:B,0,(counta('Draft Order'!B$2:B134)-10)*2),2,0),"")</f>
        <v>CUSA</v>
      </c>
      <c r="F105" s="144" t="s">
        <v>78</v>
      </c>
      <c r="G105" s="145" t="str">
        <f t="shared" si="1"/>
        <v/>
      </c>
      <c r="H105" s="127">
        <f t="shared" si="2"/>
        <v>2</v>
      </c>
      <c r="I105" s="127">
        <f t="shared" si="3"/>
        <v>2</v>
      </c>
      <c r="J105" s="127">
        <f t="shared" si="11"/>
        <v>1</v>
      </c>
      <c r="K105" s="128"/>
      <c r="L105" s="127">
        <v>3.0</v>
      </c>
      <c r="M105" s="127">
        <f>IFERROR(__xludf.DUMMYFUNCTION("counta(iferror(filter(L$2:L104,E$2:E104=E105,L$2:L104&lt;L105)))"),0.0)</f>
        <v>0</v>
      </c>
      <c r="N105" s="127">
        <f>IFERROR(__xludf.DUMMYFUNCTION("counta(iferror(filter(L106:L$131,E106:E$131=E105,L106:L$136&gt;L105)))"),0.0)</f>
        <v>0</v>
      </c>
      <c r="O105" s="129">
        <f t="array" ref="O105:Z105">XLOOKUP(F105,'Current Week'!C:C,'Current Week'!D:O)</f>
        <v>3</v>
      </c>
      <c r="P105" s="127">
        <v>9.0</v>
      </c>
      <c r="Q105" s="128"/>
      <c r="R105" s="128"/>
      <c r="S105" s="128"/>
      <c r="T105" s="128"/>
      <c r="U105" s="128"/>
      <c r="V105" s="131"/>
      <c r="W105" s="128"/>
      <c r="X105" s="131"/>
      <c r="Y105" s="131">
        <v>240.0</v>
      </c>
      <c r="Z105" s="131">
        <v>314.0</v>
      </c>
      <c r="AA105" s="132">
        <f t="shared" si="4"/>
        <v>-7</v>
      </c>
      <c r="AB105" s="131">
        <f t="shared" si="5"/>
        <v>2</v>
      </c>
      <c r="AC105" s="131">
        <f>IFERROR(__xludf.DUMMYFUNCTION("iferror(COUNT(filter($O106:$O$397,$O106:$O$397&gt;$O105)))"),19.0)</f>
        <v>19</v>
      </c>
      <c r="AD105" s="133">
        <f t="shared" si="6"/>
        <v>0</v>
      </c>
      <c r="AE105" s="134">
        <f t="shared" si="7"/>
        <v>1</v>
      </c>
      <c r="AF105" s="128" t="str">
        <f>IFERROR(__xludf.DUMMYFUNCTION("iferror(join("","",index(sort(filter($F106:$F$398,$O106:$O$398&gt;$O105),2,false),0,1)))"),"New Mexico,Auburn,Texas State,Rutgers,Tulsa,Florida Intl,Missouri,Boston College,South Florida,Northwestern,Colorado,Old Dominion,Rice,Mississippi State,Georgia Tech,Houston,Florida,Virginia Tech,West Virginia")</f>
        <v>New Mexico,Auburn,Texas State,Rutgers,Tulsa,Florida Intl,Missouri,Boston College,South Florida,Northwestern,Colorado,Old Dominion,Rice,Mississippi State,Georgia Tech,Houston,Florida,Virginia Tech,West Virginia</v>
      </c>
      <c r="AG105" s="132">
        <f>IFERROR(__xludf.DUMMYFUNCTION("iferror($O105-max(filter($O105:$O$397,$E105:$E$397=$E$2)))"),-7.0)</f>
        <v>-7</v>
      </c>
      <c r="AH105" s="131">
        <f t="shared" si="8"/>
        <v>0</v>
      </c>
      <c r="AI105" s="131">
        <f>IFERROR(__xludf.DUMMYFUNCTION("iferror(COUNT(filter($O106:$O$397,$O106:$O$397&gt;$O105,$E105:$E$397=$E$2)))"),0.0)</f>
        <v>0</v>
      </c>
      <c r="AJ105" s="133">
        <f t="shared" si="9"/>
        <v>0</v>
      </c>
      <c r="AK105" s="134">
        <f>IFERROR(__xludf.DUMMYFUNCTION("iferror($O105-min(filter($O105:$O$397,$E105:$E$397=$E$2)))"),1.0)</f>
        <v>1</v>
      </c>
      <c r="AL105" s="128" t="str">
        <f>IFERROR(__xludf.DUMMYFUNCTION("iferror(join("","",index(sort(filter($F106:$F$397,$O106:$O$397&gt;$O105,$E106:$E$397=$E$2),2,false),0,1)))"),"Auburn,Missouri,Mississippi State,Florida")</f>
        <v>Auburn,Missouri,Mississippi State,Florida</v>
      </c>
      <c r="AM105" s="128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"""")"),"CUSA,MAC,MWC")</f>
        <v>CUSA,MAC,MWC</v>
      </c>
      <c r="AN105" s="132">
        <f>IFERROR(__xludf.DUMMYFUNCTION("iferror($O105-max(filter($O105:$O$397,arrayformula(isnumber(FIND($E105:$E$397,AM105))))))"),-3.0)</f>
        <v>-3</v>
      </c>
      <c r="AO105" s="131">
        <f t="array" ref="AO105">countifs($O$2:$O104,"&lt;"&amp;$O105,isnumber(FIND($E$2:$E104,AM105)),TRUE)</f>
        <v>1</v>
      </c>
      <c r="AP105" s="131">
        <f>IFERROR(__xludf.DUMMYFUNCTION("iferror(COUNT(filter($O106:$O$397,$O106:$O$397&gt;$O105,arrayformula(isnumber(FIND($E106:$E$397,AM105))))))"),3.0)</f>
        <v>3</v>
      </c>
      <c r="AQ105" s="133">
        <f t="shared" si="10"/>
        <v>0</v>
      </c>
      <c r="AR105" s="134">
        <f>IFERROR(__xludf.DUMMYFUNCTION("$O105-min(filter($O105:$O$397,arrayformula(isnumber(FIND($E105:$E$397,AM105)))))"),2.0)</f>
        <v>2</v>
      </c>
      <c r="AS105" s="128" t="str">
        <f>IFERROR(__xludf.DUMMYFUNCTION("iferror(join("","",index(sort(filter($F106:$F$397,$O106:$O$397&gt;$O105,arrayformula(isnumber(FIND($E106:$E$397,AM105)))),2,false),0,1)))"),"New Mexico,Rutgers,Florida Intl")</f>
        <v>New Mexico,Rutgers,Florida Intl</v>
      </c>
    </row>
    <row r="106">
      <c r="A106" s="122">
        <v>105.0</v>
      </c>
      <c r="B106" s="122">
        <v>9.0</v>
      </c>
      <c r="C106" s="122">
        <v>1.0</v>
      </c>
      <c r="D106" s="123" t="str">
        <f t="array" ref="D106:D118">index(sort('Draft Order'!$A$2:$B$14,1,1),0,2)</f>
        <v>Nick G.</v>
      </c>
      <c r="E106" s="124" t="str">
        <f>if(F106&lt;&gt;"",VLOOKUP(F106,offset('Teams-Conference'!A:B,0,(counta('Draft Order'!B$2:B134)-10)*2),2,0),"")</f>
        <v>MWC</v>
      </c>
      <c r="F106" s="125" t="s">
        <v>88</v>
      </c>
      <c r="G106" s="126" t="str">
        <f t="shared" si="1"/>
        <v/>
      </c>
      <c r="H106" s="127">
        <f t="shared" si="2"/>
        <v>0</v>
      </c>
      <c r="I106" s="127">
        <f t="shared" si="3"/>
        <v>1</v>
      </c>
      <c r="J106" s="127">
        <f t="shared" si="11"/>
        <v>1</v>
      </c>
      <c r="K106" s="127">
        <f t="shared" ref="K106:K111" si="25">countif(E86:E106,E107)</f>
        <v>4</v>
      </c>
      <c r="L106" s="127">
        <v>4.0</v>
      </c>
      <c r="M106" s="127">
        <f>IFERROR(__xludf.DUMMYFUNCTION("counta(iferror(filter(L$2:L105,E$2:E105=E106,L$2:L105&lt;L106)))"),1.0)</f>
        <v>1</v>
      </c>
      <c r="N106" s="127">
        <f>IFERROR(__xludf.DUMMYFUNCTION("counta(iferror(filter(L107:L$131,E107:E$131=E106,L107:L$136&gt;L106)))"),0.0)</f>
        <v>0</v>
      </c>
      <c r="O106" s="129">
        <f t="array" ref="O106:Z106">XLOOKUP(F106,'Current Week'!C:C,'Current Week'!D:O)</f>
        <v>4</v>
      </c>
      <c r="P106" s="127">
        <v>8.0</v>
      </c>
      <c r="Q106" s="128"/>
      <c r="R106" s="128"/>
      <c r="S106" s="128"/>
      <c r="T106" s="128"/>
      <c r="U106" s="128"/>
      <c r="V106" s="131"/>
      <c r="W106" s="128"/>
      <c r="X106" s="131"/>
      <c r="Y106" s="131">
        <v>327.0</v>
      </c>
      <c r="Z106" s="131">
        <v>421.0</v>
      </c>
      <c r="AA106" s="132">
        <f t="shared" si="4"/>
        <v>-6</v>
      </c>
      <c r="AB106" s="131">
        <f t="shared" si="5"/>
        <v>12</v>
      </c>
      <c r="AC106" s="131">
        <f>IFERROR(__xludf.DUMMYFUNCTION("iferror(COUNT(filter($O107:$O$397,$O107:$O$397&gt;$O106)))"),14.0)</f>
        <v>14</v>
      </c>
      <c r="AD106" s="133">
        <f t="shared" si="6"/>
        <v>0</v>
      </c>
      <c r="AE106" s="134">
        <f t="shared" si="7"/>
        <v>2</v>
      </c>
      <c r="AF106" s="128" t="str">
        <f>IFERROR(__xludf.DUMMYFUNCTION("iferror(join("","",index(sort(filter($F107:$F$398,$O107:$O$398&gt;$O106),2,false),0,1)))"),"Auburn,Texas State,Rutgers,Missouri,Boston College,South Florida,Northwestern,Old Dominion,Rice,Mississippi State,Georgia Tech,Florida,Virginia Tech,West Virginia")</f>
        <v>Auburn,Texas State,Rutgers,Missouri,Boston College,South Florida,Northwestern,Old Dominion,Rice,Mississippi State,Georgia Tech,Florida,Virginia Tech,West Virginia</v>
      </c>
      <c r="AG106" s="132">
        <f>IFERROR(__xludf.DUMMYFUNCTION("iferror($O106-max(filter($O106:$O$397,$E106:$E$397=$E$2)))"),-6.0)</f>
        <v>-6</v>
      </c>
      <c r="AH106" s="131">
        <f t="shared" si="8"/>
        <v>0</v>
      </c>
      <c r="AI106" s="131">
        <f>IFERROR(__xludf.DUMMYFUNCTION("iferror(COUNT(filter($O107:$O$397,$O107:$O$397&gt;$O106,$E106:$E$397=$E$2)))"),0.0)</f>
        <v>0</v>
      </c>
      <c r="AJ106" s="133">
        <f t="shared" si="9"/>
        <v>0</v>
      </c>
      <c r="AK106" s="134">
        <f>IFERROR(__xludf.DUMMYFUNCTION("iferror($O106-min(filter($O106:$O$397,$E106:$E$397=$E$2)))"),2.0)</f>
        <v>2</v>
      </c>
      <c r="AL106" s="128" t="str">
        <f>IFERROR(__xludf.DUMMYFUNCTION("iferror(join("","",index(sort(filter($F107:$F$397,$O107:$O$397&gt;$O106,$E107:$E$397=$E$2),2,false),0,1)))"),"Auburn,Missouri,Mississippi State,Florida")</f>
        <v>Auburn,Missouri,Mississippi State,Florida</v>
      </c>
      <c r="AM106" s="128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"""")"),"MAC,MWC")</f>
        <v>MAC,MWC</v>
      </c>
      <c r="AN106" s="132">
        <f>IFERROR(__xludf.DUMMYFUNCTION("iferror($O106-max(filter($O106:$O$397,arrayformula(isnumber(FIND($E106:$E$397,AM106))))))"),0.0)</f>
        <v>0</v>
      </c>
      <c r="AO106" s="131">
        <f t="array" ref="AO106">countifs($O$2:$O105,"&lt;"&amp;$O106,isnumber(FIND($E$2:$E105,AM106)),TRUE)</f>
        <v>2</v>
      </c>
      <c r="AP106" s="131">
        <f>IFERROR(__xludf.DUMMYFUNCTION("iferror(COUNT(filter($O107:$O$397,$O107:$O$397&gt;$O106,arrayformula(isnumber(FIND($E107:$E$397,AM106))))))"),0.0)</f>
        <v>0</v>
      </c>
      <c r="AQ106" s="133">
        <f t="shared" si="10"/>
        <v>1</v>
      </c>
      <c r="AR106" s="134">
        <f>IFERROR(__xludf.DUMMYFUNCTION("$O106-min(filter($O106:$O$397,arrayformula(isnumber(FIND($E106:$E$397,AM106)))))"),3.0)</f>
        <v>3</v>
      </c>
      <c r="AS106" s="128" t="str">
        <f>IFERROR(__xludf.DUMMYFUNCTION("iferror(join("","",index(sort(filter($F107:$F$397,$O107:$O$397&gt;$O106,arrayformula(isnumber(FIND($E107:$E$397,AM106)))),2,false),0,1)))"),"")</f>
        <v/>
      </c>
    </row>
    <row r="107">
      <c r="A107" s="23">
        <v>106.0</v>
      </c>
      <c r="B107" s="23">
        <v>9.0</v>
      </c>
      <c r="C107" s="23">
        <v>2.0</v>
      </c>
      <c r="D107" s="135" t="s">
        <v>58</v>
      </c>
      <c r="E107" s="136" t="str">
        <f>if(F107&lt;&gt;"",VLOOKUP(F107,offset('Teams-Conference'!A:B,0,(counta('Draft Order'!B$2:B134)-10)*2),2,0),"")</f>
        <v>SEC</v>
      </c>
      <c r="F107" s="137" t="s">
        <v>112</v>
      </c>
      <c r="G107" s="138" t="str">
        <f t="shared" si="1"/>
        <v/>
      </c>
      <c r="H107" s="127">
        <f t="shared" si="2"/>
        <v>1</v>
      </c>
      <c r="I107" s="127">
        <f t="shared" si="3"/>
        <v>3</v>
      </c>
      <c r="J107" s="127">
        <f t="shared" si="11"/>
        <v>3</v>
      </c>
      <c r="K107" s="127">
        <f t="shared" si="25"/>
        <v>1</v>
      </c>
      <c r="L107" s="127">
        <v>6.0</v>
      </c>
      <c r="M107" s="127">
        <f>IFERROR(__xludf.DUMMYFUNCTION("counta(iferror(filter(L$2:L106,E$2:E106=E107,L$2:L106&lt;L107)))"),2.0)</f>
        <v>2</v>
      </c>
      <c r="N107" s="127">
        <f>IFERROR(__xludf.DUMMYFUNCTION("counta(iferror(filter(L108:L$131,E108:E$131=E107,L108:L$136&gt;L107)))"),0.0)</f>
        <v>0</v>
      </c>
      <c r="O107" s="129">
        <f t="array" ref="O107:Z107">XLOOKUP(F107,'Current Week'!C:C,'Current Week'!D:O)</f>
        <v>6</v>
      </c>
      <c r="P107" s="127">
        <v>6.0</v>
      </c>
      <c r="Q107" s="128"/>
      <c r="R107" s="128"/>
      <c r="S107" s="128"/>
      <c r="T107" s="128"/>
      <c r="U107" s="128"/>
      <c r="V107" s="131"/>
      <c r="W107" s="128"/>
      <c r="X107" s="131"/>
      <c r="Y107" s="131">
        <v>327.0</v>
      </c>
      <c r="Z107" s="131">
        <v>263.0</v>
      </c>
      <c r="AA107" s="132">
        <f t="shared" si="4"/>
        <v>-4</v>
      </c>
      <c r="AB107" s="131">
        <f t="shared" si="5"/>
        <v>35</v>
      </c>
      <c r="AC107" s="131">
        <f>IFERROR(__xludf.DUMMYFUNCTION("iferror(COUNT(filter($O108:$O$397,$O108:$O$397&gt;$O107)))"),4.0)</f>
        <v>4</v>
      </c>
      <c r="AD107" s="133">
        <f t="shared" si="6"/>
        <v>0</v>
      </c>
      <c r="AE107" s="134">
        <f t="shared" si="7"/>
        <v>4</v>
      </c>
      <c r="AF107" s="128" t="str">
        <f>IFERROR(__xludf.DUMMYFUNCTION("iferror(join("","",index(sort(filter($F108:$F$398,$O108:$O$398&gt;$O107),2,false),0,1)))"),"Texas State,Missouri,Northwestern,West Virginia")</f>
        <v>Texas State,Missouri,Northwestern,West Virginia</v>
      </c>
      <c r="AG107" s="132">
        <f>IFERROR(__xludf.DUMMYFUNCTION("iferror($O107-max(filter($O107:$O$397,$E107:$E$397=$E$2)))"),-4.0)</f>
        <v>-4</v>
      </c>
      <c r="AH107" s="131">
        <f t="shared" si="8"/>
        <v>2</v>
      </c>
      <c r="AI107" s="131">
        <f>IFERROR(__xludf.DUMMYFUNCTION("iferror(COUNT(filter($O108:$O$397,$O108:$O$397&gt;$O107,$E107:$E$397=$E$2)))"),0.0)</f>
        <v>0</v>
      </c>
      <c r="AJ107" s="133">
        <f t="shared" si="9"/>
        <v>0</v>
      </c>
      <c r="AK107" s="134">
        <f>IFERROR(__xludf.DUMMYFUNCTION("iferror($O107-min(filter($O107:$O$397,$E107:$E$397=$E$2)))"),4.0)</f>
        <v>4</v>
      </c>
      <c r="AL107" s="128" t="str">
        <f>IFERROR(__xludf.DUMMYFUNCTION("iferror(join("","",index(sort(filter($F108:$F$397,$O108:$O$397&gt;$O107,$E108:$E$397=$E$2),2,false),0,1)))"),"Missouri")</f>
        <v>Missouri</v>
      </c>
      <c r="AM107" s="128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"""")"),"ACC,SEC")</f>
        <v>ACC,SEC</v>
      </c>
      <c r="AN107" s="132">
        <f>IFERROR(__xludf.DUMMYFUNCTION("iferror($O107-max(filter($O107:$O$397,arrayformula(isnumber(FIND($E107:$E$397,AM107))))))"),-4.0)</f>
        <v>-4</v>
      </c>
      <c r="AO107" s="131">
        <f t="array" ref="AO107">countifs($O$2:$O106,"&lt;"&amp;$O107,isnumber(FIND($E$2:$E106,AM107)),TRUE)</f>
        <v>4</v>
      </c>
      <c r="AP107" s="131">
        <f>IFERROR(__xludf.DUMMYFUNCTION("iferror(COUNT(filter($O108:$O$397,$O108:$O$397&gt;$O107,arrayformula(isnumber(FIND($E108:$E$397,AM107))))))"),1.0)</f>
        <v>1</v>
      </c>
      <c r="AQ107" s="133">
        <f t="shared" si="10"/>
        <v>0</v>
      </c>
      <c r="AR107" s="134">
        <f>IFERROR(__xludf.DUMMYFUNCTION("$O107-min(filter($O107:$O$397,arrayformula(isnumber(FIND($E107:$E$397,AM107)))))"),4.0)</f>
        <v>4</v>
      </c>
      <c r="AS107" s="128" t="str">
        <f>IFERROR(__xludf.DUMMYFUNCTION("iferror(join("","",index(sort(filter($F108:$F$397,$O108:$O$397&gt;$O107,arrayformula(isnumber(FIND($E108:$E$397,AM107)))),2,false),0,1)))"),"Missouri")</f>
        <v>Missouri</v>
      </c>
    </row>
    <row r="108">
      <c r="A108" s="23">
        <v>107.0</v>
      </c>
      <c r="B108" s="23">
        <v>9.0</v>
      </c>
      <c r="C108" s="23">
        <v>3.0</v>
      </c>
      <c r="D108" s="139" t="s">
        <v>56</v>
      </c>
      <c r="E108" s="136" t="str">
        <f>if(F108&lt;&gt;"",VLOOKUP(F108,offset('Teams-Conference'!A:B,0,(counta('Draft Order'!B$2:B134)-10)*2),2,0),"")</f>
        <v>Sun Belt</v>
      </c>
      <c r="F108" s="137" t="s">
        <v>126</v>
      </c>
      <c r="G108" s="138" t="str">
        <f t="shared" si="1"/>
        <v/>
      </c>
      <c r="H108" s="127">
        <f t="shared" si="2"/>
        <v>0</v>
      </c>
      <c r="I108" s="127">
        <f t="shared" si="3"/>
        <v>1</v>
      </c>
      <c r="J108" s="127">
        <f t="shared" si="11"/>
        <v>0</v>
      </c>
      <c r="K108" s="127">
        <f t="shared" si="25"/>
        <v>2</v>
      </c>
      <c r="L108" s="127">
        <v>7.0</v>
      </c>
      <c r="M108" s="127">
        <f>IFERROR(__xludf.DUMMYFUNCTION("counta(iferror(filter(L$2:L107,E$2:E107=E108,L$2:L107&lt;L108)))"),7.0)</f>
        <v>7</v>
      </c>
      <c r="N108" s="127">
        <f>IFERROR(__xludf.DUMMYFUNCTION("counta(iferror(filter(L109:L$131,E109:E$131=E108,L109:L$136&gt;L108)))"),0.0)</f>
        <v>0</v>
      </c>
      <c r="O108" s="129">
        <f t="array" ref="O108:Z108">XLOOKUP(F108,'Current Week'!C:C,'Current Week'!D:O)</f>
        <v>7</v>
      </c>
      <c r="P108" s="127">
        <v>5.0</v>
      </c>
      <c r="Q108" s="128"/>
      <c r="R108" s="128"/>
      <c r="S108" s="128"/>
      <c r="T108" s="128"/>
      <c r="U108" s="128"/>
      <c r="V108" s="131"/>
      <c r="W108" s="128"/>
      <c r="X108" s="131"/>
      <c r="Y108" s="131">
        <v>432.0</v>
      </c>
      <c r="Z108" s="131">
        <v>406.0</v>
      </c>
      <c r="AA108" s="132">
        <f t="shared" si="4"/>
        <v>-3</v>
      </c>
      <c r="AB108" s="131">
        <f t="shared" si="5"/>
        <v>50</v>
      </c>
      <c r="AC108" s="131">
        <f>IFERROR(__xludf.DUMMYFUNCTION("iferror(COUNT(filter($O109:$O$397,$O109:$O$397&gt;$O108)))"),2.0)</f>
        <v>2</v>
      </c>
      <c r="AD108" s="133">
        <f t="shared" si="6"/>
        <v>0</v>
      </c>
      <c r="AE108" s="134">
        <f t="shared" si="7"/>
        <v>5</v>
      </c>
      <c r="AF108" s="128" t="str">
        <f>IFERROR(__xludf.DUMMYFUNCTION("iferror(join("","",index(sort(filter($F109:$F$398,$O109:$O$398&gt;$O108),2,false),0,1)))"),"Missouri,West Virginia")</f>
        <v>Missouri,West Virginia</v>
      </c>
      <c r="AG108" s="132">
        <f>IFERROR(__xludf.DUMMYFUNCTION("iferror($O108-max(filter($O108:$O$397,$E108:$E$397=$E$2)))"),-3.0)</f>
        <v>-3</v>
      </c>
      <c r="AH108" s="131">
        <f t="shared" si="8"/>
        <v>3</v>
      </c>
      <c r="AI108" s="131">
        <f>IFERROR(__xludf.DUMMYFUNCTION("iferror(COUNT(filter($O109:$O$397,$O109:$O$397&gt;$O108,$E108:$E$397=$E$2)))"),0.0)</f>
        <v>0</v>
      </c>
      <c r="AJ108" s="133">
        <f t="shared" si="9"/>
        <v>0</v>
      </c>
      <c r="AK108" s="134">
        <f>IFERROR(__xludf.DUMMYFUNCTION("iferror($O108-min(filter($O108:$O$397,$E108:$E$397=$E$2)))"),5.0)</f>
        <v>5</v>
      </c>
      <c r="AL108" s="128" t="str">
        <f>IFERROR(__xludf.DUMMYFUNCTION("iferror(join("","",index(sort(filter($F109:$F$397,$O109:$O$397&gt;$O108,$E109:$E$397=$E$2),2,false),0,1)))"),"Missouri")</f>
        <v>Missouri</v>
      </c>
      <c r="AM108" s="128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"""")"),"SEC,Sun Belt")</f>
        <v>SEC,Sun Belt</v>
      </c>
      <c r="AN108" s="132">
        <f>IFERROR(__xludf.DUMMYFUNCTION("iferror($O108-max(filter($O108:$O$397,arrayformula(isnumber(FIND($E108:$E$397,AM108))))))"),-3.0)</f>
        <v>-3</v>
      </c>
      <c r="AO108" s="131">
        <f t="array" ref="AO108">countifs($O$2:$O107,"&lt;"&amp;$O108,isnumber(FIND($E$2:$E107,AM108)),TRUE)</f>
        <v>10</v>
      </c>
      <c r="AP108" s="131">
        <f>IFERROR(__xludf.DUMMYFUNCTION("iferror(COUNT(filter($O109:$O$397,$O109:$O$397&gt;$O108,arrayformula(isnumber(FIND($E109:$E$397,AM108))))))"),1.0)</f>
        <v>1</v>
      </c>
      <c r="AQ108" s="133">
        <f t="shared" si="10"/>
        <v>0</v>
      </c>
      <c r="AR108" s="134">
        <f>IFERROR(__xludf.DUMMYFUNCTION("$O108-min(filter($O108:$O$397,arrayformula(isnumber(FIND($E108:$E$397,AM108)))))"),5.0)</f>
        <v>5</v>
      </c>
      <c r="AS108" s="128" t="str">
        <f>IFERROR(__xludf.DUMMYFUNCTION("iferror(join("","",index(sort(filter($F109:$F$397,$O109:$O$397&gt;$O108,arrayformula(isnumber(FIND($E109:$E$397,AM108)))),2,false),0,1)))"),"Missouri")</f>
        <v>Missouri</v>
      </c>
    </row>
    <row r="109">
      <c r="A109" s="23">
        <v>108.0</v>
      </c>
      <c r="B109" s="23">
        <v>9.0</v>
      </c>
      <c r="C109" s="23">
        <v>4.0</v>
      </c>
      <c r="D109" s="135" t="s">
        <v>60</v>
      </c>
      <c r="E109" s="136" t="str">
        <f>if(F109&lt;&gt;"",VLOOKUP(F109,offset('Teams-Conference'!A:B,0,(counta('Draft Order'!B$2:B134)-10)*2),2,0),"")</f>
        <v>Pac12</v>
      </c>
      <c r="F109" s="137" t="s">
        <v>174</v>
      </c>
      <c r="G109" s="138" t="str">
        <f t="shared" si="1"/>
        <v/>
      </c>
      <c r="H109" s="127">
        <f t="shared" si="2"/>
        <v>1</v>
      </c>
      <c r="I109" s="127">
        <f t="shared" si="3"/>
        <v>2</v>
      </c>
      <c r="J109" s="127">
        <f t="shared" si="11"/>
        <v>0</v>
      </c>
      <c r="K109" s="127">
        <f t="shared" si="25"/>
        <v>2</v>
      </c>
      <c r="L109" s="127">
        <v>3.0</v>
      </c>
      <c r="M109" s="127">
        <f>IFERROR(__xludf.DUMMYFUNCTION("counta(iferror(filter(L$2:L108,E$2:E108=E109,L$2:L108&lt;L109)))"),0.0)</f>
        <v>0</v>
      </c>
      <c r="N109" s="127">
        <f>IFERROR(__xludf.DUMMYFUNCTION("counta(iferror(filter(L110:L$131,E110:E$131=E109,L110:L$136&gt;L109)))"),0.0)</f>
        <v>0</v>
      </c>
      <c r="O109" s="129">
        <f t="array" ref="O109:Z109">XLOOKUP(F109,'Current Week'!C:C,'Current Week'!D:O)</f>
        <v>3</v>
      </c>
      <c r="P109" s="127">
        <v>9.0</v>
      </c>
      <c r="Q109" s="128"/>
      <c r="R109" s="128"/>
      <c r="S109" s="128"/>
      <c r="T109" s="128"/>
      <c r="U109" s="128"/>
      <c r="V109" s="131"/>
      <c r="W109" s="128"/>
      <c r="X109" s="131"/>
      <c r="Y109" s="131">
        <v>213.0</v>
      </c>
      <c r="Z109" s="131">
        <v>382.0</v>
      </c>
      <c r="AA109" s="132">
        <f t="shared" si="4"/>
        <v>-7</v>
      </c>
      <c r="AB109" s="131">
        <f t="shared" si="5"/>
        <v>2</v>
      </c>
      <c r="AC109" s="131">
        <f>IFERROR(__xludf.DUMMYFUNCTION("iferror(COUNT(filter($O110:$O$397,$O110:$O$397&gt;$O109)))"),16.0)</f>
        <v>16</v>
      </c>
      <c r="AD109" s="133">
        <f t="shared" si="6"/>
        <v>0</v>
      </c>
      <c r="AE109" s="134">
        <f t="shared" si="7"/>
        <v>1</v>
      </c>
      <c r="AF109" s="128" t="str">
        <f>IFERROR(__xludf.DUMMYFUNCTION("iferror(join("","",index(sort(filter($F110:$F$398,$O110:$O$398&gt;$O109),2,false),0,1)))"),"Rutgers,Tulsa,Florida Intl,Missouri,Boston College,South Florida,Northwestern,Colorado,Old Dominion,Rice,Mississippi State,Georgia Tech,Houston,Florida,Virginia Tech,West Virginia")</f>
        <v>Rutgers,Tulsa,Florida Intl,Missouri,Boston College,South Florida,Northwestern,Colorado,Old Dominion,Rice,Mississippi State,Georgia Tech,Houston,Florida,Virginia Tech,West Virginia</v>
      </c>
      <c r="AG109" s="132">
        <f>IFERROR(__xludf.DUMMYFUNCTION("iferror($O109-max(filter($O109:$O$397,$E109:$E$397=$E$2)))"),-7.0)</f>
        <v>-7</v>
      </c>
      <c r="AH109" s="131">
        <f t="shared" si="8"/>
        <v>0</v>
      </c>
      <c r="AI109" s="131">
        <f>IFERROR(__xludf.DUMMYFUNCTION("iferror(COUNT(filter($O110:$O$397,$O110:$O$397&gt;$O109,$E109:$E$397=$E$2)))"),0.0)</f>
        <v>0</v>
      </c>
      <c r="AJ109" s="133">
        <f t="shared" si="9"/>
        <v>0</v>
      </c>
      <c r="AK109" s="134">
        <f>IFERROR(__xludf.DUMMYFUNCTION("iferror($O109-min(filter($O109:$O$397,$E109:$E$397=$E$2)))"),1.0)</f>
        <v>1</v>
      </c>
      <c r="AL109" s="128" t="str">
        <f>IFERROR(__xludf.DUMMYFUNCTION("iferror(join("","",index(sort(filter($F110:$F$397,$O110:$O$397&gt;$O109,$E110:$E$397=$E$2),2,false),0,1)))"),"Missouri,Mississippi State,Florida")</f>
        <v>Missouri,Mississippi State,Florida</v>
      </c>
      <c r="AM109" s="128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"""")"),"CUSA,Pac12")</f>
        <v>CUSA,Pac12</v>
      </c>
      <c r="AN109" s="132">
        <f>IFERROR(__xludf.DUMMYFUNCTION("iferror($O109-max(filter($O109:$O$397,arrayformula(isnumber(FIND($E109:$E$397,AM109))))))"),-3.0)</f>
        <v>-3</v>
      </c>
      <c r="AO109" s="131">
        <f t="array" ref="AO109">countifs($O$2:$O108,"&lt;"&amp;$O109,isnumber(FIND($E$2:$E108,AM109)),TRUE)</f>
        <v>0</v>
      </c>
      <c r="AP109" s="131">
        <f>IFERROR(__xludf.DUMMYFUNCTION("iferror(COUNT(filter($O110:$O$397,$O110:$O$397&gt;$O109,arrayformula(isnumber(FIND($E110:$E$397,AM109))))))"),3.0)</f>
        <v>3</v>
      </c>
      <c r="AQ109" s="133">
        <f t="shared" si="10"/>
        <v>0</v>
      </c>
      <c r="AR109" s="134">
        <f>IFERROR(__xludf.DUMMYFUNCTION("$O109-min(filter($O109:$O$397,arrayformula(isnumber(FIND($E109:$E$397,AM109)))))"),0.0)</f>
        <v>0</v>
      </c>
      <c r="AS109" s="128" t="str">
        <f>IFERROR(__xludf.DUMMYFUNCTION("iferror(join("","",index(sort(filter($F110:$F$397,$O110:$O$397&gt;$O109,arrayformula(isnumber(FIND($E110:$E$397,AM109)))),2,false),0,1)))"),"Rutgers,Florida Intl,Colorado")</f>
        <v>Rutgers,Florida Intl,Colorado</v>
      </c>
    </row>
    <row r="110">
      <c r="A110" s="23">
        <v>109.0</v>
      </c>
      <c r="B110" s="23">
        <v>9.0</v>
      </c>
      <c r="C110" s="23">
        <v>5.0</v>
      </c>
      <c r="D110" s="135" t="s">
        <v>46</v>
      </c>
      <c r="E110" s="136" t="str">
        <f>if(F110&lt;&gt;"",VLOOKUP(F110,offset('Teams-Conference'!A:B,0,(counta('Draft Order'!B$2:B134)-10)*2),2,0),"")</f>
        <v>CUSA</v>
      </c>
      <c r="F110" s="140" t="s">
        <v>185</v>
      </c>
      <c r="G110" s="138" t="str">
        <f t="shared" si="1"/>
        <v/>
      </c>
      <c r="H110" s="127">
        <f t="shared" si="2"/>
        <v>1</v>
      </c>
      <c r="I110" s="127">
        <f t="shared" ref="I110:I130" si="26">countif(E111:E135,E110)</f>
        <v>2</v>
      </c>
      <c r="J110" s="127">
        <f t="shared" si="11"/>
        <v>1</v>
      </c>
      <c r="K110" s="127">
        <f t="shared" si="25"/>
        <v>0</v>
      </c>
      <c r="L110" s="127">
        <v>6.0</v>
      </c>
      <c r="M110" s="127">
        <f>IFERROR(__xludf.DUMMYFUNCTION("counta(iferror(filter(L$2:L109,E$2:E109=E110,L$2:L109&lt;L110)))"),5.0)</f>
        <v>5</v>
      </c>
      <c r="N110" s="127">
        <f>IFERROR(__xludf.DUMMYFUNCTION("counta(iferror(filter(L111:L$131,E111:E$131=E110,L111:L$136&gt;L110)))"),0.0)</f>
        <v>0</v>
      </c>
      <c r="O110" s="129">
        <f t="array" ref="O110:Z110">XLOOKUP(F110,'Current Week'!C:C,'Current Week'!D:O)</f>
        <v>6</v>
      </c>
      <c r="P110" s="127">
        <v>6.0</v>
      </c>
      <c r="Q110" s="128"/>
      <c r="R110" s="128"/>
      <c r="S110" s="128"/>
      <c r="T110" s="128"/>
      <c r="U110" s="128"/>
      <c r="V110" s="131"/>
      <c r="W110" s="128"/>
      <c r="X110" s="131"/>
      <c r="Y110" s="131">
        <v>271.0</v>
      </c>
      <c r="Z110" s="131">
        <v>252.0</v>
      </c>
      <c r="AA110" s="132">
        <f t="shared" si="4"/>
        <v>-4</v>
      </c>
      <c r="AB110" s="131">
        <f t="shared" si="5"/>
        <v>36</v>
      </c>
      <c r="AC110" s="131">
        <f>IFERROR(__xludf.DUMMYFUNCTION("iferror(COUNT(filter($O111:$O$397,$O111:$O$397&gt;$O110)))"),3.0)</f>
        <v>3</v>
      </c>
      <c r="AD110" s="133">
        <f t="shared" si="6"/>
        <v>0</v>
      </c>
      <c r="AE110" s="134">
        <f t="shared" si="7"/>
        <v>4</v>
      </c>
      <c r="AF110" s="128" t="str">
        <f>IFERROR(__xludf.DUMMYFUNCTION("iferror(join("","",index(sort(filter($F111:$F$398,$O111:$O$398&gt;$O110),2,false),0,1)))"),"Missouri,Northwestern,West Virginia")</f>
        <v>Missouri,Northwestern,West Virginia</v>
      </c>
      <c r="AG110" s="132">
        <f>IFERROR(__xludf.DUMMYFUNCTION("iferror($O110-max(filter($O110:$O$397,$E110:$E$397=$E$2)))"),-4.0)</f>
        <v>-4</v>
      </c>
      <c r="AH110" s="131">
        <f t="shared" si="8"/>
        <v>2</v>
      </c>
      <c r="AI110" s="131">
        <f>IFERROR(__xludf.DUMMYFUNCTION("iferror(COUNT(filter($O111:$O$397,$O111:$O$397&gt;$O110,$E110:$E$397=$E$2)))"),0.0)</f>
        <v>0</v>
      </c>
      <c r="AJ110" s="133">
        <f t="shared" si="9"/>
        <v>0</v>
      </c>
      <c r="AK110" s="134">
        <f>IFERROR(__xludf.DUMMYFUNCTION("iferror($O110-min(filter($O110:$O$397,$E110:$E$397=$E$2)))"),4.0)</f>
        <v>4</v>
      </c>
      <c r="AL110" s="128" t="str">
        <f>IFERROR(__xludf.DUMMYFUNCTION("iferror(join("","",index(sort(filter($F111:$F$397,$O111:$O$397&gt;$O110,$E111:$E$397=$E$2),2,false),0,1)))"),"Missouri")</f>
        <v>Missouri</v>
      </c>
      <c r="AM110" s="128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"""")"),"CUSA,MAC")</f>
        <v>CUSA,MAC</v>
      </c>
      <c r="AN110" s="132">
        <f>IFERROR(__xludf.DUMMYFUNCTION("iferror($O110-max(filter($O110:$O$397,arrayformula(isnumber(FIND($E110:$E$397,AM110))))))"),0.0)</f>
        <v>0</v>
      </c>
      <c r="AO110" s="131">
        <f t="array" ref="AO110">countifs($O$2:$O109,"&lt;"&amp;$O110,isnumber(FIND($E$2:$E109,AM110)),TRUE)</f>
        <v>9</v>
      </c>
      <c r="AP110" s="131">
        <f>IFERROR(__xludf.DUMMYFUNCTION("iferror(COUNT(filter($O111:$O$397,$O111:$O$397&gt;$O110,arrayformula(isnumber(FIND($E111:$E$397,AM110))))))"),0.0)</f>
        <v>0</v>
      </c>
      <c r="AQ110" s="133">
        <f t="shared" si="10"/>
        <v>1</v>
      </c>
      <c r="AR110" s="134">
        <f>IFERROR(__xludf.DUMMYFUNCTION("$O110-min(filter($O110:$O$397,arrayformula(isnumber(FIND($E110:$E$397,AM110)))))"),5.0)</f>
        <v>5</v>
      </c>
      <c r="AS110" s="128" t="str">
        <f>IFERROR(__xludf.DUMMYFUNCTION("iferror(join("","",index(sort(filter($F111:$F$397,$O111:$O$397&gt;$O110,arrayformula(isnumber(FIND($E111:$E$397,AM110)))),2,false),0,1)))"),"")</f>
        <v/>
      </c>
    </row>
    <row r="111">
      <c r="A111" s="23">
        <v>110.0</v>
      </c>
      <c r="B111" s="23">
        <v>9.0</v>
      </c>
      <c r="C111" s="23">
        <v>6.0</v>
      </c>
      <c r="D111" s="135" t="s">
        <v>70</v>
      </c>
      <c r="E111" s="136" t="str">
        <f>if(F111&lt;&gt;"",VLOOKUP(F111,offset('Teams-Conference'!A:B,0,(counta('Draft Order'!B$2:B134)-10)*2),2,0),"")</f>
        <v>Big Ten</v>
      </c>
      <c r="F111" s="137" t="s">
        <v>195</v>
      </c>
      <c r="G111" s="138" t="str">
        <f t="shared" si="1"/>
        <v/>
      </c>
      <c r="H111" s="127">
        <f t="shared" si="2"/>
        <v>1</v>
      </c>
      <c r="I111" s="127">
        <f t="shared" si="26"/>
        <v>1</v>
      </c>
      <c r="J111" s="127">
        <f t="shared" si="11"/>
        <v>0</v>
      </c>
      <c r="K111" s="127">
        <f t="shared" si="25"/>
        <v>1</v>
      </c>
      <c r="L111" s="127">
        <v>3.0</v>
      </c>
      <c r="M111" s="127">
        <f>IFERROR(__xludf.DUMMYFUNCTION("counta(iferror(filter(L$2:L110,E$2:E110=E111,L$2:L110&lt;L111)))"),0.0)</f>
        <v>0</v>
      </c>
      <c r="N111" s="127">
        <f>IFERROR(__xludf.DUMMYFUNCTION("counta(iferror(filter(L112:L$131,E112:E$131=E111,L112:L$136&gt;L111)))"),0.0)</f>
        <v>0</v>
      </c>
      <c r="O111" s="129">
        <f t="array" ref="O111:Z111">XLOOKUP(F111,'Current Week'!C:C,'Current Week'!D:O)</f>
        <v>3</v>
      </c>
      <c r="P111" s="127">
        <v>9.0</v>
      </c>
      <c r="Q111" s="128"/>
      <c r="R111" s="128"/>
      <c r="S111" s="128"/>
      <c r="T111" s="128"/>
      <c r="U111" s="128"/>
      <c r="V111" s="131"/>
      <c r="W111" s="128"/>
      <c r="X111" s="131"/>
      <c r="Y111" s="131">
        <v>266.0</v>
      </c>
      <c r="Z111" s="131">
        <v>359.0</v>
      </c>
      <c r="AA111" s="132">
        <f t="shared" si="4"/>
        <v>-7</v>
      </c>
      <c r="AB111" s="131">
        <f t="shared" si="5"/>
        <v>2</v>
      </c>
      <c r="AC111" s="131">
        <f>IFERROR(__xludf.DUMMYFUNCTION("iferror(COUNT(filter($O112:$O$397,$O112:$O$397&gt;$O111)))"),15.0)</f>
        <v>15</v>
      </c>
      <c r="AD111" s="133">
        <f t="shared" si="6"/>
        <v>0</v>
      </c>
      <c r="AE111" s="134">
        <f t="shared" si="7"/>
        <v>1</v>
      </c>
      <c r="AF111" s="128" t="str">
        <f>IFERROR(__xludf.DUMMYFUNCTION("iferror(join("","",index(sort(filter($F112:$F$398,$O112:$O$398&gt;$O111),2,false),0,1)))"),"Tulsa,Florida Intl,Missouri,Boston College,South Florida,Northwestern,Colorado,Old Dominion,Rice,Mississippi State,Georgia Tech,Houston,Florida,Virginia Tech,West Virginia")</f>
        <v>Tulsa,Florida Intl,Missouri,Boston College,South Florida,Northwestern,Colorado,Old Dominion,Rice,Mississippi State,Georgia Tech,Houston,Florida,Virginia Tech,West Virginia</v>
      </c>
      <c r="AG111" s="132">
        <f>IFERROR(__xludf.DUMMYFUNCTION("iferror($O111-max(filter($O111:$O$397,$E111:$E$397=$E$2)))"),-7.0)</f>
        <v>-7</v>
      </c>
      <c r="AH111" s="131">
        <f t="shared" si="8"/>
        <v>0</v>
      </c>
      <c r="AI111" s="131">
        <f>IFERROR(__xludf.DUMMYFUNCTION("iferror(COUNT(filter($O112:$O$397,$O112:$O$397&gt;$O111,$E111:$E$397=$E$2)))"),0.0)</f>
        <v>0</v>
      </c>
      <c r="AJ111" s="133">
        <f t="shared" si="9"/>
        <v>0</v>
      </c>
      <c r="AK111" s="134">
        <f>IFERROR(__xludf.DUMMYFUNCTION("iferror($O111-min(filter($O111:$O$397,$E111:$E$397=$E$2)))"),1.0)</f>
        <v>1</v>
      </c>
      <c r="AL111" s="128" t="str">
        <f>IFERROR(__xludf.DUMMYFUNCTION("iferror(join("","",index(sort(filter($F112:$F$397,$O112:$O$397&gt;$O111,$E112:$E$397=$E$2),2,false),0,1)))"),"Missouri,Mississippi State,Florida")</f>
        <v>Missouri,Mississippi State,Florida</v>
      </c>
      <c r="AM111" s="128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"""")"),"Big Ten,Pac12")</f>
        <v>Big Ten,Pac12</v>
      </c>
      <c r="AN111" s="132">
        <f>IFERROR(__xludf.DUMMYFUNCTION("iferror($O111-max(filter($O111:$O$397,arrayformula(isnumber(FIND($E111:$E$397,AM111))))))"),-4.0)</f>
        <v>-4</v>
      </c>
      <c r="AO111" s="131">
        <f t="array" ref="AO111">countifs($O$2:$O110,"&lt;"&amp;$O111,isnumber(FIND($E$2:$E110,AM111)),TRUE)</f>
        <v>0</v>
      </c>
      <c r="AP111" s="131">
        <f>IFERROR(__xludf.DUMMYFUNCTION("iferror(COUNT(filter($O112:$O$397,$O112:$O$397&gt;$O111,arrayformula(isnumber(FIND($E112:$E$397,AM111))))))"),2.0)</f>
        <v>2</v>
      </c>
      <c r="AQ111" s="133">
        <f t="shared" si="10"/>
        <v>0</v>
      </c>
      <c r="AR111" s="134">
        <f>IFERROR(__xludf.DUMMYFUNCTION("$O111-min(filter($O111:$O$397,arrayformula(isnumber(FIND($E111:$E$397,AM111)))))"),0.0)</f>
        <v>0</v>
      </c>
      <c r="AS111" s="128" t="str">
        <f>IFERROR(__xludf.DUMMYFUNCTION("iferror(join("","",index(sort(filter($F112:$F$397,$O112:$O$397&gt;$O111,arrayformula(isnumber(FIND($E112:$E$397,AM111)))),2,false),0,1)))"),"Northwestern,Colorado")</f>
        <v>Northwestern,Colorado</v>
      </c>
    </row>
    <row r="112">
      <c r="A112" s="23">
        <v>111.0</v>
      </c>
      <c r="B112" s="23">
        <v>9.0</v>
      </c>
      <c r="C112" s="23">
        <v>7.0</v>
      </c>
      <c r="D112" s="135" t="s">
        <v>57</v>
      </c>
      <c r="E112" s="136" t="str">
        <f>if(F112&lt;&gt;"",VLOOKUP(F112,offset('Teams-Conference'!A:B,0,(counta('Draft Order'!B$2:B134)-10)*2),2,0),"")</f>
        <v>AAC</v>
      </c>
      <c r="F112" s="140" t="s">
        <v>207</v>
      </c>
      <c r="G112" s="138" t="str">
        <f t="shared" si="1"/>
        <v/>
      </c>
      <c r="H112" s="127">
        <f t="shared" si="2"/>
        <v>2</v>
      </c>
      <c r="I112" s="127">
        <f t="shared" si="26"/>
        <v>2</v>
      </c>
      <c r="J112" s="127">
        <f t="shared" si="11"/>
        <v>0</v>
      </c>
      <c r="K112" s="127">
        <f t="shared" ref="K112:K116" si="27">countif(E93:E112,E113)</f>
        <v>3</v>
      </c>
      <c r="L112" s="127">
        <v>4.0</v>
      </c>
      <c r="M112" s="127">
        <f>IFERROR(__xludf.DUMMYFUNCTION("counta(iferror(filter(L$2:L111,E$2:E111=E112,L$2:L111&lt;L112)))"),2.0)</f>
        <v>2</v>
      </c>
      <c r="N112" s="127">
        <f>IFERROR(__xludf.DUMMYFUNCTION("counta(iferror(filter(L113:L$131,E113:E$131=E112,L113:L$136&gt;L112)))"),0.0)</f>
        <v>0</v>
      </c>
      <c r="O112" s="129">
        <f t="array" ref="O112:Z112">XLOOKUP(F112,'Current Week'!C:C,'Current Week'!D:O)</f>
        <v>4</v>
      </c>
      <c r="P112" s="127">
        <v>8.0</v>
      </c>
      <c r="Q112" s="128"/>
      <c r="R112" s="128"/>
      <c r="S112" s="128"/>
      <c r="T112" s="128"/>
      <c r="U112" s="128"/>
      <c r="V112" s="131"/>
      <c r="W112" s="128"/>
      <c r="X112" s="131"/>
      <c r="Y112" s="131">
        <v>281.0</v>
      </c>
      <c r="Z112" s="131">
        <v>406.0</v>
      </c>
      <c r="AA112" s="132">
        <f t="shared" si="4"/>
        <v>-6</v>
      </c>
      <c r="AB112" s="131">
        <f t="shared" si="5"/>
        <v>14</v>
      </c>
      <c r="AC112" s="131">
        <f>IFERROR(__xludf.DUMMYFUNCTION("iferror(COUNT(filter($O113:$O$397,$O113:$O$397&gt;$O112)))"),11.0)</f>
        <v>11</v>
      </c>
      <c r="AD112" s="133">
        <f t="shared" si="6"/>
        <v>0</v>
      </c>
      <c r="AE112" s="134">
        <f t="shared" si="7"/>
        <v>2</v>
      </c>
      <c r="AF112" s="128" t="str">
        <f>IFERROR(__xludf.DUMMYFUNCTION("iferror(join("","",index(sort(filter($F113:$F$398,$O113:$O$398&gt;$O112),2,false),0,1)))"),"Missouri,Boston College,South Florida,Northwestern,Old Dominion,Rice,Mississippi State,Georgia Tech,Florida,Virginia Tech,West Virginia")</f>
        <v>Missouri,Boston College,South Florida,Northwestern,Old Dominion,Rice,Mississippi State,Georgia Tech,Florida,Virginia Tech,West Virginia</v>
      </c>
      <c r="AG112" s="132">
        <f>IFERROR(__xludf.DUMMYFUNCTION("iferror($O112-max(filter($O112:$O$397,$E112:$E$397=$E$2)))"),-6.0)</f>
        <v>-6</v>
      </c>
      <c r="AH112" s="131">
        <f t="shared" si="8"/>
        <v>0</v>
      </c>
      <c r="AI112" s="131">
        <f>IFERROR(__xludf.DUMMYFUNCTION("iferror(COUNT(filter($O113:$O$397,$O113:$O$397&gt;$O112,$E112:$E$397=$E$2)))"),0.0)</f>
        <v>0</v>
      </c>
      <c r="AJ112" s="133">
        <f t="shared" si="9"/>
        <v>0</v>
      </c>
      <c r="AK112" s="134">
        <f>IFERROR(__xludf.DUMMYFUNCTION("iferror($O112-min(filter($O112:$O$397,$E112:$E$397=$E$2)))"),2.0)</f>
        <v>2</v>
      </c>
      <c r="AL112" s="128" t="str">
        <f>IFERROR(__xludf.DUMMYFUNCTION("iferror(join("","",index(sort(filter($F113:$F$397,$O113:$O$397&gt;$O112,$E113:$E$397=$E$2),2,false),0,1)))"),"Missouri,Mississippi State,Florida")</f>
        <v>Missouri,Mississippi State,Florida</v>
      </c>
      <c r="AM112" s="128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"""")"),"AAC,,Big 12")</f>
        <v>AAC,,Big 12</v>
      </c>
      <c r="AN112" s="132">
        <f>IFERROR(__xludf.DUMMYFUNCTION("iferror($O112-max(filter($O112:$O$397,arrayformula(isnumber(FIND($E112:$E$397,AM112))))))"),-5.0)</f>
        <v>-5</v>
      </c>
      <c r="AO112" s="131">
        <f t="array" ref="AO112">countifs($O$2:$O111,"&lt;"&amp;$O112,isnumber(FIND($E$2:$E111,AM112)),TRUE)</f>
        <v>4</v>
      </c>
      <c r="AP112" s="131">
        <f>IFERROR(__xludf.DUMMYFUNCTION("iferror(COUNT(filter($O113:$O$397,$O113:$O$397&gt;$O112,arrayformula(isnumber(FIND($E113:$E$397,AM112))))))"),3.0)</f>
        <v>3</v>
      </c>
      <c r="AQ112" s="133">
        <f t="shared" si="10"/>
        <v>0</v>
      </c>
      <c r="AR112" s="134">
        <f>IFERROR(__xludf.DUMMYFUNCTION("$O112-min(filter($O112:$O$397,arrayformula(isnumber(FIND($E112:$E$397,AM112)))))"),0.0)</f>
        <v>0</v>
      </c>
      <c r="AS112" s="128" t="str">
        <f>IFERROR(__xludf.DUMMYFUNCTION("iferror(join("","",index(sort(filter($F113:$F$397,$O113:$O$397&gt;$O112,arrayformula(isnumber(FIND($E113:$E$397,AM112)))),2,false),0,1)))"),"South Florida,Rice,West Virginia")</f>
        <v>South Florida,Rice,West Virginia</v>
      </c>
    </row>
    <row r="113">
      <c r="A113" s="23">
        <v>112.0</v>
      </c>
      <c r="B113" s="23">
        <v>9.0</v>
      </c>
      <c r="C113" s="23">
        <v>8.0</v>
      </c>
      <c r="D113" s="135" t="s">
        <v>67</v>
      </c>
      <c r="E113" s="136" t="str">
        <f>if(F113&lt;&gt;"",VLOOKUP(F113,offset('Teams-Conference'!A:B,0,(counta('Draft Order'!B$2:B134)-10)*2),2,0),"")</f>
        <v>CUSA</v>
      </c>
      <c r="F113" s="140" t="s">
        <v>220</v>
      </c>
      <c r="G113" s="138" t="str">
        <f t="shared" si="1"/>
        <v/>
      </c>
      <c r="H113" s="127">
        <f t="shared" si="2"/>
        <v>0</v>
      </c>
      <c r="I113" s="127">
        <f t="shared" si="26"/>
        <v>1</v>
      </c>
      <c r="J113" s="127">
        <f t="shared" si="11"/>
        <v>2</v>
      </c>
      <c r="K113" s="127">
        <f t="shared" si="27"/>
        <v>4</v>
      </c>
      <c r="L113" s="127">
        <v>4.0</v>
      </c>
      <c r="M113" s="127">
        <f>IFERROR(__xludf.DUMMYFUNCTION("counta(iferror(filter(L$2:L112,E$2:E112=E113,L$2:L112&lt;L113)))"),4.0)</f>
        <v>4</v>
      </c>
      <c r="N113" s="127">
        <f>IFERROR(__xludf.DUMMYFUNCTION("counta(iferror(filter(L114:L$131,E114:E$131=E113,L114:L$136&gt;L113)))"),0.0)</f>
        <v>0</v>
      </c>
      <c r="O113" s="129">
        <f t="array" ref="O113:Z113">XLOOKUP(F113,'Current Week'!C:C,'Current Week'!D:O)</f>
        <v>4</v>
      </c>
      <c r="P113" s="127">
        <v>8.0</v>
      </c>
      <c r="Q113" s="128"/>
      <c r="R113" s="128"/>
      <c r="S113" s="128"/>
      <c r="T113" s="128"/>
      <c r="U113" s="128"/>
      <c r="V113" s="131"/>
      <c r="W113" s="128"/>
      <c r="X113" s="131"/>
      <c r="Y113" s="131">
        <v>241.0</v>
      </c>
      <c r="Z113" s="131">
        <v>382.0</v>
      </c>
      <c r="AA113" s="132">
        <f t="shared" si="4"/>
        <v>-6</v>
      </c>
      <c r="AB113" s="131">
        <f t="shared" si="5"/>
        <v>14</v>
      </c>
      <c r="AC113" s="131">
        <f>IFERROR(__xludf.DUMMYFUNCTION("iferror(COUNT(filter($O114:$O$397,$O114:$O$397&gt;$O113)))"),11.0)</f>
        <v>11</v>
      </c>
      <c r="AD113" s="133">
        <f t="shared" si="6"/>
        <v>0</v>
      </c>
      <c r="AE113" s="134">
        <f t="shared" si="7"/>
        <v>2</v>
      </c>
      <c r="AF113" s="128" t="str">
        <f>IFERROR(__xludf.DUMMYFUNCTION("iferror(join("","",index(sort(filter($F114:$F$398,$O114:$O$398&gt;$O113),2,false),0,1)))"),"Missouri,Boston College,South Florida,Northwestern,Old Dominion,Rice,Mississippi State,Georgia Tech,Florida,Virginia Tech,West Virginia")</f>
        <v>Missouri,Boston College,South Florida,Northwestern,Old Dominion,Rice,Mississippi State,Georgia Tech,Florida,Virginia Tech,West Virginia</v>
      </c>
      <c r="AG113" s="132">
        <f>IFERROR(__xludf.DUMMYFUNCTION("iferror($O113-max(filter($O113:$O$397,$E113:$E$397=$E$2)))"),-6.0)</f>
        <v>-6</v>
      </c>
      <c r="AH113" s="131">
        <f t="shared" si="8"/>
        <v>0</v>
      </c>
      <c r="AI113" s="131">
        <f>IFERROR(__xludf.DUMMYFUNCTION("iferror(COUNT(filter($O114:$O$397,$O114:$O$397&gt;$O113,$E113:$E$397=$E$2)))"),0.0)</f>
        <v>0</v>
      </c>
      <c r="AJ113" s="133">
        <f t="shared" si="9"/>
        <v>0</v>
      </c>
      <c r="AK113" s="134">
        <f>IFERROR(__xludf.DUMMYFUNCTION("iferror($O113-min(filter($O113:$O$397,$E113:$E$397=$E$2)))"),2.0)</f>
        <v>2</v>
      </c>
      <c r="AL113" s="128" t="str">
        <f>IFERROR(__xludf.DUMMYFUNCTION("iferror(join("","",index(sort(filter($F114:$F$397,$O114:$O$397&gt;$O113,$E114:$E$397=$E$2),2,false),0,1)))"),"Missouri,Mississippi State,Florida")</f>
        <v>Missouri,Mississippi State,Florida</v>
      </c>
      <c r="AM113" s="128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"""")"),"CUSA,MWC")</f>
        <v>CUSA,MWC</v>
      </c>
      <c r="AN113" s="132">
        <f>IFERROR(__xludf.DUMMYFUNCTION("iferror($O113-max(filter($O113:$O$397,arrayformula(isnumber(FIND($E113:$E$397,AM113))))))"),0.0)</f>
        <v>0</v>
      </c>
      <c r="AO113" s="131">
        <f t="array" ref="AO113">countifs($O$2:$O112,"&lt;"&amp;$O113,isnumber(FIND($E$2:$E112,AM113)),TRUE)</f>
        <v>5</v>
      </c>
      <c r="AP113" s="131">
        <f>IFERROR(__xludf.DUMMYFUNCTION("iferror(COUNT(filter($O114:$O$397,$O114:$O$397&gt;$O113,arrayformula(isnumber(FIND($E114:$E$397,AM113))))))"),0.0)</f>
        <v>0</v>
      </c>
      <c r="AQ113" s="133">
        <f t="shared" si="10"/>
        <v>1</v>
      </c>
      <c r="AR113" s="134">
        <f>IFERROR(__xludf.DUMMYFUNCTION("$O113-min(filter($O113:$O$397,arrayformula(isnumber(FIND($E113:$E$397,AM113)))))"),2.0)</f>
        <v>2</v>
      </c>
      <c r="AS113" s="128" t="str">
        <f>IFERROR(__xludf.DUMMYFUNCTION("iferror(join("","",index(sort(filter($F114:$F$397,$O114:$O$397&gt;$O113,arrayformula(isnumber(FIND($E114:$E$397,AM113)))),2,false),0,1)))"),"")</f>
        <v/>
      </c>
    </row>
    <row r="114">
      <c r="A114" s="23">
        <v>113.0</v>
      </c>
      <c r="B114" s="23">
        <v>9.0</v>
      </c>
      <c r="C114" s="23">
        <v>9.0</v>
      </c>
      <c r="D114" s="135" t="s">
        <v>59</v>
      </c>
      <c r="E114" s="136" t="str">
        <f>if(F114&lt;&gt;"",VLOOKUP(F114,offset('Teams-Conference'!A:B,0,(counta('Draft Order'!B$2:B134)-10)*2),2,0),"")</f>
        <v>SEC</v>
      </c>
      <c r="F114" s="140" t="s">
        <v>237</v>
      </c>
      <c r="G114" s="138" t="str">
        <f t="shared" si="1"/>
        <v/>
      </c>
      <c r="H114" s="127">
        <f t="shared" si="2"/>
        <v>1</v>
      </c>
      <c r="I114" s="127">
        <f t="shared" si="26"/>
        <v>3</v>
      </c>
      <c r="J114" s="127">
        <f t="shared" si="11"/>
        <v>1</v>
      </c>
      <c r="K114" s="127">
        <f t="shared" si="27"/>
        <v>0</v>
      </c>
      <c r="L114" s="127">
        <v>10.0</v>
      </c>
      <c r="M114" s="127">
        <f>IFERROR(__xludf.DUMMYFUNCTION("counta(iferror(filter(L$2:L113,E$2:E113=E114,L$2:L113&lt;L114)))"),7.0)</f>
        <v>7</v>
      </c>
      <c r="N114" s="127">
        <f>IFERROR(__xludf.DUMMYFUNCTION("counta(iferror(filter(L115:L$131,E115:E$131=E114,L115:L$136&gt;L114)))"),0.0)</f>
        <v>0</v>
      </c>
      <c r="O114" s="129">
        <f t="array" ref="O114:Z114">XLOOKUP(F114,'Current Week'!C:C,'Current Week'!D:O)</f>
        <v>10</v>
      </c>
      <c r="P114" s="127">
        <v>2.0</v>
      </c>
      <c r="Q114" s="128"/>
      <c r="R114" s="128"/>
      <c r="S114" s="128"/>
      <c r="T114" s="128"/>
      <c r="U114" s="128"/>
      <c r="V114" s="131"/>
      <c r="W114" s="128"/>
      <c r="X114" s="131"/>
      <c r="Y114" s="131">
        <v>409.0</v>
      </c>
      <c r="Z114" s="131">
        <v>268.0</v>
      </c>
      <c r="AA114" s="132">
        <f t="shared" si="4"/>
        <v>0</v>
      </c>
      <c r="AB114" s="131">
        <f t="shared" si="5"/>
        <v>91</v>
      </c>
      <c r="AC114" s="131">
        <f>IFERROR(__xludf.DUMMYFUNCTION("iferror(COUNT(filter($O115:$O$397,$O115:$O$397&gt;$O114)))"),0.0)</f>
        <v>0</v>
      </c>
      <c r="AD114" s="133">
        <f t="shared" si="6"/>
        <v>1</v>
      </c>
      <c r="AE114" s="134">
        <f t="shared" si="7"/>
        <v>8</v>
      </c>
      <c r="AF114" s="128" t="str">
        <f>IFERROR(__xludf.DUMMYFUNCTION("iferror(join("","",index(sort(filter($F115:$F$398,$O115:$O$398&gt;$O114),2,false),0,1)))"),"")</f>
        <v/>
      </c>
      <c r="AG114" s="132">
        <f>IFERROR(__xludf.DUMMYFUNCTION("iferror($O114-max(filter($O114:$O$397,$E114:$E$397=$E$2)))"),0.0)</f>
        <v>0</v>
      </c>
      <c r="AH114" s="131">
        <f t="shared" si="8"/>
        <v>7</v>
      </c>
      <c r="AI114" s="131">
        <f>IFERROR(__xludf.DUMMYFUNCTION("iferror(COUNT(filter($O115:$O$397,$O115:$O$397&gt;$O114,$E114:$E$397=$E$2)))"),0.0)</f>
        <v>0</v>
      </c>
      <c r="AJ114" s="133">
        <f t="shared" si="9"/>
        <v>1</v>
      </c>
      <c r="AK114" s="134">
        <f>IFERROR(__xludf.DUMMYFUNCTION("iferror($O114-min(filter($O114:$O$397,$E114:$E$397=$E$2)))"),8.0)</f>
        <v>8</v>
      </c>
      <c r="AL114" s="128" t="str">
        <f>IFERROR(__xludf.DUMMYFUNCTION("iferror(join("","",index(sort(filter($F115:$F$397,$O115:$O$397&gt;$O114,$E115:$E$397=$E$2),2,false),0,1)))"),"")</f>
        <v/>
      </c>
      <c r="AM114" s="128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"""")"),"ACC,SEC")</f>
        <v>ACC,SEC</v>
      </c>
      <c r="AN114" s="132">
        <f>IFERROR(__xludf.DUMMYFUNCTION("iferror($O114-max(filter($O114:$O$397,arrayformula(isnumber(FIND($E114:$E$397,AM114))))))"),0.0)</f>
        <v>0</v>
      </c>
      <c r="AO114" s="131">
        <f t="array" ref="AO114">countifs($O$2:$O113,"&lt;"&amp;$O114,isnumber(FIND($E$2:$E113,AM114)),TRUE)</f>
        <v>15</v>
      </c>
      <c r="AP114" s="131">
        <f>IFERROR(__xludf.DUMMYFUNCTION("iferror(COUNT(filter($O115:$O$397,$O115:$O$397&gt;$O114,arrayformula(isnumber(FIND($E115:$E$397,AM114))))))"),0.0)</f>
        <v>0</v>
      </c>
      <c r="AQ114" s="133">
        <f t="shared" si="10"/>
        <v>1</v>
      </c>
      <c r="AR114" s="134">
        <f>IFERROR(__xludf.DUMMYFUNCTION("$O114-min(filter($O114:$O$397,arrayformula(isnumber(FIND($E114:$E$397,AM114)))))"),8.0)</f>
        <v>8</v>
      </c>
      <c r="AS114" s="128" t="str">
        <f>IFERROR(__xludf.DUMMYFUNCTION("iferror(join("","",index(sort(filter($F115:$F$397,$O115:$O$397&gt;$O114,arrayformula(isnumber(FIND($E115:$E$397,AM114)))),2,false),0,1)))"),"")</f>
        <v/>
      </c>
    </row>
    <row r="115">
      <c r="A115" s="23">
        <v>114.0</v>
      </c>
      <c r="B115" s="23">
        <v>9.0</v>
      </c>
      <c r="C115" s="23">
        <v>10.0</v>
      </c>
      <c r="D115" s="135" t="s">
        <v>62</v>
      </c>
      <c r="E115" s="136" t="str">
        <f>if(F115&lt;&gt;"",VLOOKUP(F115,offset('Teams-Conference'!A:B,0,(counta('Draft Order'!B$2:B134)-10)*2),2,0),"")</f>
        <v>ACC</v>
      </c>
      <c r="F115" s="140" t="s">
        <v>248</v>
      </c>
      <c r="G115" s="138" t="str">
        <f t="shared" si="1"/>
        <v/>
      </c>
      <c r="H115" s="127">
        <f t="shared" si="2"/>
        <v>1</v>
      </c>
      <c r="I115" s="127">
        <f t="shared" si="26"/>
        <v>3</v>
      </c>
      <c r="J115" s="127">
        <f t="shared" si="11"/>
        <v>0</v>
      </c>
      <c r="K115" s="127">
        <f t="shared" si="27"/>
        <v>1</v>
      </c>
      <c r="L115" s="127">
        <v>6.0</v>
      </c>
      <c r="M115" s="127">
        <f>IFERROR(__xludf.DUMMYFUNCTION("counta(iferror(filter(L$2:L114,E$2:E114=E115,L$2:L114&lt;L115)))"),2.0)</f>
        <v>2</v>
      </c>
      <c r="N115" s="127">
        <f>IFERROR(__xludf.DUMMYFUNCTION("counta(iferror(filter(L116:L$131,E116:E$131=E115,L116:L$136&gt;L115)))"),0.0)</f>
        <v>0</v>
      </c>
      <c r="O115" s="129">
        <f t="array" ref="O115:Z115">XLOOKUP(F115,'Current Week'!C:C,'Current Week'!D:O)</f>
        <v>6</v>
      </c>
      <c r="P115" s="127">
        <v>6.0</v>
      </c>
      <c r="Q115" s="128"/>
      <c r="R115" s="128"/>
      <c r="S115" s="128"/>
      <c r="T115" s="128"/>
      <c r="U115" s="128"/>
      <c r="V115" s="131"/>
      <c r="W115" s="128"/>
      <c r="X115" s="131"/>
      <c r="Y115" s="131">
        <v>300.0</v>
      </c>
      <c r="Z115" s="131">
        <v>354.0</v>
      </c>
      <c r="AA115" s="132">
        <f t="shared" si="4"/>
        <v>-3</v>
      </c>
      <c r="AB115" s="131">
        <f t="shared" si="5"/>
        <v>39</v>
      </c>
      <c r="AC115" s="131">
        <f>IFERROR(__xludf.DUMMYFUNCTION("iferror(COUNT(filter($O116:$O$397,$O116:$O$397&gt;$O115)))"),2.0)</f>
        <v>2</v>
      </c>
      <c r="AD115" s="133">
        <f t="shared" si="6"/>
        <v>0</v>
      </c>
      <c r="AE115" s="134">
        <f t="shared" si="7"/>
        <v>4</v>
      </c>
      <c r="AF115" s="128" t="str">
        <f>IFERROR(__xludf.DUMMYFUNCTION("iferror(join("","",index(sort(filter($F116:$F$398,$O116:$O$398&gt;$O115),2,false),0,1)))"),"Northwestern,West Virginia")</f>
        <v>Northwestern,West Virginia</v>
      </c>
      <c r="AG115" s="132">
        <f>IFERROR(__xludf.DUMMYFUNCTION("iferror($O115-max(filter($O115:$O$397,$E115:$E$397=$E$2)))"),1.0)</f>
        <v>1</v>
      </c>
      <c r="AH115" s="131">
        <f t="shared" si="8"/>
        <v>2</v>
      </c>
      <c r="AI115" s="131">
        <f>IFERROR(__xludf.DUMMYFUNCTION("iferror(COUNT(filter($O116:$O$397,$O116:$O$397&gt;$O115,$E115:$E$397=$E$2)))"),0.0)</f>
        <v>0</v>
      </c>
      <c r="AJ115" s="133">
        <f t="shared" si="9"/>
        <v>0</v>
      </c>
      <c r="AK115" s="134">
        <f>IFERROR(__xludf.DUMMYFUNCTION("iferror($O115-min(filter($O115:$O$397,$E115:$E$397=$E$2)))"),4.0)</f>
        <v>4</v>
      </c>
      <c r="AL115" s="128" t="str">
        <f>IFERROR(__xludf.DUMMYFUNCTION("iferror(join("","",index(sort(filter($F116:$F$397,$O116:$O$397&gt;$O115,$E116:$E$397=$E$2),2,false),0,1)))"),"")</f>
        <v/>
      </c>
      <c r="AM115" s="128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"""")"),"ACC,SEC")</f>
        <v>ACC,SEC</v>
      </c>
      <c r="AN115" s="132">
        <f>IFERROR(__xludf.DUMMYFUNCTION("iferror($O115-max(filter($O115:$O$397,arrayformula(isnumber(FIND($E115:$E$397,AM115))))))"),0.0)</f>
        <v>0</v>
      </c>
      <c r="AO115" s="131">
        <f t="array" ref="AO115">countifs($O$2:$O114,"&lt;"&amp;$O115,isnumber(FIND($E$2:$E114,AM115)),TRUE)</f>
        <v>4</v>
      </c>
      <c r="AP115" s="131">
        <f>IFERROR(__xludf.DUMMYFUNCTION("iferror(COUNT(filter($O116:$O$397,$O116:$O$397&gt;$O115,arrayformula(isnumber(FIND($E116:$E$397,AM115))))))"),0.0)</f>
        <v>0</v>
      </c>
      <c r="AQ115" s="133">
        <f t="shared" si="10"/>
        <v>1</v>
      </c>
      <c r="AR115" s="134">
        <f>IFERROR(__xludf.DUMMYFUNCTION("$O115-min(filter($O115:$O$397,arrayformula(isnumber(FIND($E115:$E$397,AM115)))))"),4.0)</f>
        <v>4</v>
      </c>
      <c r="AS115" s="128" t="str">
        <f>IFERROR(__xludf.DUMMYFUNCTION("iferror(join("","",index(sort(filter($F116:$F$397,$O116:$O$397&gt;$O115,arrayformula(isnumber(FIND($E116:$E$397,AM115)))),2,false),0,1)))"),"")</f>
        <v/>
      </c>
    </row>
    <row r="116">
      <c r="A116" s="23">
        <v>115.0</v>
      </c>
      <c r="B116" s="23">
        <v>9.0</v>
      </c>
      <c r="C116" s="23">
        <v>11.0</v>
      </c>
      <c r="D116" s="135" t="s">
        <v>69</v>
      </c>
      <c r="E116" s="136" t="str">
        <f>if(F116&lt;&gt;"",VLOOKUP(F116,offset('Teams-Conference'!A:B,0,(counta('Draft Order'!B$2:B134)-10)*2),2,0),"")</f>
        <v>AAC</v>
      </c>
      <c r="F116" s="137" t="s">
        <v>253</v>
      </c>
      <c r="G116" s="138" t="str">
        <f t="shared" si="1"/>
        <v/>
      </c>
      <c r="H116" s="127">
        <f t="shared" si="2"/>
        <v>1</v>
      </c>
      <c r="I116" s="127">
        <f t="shared" si="26"/>
        <v>1</v>
      </c>
      <c r="J116" s="127">
        <f t="shared" si="11"/>
        <v>1</v>
      </c>
      <c r="K116" s="127">
        <f t="shared" si="27"/>
        <v>1</v>
      </c>
      <c r="L116" s="127">
        <v>6.0</v>
      </c>
      <c r="M116" s="127">
        <f>IFERROR(__xludf.DUMMYFUNCTION("counta(iferror(filter(L$2:L115,E$2:E115=E116,L$2:L115&lt;L116)))"),7.0)</f>
        <v>7</v>
      </c>
      <c r="N116" s="127">
        <f>IFERROR(__xludf.DUMMYFUNCTION("counta(iferror(filter(L117:L$131,E117:E$131=E116,L117:L$136&gt;L116)))"),0.0)</f>
        <v>0</v>
      </c>
      <c r="O116" s="129">
        <f t="array" ref="O116:Z116">XLOOKUP(F116,'Current Week'!C:C,'Current Week'!D:O)</f>
        <v>6</v>
      </c>
      <c r="P116" s="127">
        <v>6.0</v>
      </c>
      <c r="Q116" s="128"/>
      <c r="R116" s="128"/>
      <c r="S116" s="128"/>
      <c r="T116" s="128"/>
      <c r="U116" s="128"/>
      <c r="V116" s="131"/>
      <c r="W116" s="128"/>
      <c r="X116" s="131"/>
      <c r="Y116" s="131">
        <v>370.0</v>
      </c>
      <c r="Z116" s="131">
        <v>419.0</v>
      </c>
      <c r="AA116" s="132">
        <f t="shared" si="4"/>
        <v>-3</v>
      </c>
      <c r="AB116" s="131">
        <f t="shared" si="5"/>
        <v>39</v>
      </c>
      <c r="AC116" s="131">
        <f>IFERROR(__xludf.DUMMYFUNCTION("iferror(COUNT(filter($O117:$O$397,$O117:$O$397&gt;$O116)))"),2.0)</f>
        <v>2</v>
      </c>
      <c r="AD116" s="133">
        <f t="shared" si="6"/>
        <v>0</v>
      </c>
      <c r="AE116" s="134">
        <f t="shared" si="7"/>
        <v>4</v>
      </c>
      <c r="AF116" s="128" t="str">
        <f>IFERROR(__xludf.DUMMYFUNCTION("iferror(join("","",index(sort(filter($F117:$F$398,$O117:$O$398&gt;$O116),2,false),0,1)))"),"Northwestern,West Virginia")</f>
        <v>Northwestern,West Virginia</v>
      </c>
      <c r="AG116" s="132">
        <f>IFERROR(__xludf.DUMMYFUNCTION("iferror($O116-max(filter($O116:$O$397,$E116:$E$397=$E$2)))"),1.0)</f>
        <v>1</v>
      </c>
      <c r="AH116" s="131">
        <f t="shared" si="8"/>
        <v>2</v>
      </c>
      <c r="AI116" s="131">
        <f>IFERROR(__xludf.DUMMYFUNCTION("iferror(COUNT(filter($O117:$O$397,$O117:$O$397&gt;$O116,$E116:$E$397=$E$2)))"),0.0)</f>
        <v>0</v>
      </c>
      <c r="AJ116" s="133">
        <f t="shared" si="9"/>
        <v>0</v>
      </c>
      <c r="AK116" s="134">
        <f>IFERROR(__xludf.DUMMYFUNCTION("iferror($O116-min(filter($O116:$O$397,$E116:$E$397=$E$2)))"),4.0)</f>
        <v>4</v>
      </c>
      <c r="AL116" s="128" t="str">
        <f>IFERROR(__xludf.DUMMYFUNCTION("iferror(join("","",index(sort(filter($F117:$F$397,$O117:$O$397&gt;$O116,$E117:$E$397=$E$2),2,false),0,1)))"),"")</f>
        <v/>
      </c>
      <c r="AM116" s="128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"""")"),"AAC,,MAC")</f>
        <v>AAC,,MAC</v>
      </c>
      <c r="AN116" s="132">
        <f>IFERROR(__xludf.DUMMYFUNCTION("iferror($O116-max(filter($O116:$O$397,arrayformula(isnumber(FIND($E116:$E$397,AM116))))))"),0.0)</f>
        <v>0</v>
      </c>
      <c r="AO116" s="131">
        <f t="array" ref="AO116">countifs($O$2:$O115,"&lt;"&amp;$O116,isnumber(FIND($E$2:$E115,AM116)),TRUE)</f>
        <v>11</v>
      </c>
      <c r="AP116" s="131">
        <f>IFERROR(__xludf.DUMMYFUNCTION("iferror(COUNT(filter($O117:$O$397,$O117:$O$397&gt;$O116,arrayformula(isnumber(FIND($E117:$E$397,AM116))))))"),0.0)</f>
        <v>0</v>
      </c>
      <c r="AQ116" s="133">
        <f t="shared" si="10"/>
        <v>1</v>
      </c>
      <c r="AR116" s="134">
        <f>IFERROR(__xludf.DUMMYFUNCTION("$O116-min(filter($O116:$O$397,arrayformula(isnumber(FIND($E116:$E$397,AM116)))))"),5.0)</f>
        <v>5</v>
      </c>
      <c r="AS116" s="128" t="str">
        <f>IFERROR(__xludf.DUMMYFUNCTION("iferror(join("","",index(sort(filter($F117:$F$397,$O117:$O$397&gt;$O116,arrayformula(isnumber(FIND($E117:$E$397,AM116)))),2,false),0,1)))"),"")</f>
        <v/>
      </c>
    </row>
    <row r="117">
      <c r="A117" s="23">
        <v>116.0</v>
      </c>
      <c r="B117" s="23">
        <v>9.0</v>
      </c>
      <c r="C117" s="23">
        <v>12.0</v>
      </c>
      <c r="D117" s="135" t="s">
        <v>125</v>
      </c>
      <c r="E117" s="136" t="str">
        <f>if(F117&lt;&gt;"",VLOOKUP(F117,offset('Teams-Conference'!A:B,0,(counta('Draft Order'!B$2:B134)-10)*2),2,0),"")</f>
        <v>Big Ten</v>
      </c>
      <c r="F117" s="221" t="s">
        <v>261</v>
      </c>
      <c r="G117" s="138" t="str">
        <f t="shared" si="1"/>
        <v/>
      </c>
      <c r="H117" s="127">
        <f t="shared" si="2"/>
        <v>0</v>
      </c>
      <c r="I117" s="127">
        <f t="shared" si="26"/>
        <v>0</v>
      </c>
      <c r="J117" s="127">
        <f t="shared" si="11"/>
        <v>1</v>
      </c>
      <c r="K117" s="127">
        <f>countif(E98:E117,E119)</f>
        <v>1</v>
      </c>
      <c r="L117" s="127">
        <v>7.0</v>
      </c>
      <c r="M117" s="127">
        <f>IFERROR(__xludf.DUMMYFUNCTION("counta(iferror(filter(L$2:L116,E$2:E116=E117,L$2:L116&lt;L117)))"),6.0)</f>
        <v>6</v>
      </c>
      <c r="N117" s="127">
        <f>IFERROR(__xludf.DUMMYFUNCTION("counta(iferror(filter(L118:L$131,E118:E$131=E117,L118:L$136&gt;L117)))"),0.0)</f>
        <v>0</v>
      </c>
      <c r="O117" s="129">
        <f t="array" ref="O117:Z117">XLOOKUP(F117,'Current Week'!C:C,'Current Week'!D:O)</f>
        <v>7</v>
      </c>
      <c r="P117" s="127">
        <v>5.0</v>
      </c>
      <c r="Q117" s="128"/>
      <c r="R117" s="128"/>
      <c r="S117" s="128"/>
      <c r="T117" s="128"/>
      <c r="U117" s="128"/>
      <c r="V117" s="131"/>
      <c r="W117" s="128"/>
      <c r="X117" s="131"/>
      <c r="Y117" s="131">
        <v>273.0</v>
      </c>
      <c r="Z117" s="131">
        <v>286.0</v>
      </c>
      <c r="AA117" s="132">
        <f t="shared" si="4"/>
        <v>-2</v>
      </c>
      <c r="AB117" s="131">
        <f t="shared" si="5"/>
        <v>57</v>
      </c>
      <c r="AC117" s="131">
        <f>IFERROR(__xludf.DUMMYFUNCTION("iferror(COUNT(filter($O118:$O$397,$O118:$O$397&gt;$O117)))"),1.0)</f>
        <v>1</v>
      </c>
      <c r="AD117" s="133">
        <f t="shared" si="6"/>
        <v>0</v>
      </c>
      <c r="AE117" s="134">
        <f t="shared" si="7"/>
        <v>5</v>
      </c>
      <c r="AF117" s="128" t="str">
        <f>IFERROR(__xludf.DUMMYFUNCTION("iferror(join("","",index(sort(filter($F118:$F$398,$O118:$O$398&gt;$O117),2,false),0,1)))"),"West Virginia")</f>
        <v>West Virginia</v>
      </c>
      <c r="AG117" s="132">
        <f>IFERROR(__xludf.DUMMYFUNCTION("iferror($O117-max(filter($O117:$O$397,$E117:$E$397=$E$2)))"),2.0)</f>
        <v>2</v>
      </c>
      <c r="AH117" s="131">
        <f t="shared" si="8"/>
        <v>3</v>
      </c>
      <c r="AI117" s="131">
        <f>IFERROR(__xludf.DUMMYFUNCTION("iferror(COUNT(filter($O118:$O$397,$O118:$O$397&gt;$O117,$E117:$E$397=$E$2)))"),0.0)</f>
        <v>0</v>
      </c>
      <c r="AJ117" s="133">
        <f t="shared" si="9"/>
        <v>0</v>
      </c>
      <c r="AK117" s="134">
        <f>IFERROR(__xludf.DUMMYFUNCTION("iferror($O117-min(filter($O117:$O$397,$E117:$E$397=$E$2)))"),5.0)</f>
        <v>5</v>
      </c>
      <c r="AL117" s="128" t="str">
        <f>IFERROR(__xludf.DUMMYFUNCTION("iferror(join("","",index(sort(filter($F118:$F$397,$O118:$O$397&gt;$O117,$E118:$E$397=$E$2),2,false),0,1)))"),"")</f>
        <v/>
      </c>
      <c r="AM117" s="128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"""")"),"AAC,,Big Ten")</f>
        <v>AAC,,Big Ten</v>
      </c>
      <c r="AN117" s="132">
        <f>IFERROR(__xludf.DUMMYFUNCTION("iferror($O117-max(filter($O117:$O$397,arrayformula(isnumber(FIND($E117:$E$397,AM117))))))"),0.0)</f>
        <v>0</v>
      </c>
      <c r="AO117" s="131">
        <f t="array" ref="AO117">countifs($O$2:$O116,"&lt;"&amp;$O117,isnumber(FIND($E$2:$E116,AM117)),TRUE)</f>
        <v>14</v>
      </c>
      <c r="AP117" s="131">
        <f>IFERROR(__xludf.DUMMYFUNCTION("iferror(COUNT(filter($O118:$O$397,$O118:$O$397&gt;$O117,arrayformula(isnumber(FIND($E118:$E$397,AM117))))))"),0.0)</f>
        <v>0</v>
      </c>
      <c r="AQ117" s="133">
        <f t="shared" si="10"/>
        <v>1</v>
      </c>
      <c r="AR117" s="134">
        <f>IFERROR(__xludf.DUMMYFUNCTION("$O117-min(filter($O117:$O$397,arrayformula(isnumber(FIND($E117:$E$397,AM117)))))"),1.0)</f>
        <v>1</v>
      </c>
      <c r="AS117" s="128" t="str">
        <f>IFERROR(__xludf.DUMMYFUNCTION("iferror(join("","",index(sort(filter($F118:$F$397,$O118:$O$397&gt;$O117,arrayformula(isnumber(FIND($E118:$E$397,AM117)))),2,false),0,1)))"),"")</f>
        <v/>
      </c>
    </row>
    <row r="118">
      <c r="A118" s="141">
        <v>117.0</v>
      </c>
      <c r="B118" s="141">
        <v>9.0</v>
      </c>
      <c r="C118" s="141">
        <v>13.0</v>
      </c>
      <c r="D118" s="142" t="s">
        <v>61</v>
      </c>
      <c r="E118" s="143" t="str">
        <f>if(F118&lt;&gt;"",VLOOKUP(F118,offset('Teams-Conference'!A:B,0,(counta('Draft Order'!B$2:B134)-10)*2),2,0),"")</f>
        <v>Pac12</v>
      </c>
      <c r="F118" s="144" t="s">
        <v>269</v>
      </c>
      <c r="G118" s="145" t="str">
        <f t="shared" si="1"/>
        <v/>
      </c>
      <c r="H118" s="127">
        <f t="shared" si="2"/>
        <v>1</v>
      </c>
      <c r="I118" s="127">
        <f t="shared" si="26"/>
        <v>1</v>
      </c>
      <c r="J118" s="127">
        <f t="shared" si="11"/>
        <v>1</v>
      </c>
      <c r="K118" s="128"/>
      <c r="L118" s="127">
        <v>4.0</v>
      </c>
      <c r="M118" s="127">
        <f>IFERROR(__xludf.DUMMYFUNCTION("counta(iferror(filter(L$2:L117,E$2:E117=E118,L$2:L117&lt;L118)))"),1.0)</f>
        <v>1</v>
      </c>
      <c r="N118" s="127">
        <f>IFERROR(__xludf.DUMMYFUNCTION("counta(iferror(filter(L119:L$131,E119:E$131=E118,L119:L$136&gt;L118)))"),0.0)</f>
        <v>0</v>
      </c>
      <c r="O118" s="129">
        <f t="array" ref="O118:Z118">XLOOKUP(F118,'Current Week'!C:C,'Current Week'!D:O)</f>
        <v>4</v>
      </c>
      <c r="P118" s="127">
        <v>8.0</v>
      </c>
      <c r="Q118" s="128"/>
      <c r="R118" s="128"/>
      <c r="S118" s="128"/>
      <c r="T118" s="128"/>
      <c r="U118" s="128"/>
      <c r="V118" s="131"/>
      <c r="W118" s="128"/>
      <c r="X118" s="131"/>
      <c r="Y118" s="131">
        <v>338.0</v>
      </c>
      <c r="Z118" s="131">
        <v>418.0</v>
      </c>
      <c r="AA118" s="132">
        <f t="shared" si="4"/>
        <v>-5</v>
      </c>
      <c r="AB118" s="131">
        <f t="shared" si="5"/>
        <v>14</v>
      </c>
      <c r="AC118" s="131">
        <f>IFERROR(__xludf.DUMMYFUNCTION("iferror(COUNT(filter($O119:$O$397,$O119:$O$397&gt;$O118)))"),7.0)</f>
        <v>7</v>
      </c>
      <c r="AD118" s="133">
        <f t="shared" si="6"/>
        <v>0</v>
      </c>
      <c r="AE118" s="134">
        <f t="shared" si="7"/>
        <v>2</v>
      </c>
      <c r="AF118" s="128" t="str">
        <f>IFERROR(__xludf.DUMMYFUNCTION("iferror(join("","",index(sort(filter($F119:$F$398,$O119:$O$398&gt;$O118),2,false),0,1)))"),"Old Dominion,Rice,Mississippi State,Georgia Tech,Florida,Virginia Tech,West Virginia")</f>
        <v>Old Dominion,Rice,Mississippi State,Georgia Tech,Florida,Virginia Tech,West Virginia</v>
      </c>
      <c r="AG118" s="132">
        <f>IFERROR(__xludf.DUMMYFUNCTION("iferror($O118-max(filter($O118:$O$397,$E118:$E$397=$E$2)))"),-1.0)</f>
        <v>-1</v>
      </c>
      <c r="AH118" s="131">
        <f t="shared" si="8"/>
        <v>0</v>
      </c>
      <c r="AI118" s="131">
        <f>IFERROR(__xludf.DUMMYFUNCTION("iferror(COUNT(filter($O119:$O$397,$O119:$O$397&gt;$O118,$E118:$E$397=$E$2)))"),0.0)</f>
        <v>0</v>
      </c>
      <c r="AJ118" s="133">
        <f t="shared" si="9"/>
        <v>0</v>
      </c>
      <c r="AK118" s="134">
        <f>IFERROR(__xludf.DUMMYFUNCTION("iferror($O118-min(filter($O118:$O$397,$E118:$E$397=$E$2)))"),2.0)</f>
        <v>2</v>
      </c>
      <c r="AL118" s="128" t="str">
        <f>IFERROR(__xludf.DUMMYFUNCTION("iferror(join("","",index(sort(filter($F119:$F$397,$O119:$O$397&gt;$O118,$E119:$E$397=$E$2),2,false),0,1)))"),"Mississippi State,Florida")</f>
        <v>Mississippi State,Florida</v>
      </c>
      <c r="AM118" s="128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"""")"),"Pac12,Sun Belt")</f>
        <v>Pac12,Sun Belt</v>
      </c>
      <c r="AN118" s="132">
        <f>IFERROR(__xludf.DUMMYFUNCTION("iferror($O118-max(filter($O118:$O$397,arrayformula(isnumber(FIND($E118:$E$397,AM118))))))"),-2.0)</f>
        <v>-2</v>
      </c>
      <c r="AO118" s="131">
        <f t="array" ref="AO118">countifs($O$2:$O117,"&lt;"&amp;$O118,isnumber(FIND($E$2:$E117,AM118)),TRUE)</f>
        <v>2</v>
      </c>
      <c r="AP118" s="131">
        <f>IFERROR(__xludf.DUMMYFUNCTION("iferror(COUNT(filter($O119:$O$397,$O119:$O$397&gt;$O118,arrayformula(isnumber(FIND($E119:$E$397,AM118))))))"),1.0)</f>
        <v>1</v>
      </c>
      <c r="AQ118" s="133">
        <f t="shared" si="10"/>
        <v>0</v>
      </c>
      <c r="AR118" s="134">
        <f>IFERROR(__xludf.DUMMYFUNCTION("$O118-min(filter($O118:$O$397,arrayformula(isnumber(FIND($E118:$E$397,AM118)))))"),1.0)</f>
        <v>1</v>
      </c>
      <c r="AS118" s="128" t="str">
        <f>IFERROR(__xludf.DUMMYFUNCTION("iferror(join("","",index(sort(filter($F119:$F$397,$O119:$O$397&gt;$O118,arrayformula(isnumber(FIND($E119:$E$397,AM118)))),2,false),0,1)))"),"Old Dominion")</f>
        <v>Old Dominion</v>
      </c>
    </row>
    <row r="119">
      <c r="A119" s="122">
        <v>118.0</v>
      </c>
      <c r="B119" s="122">
        <v>10.0</v>
      </c>
      <c r="C119" s="122">
        <v>1.0</v>
      </c>
      <c r="D119" s="123" t="str">
        <f t="array" ref="D119:D131">index(sort('Draft Order'!$A$2:$B$14,1,0),0,2)</f>
        <v>Justin</v>
      </c>
      <c r="E119" s="124" t="str">
        <f>if(F119&lt;&gt;"",VLOOKUP(F119,offset('Teams-Conference'!A:B,0,(counta('Draft Order'!B$2:B134)-10)*2),2,0),"")</f>
        <v>Sun Belt</v>
      </c>
      <c r="F119" s="125" t="s">
        <v>270</v>
      </c>
      <c r="G119" s="126" t="str">
        <f t="shared" si="1"/>
        <v/>
      </c>
      <c r="H119" s="127">
        <f t="shared" si="2"/>
        <v>0</v>
      </c>
      <c r="I119" s="127">
        <f t="shared" si="26"/>
        <v>0</v>
      </c>
      <c r="J119" s="127">
        <f t="shared" si="11"/>
        <v>0</v>
      </c>
      <c r="K119" s="127">
        <f>countif(E99:E119,E120)</f>
        <v>2</v>
      </c>
      <c r="L119" s="127">
        <v>6.0</v>
      </c>
      <c r="M119" s="127">
        <f>IFERROR(__xludf.DUMMYFUNCTION("counta(iferror(filter(L$2:L118,E$2:E118=E119,L$2:L118&lt;L119)))"),1.0)</f>
        <v>1</v>
      </c>
      <c r="N119" s="127">
        <f>IFERROR(__xludf.DUMMYFUNCTION("counta(iferror(filter(L120:L$131,E120:E$131=E119,L120:L$136&gt;L119)))"),0.0)</f>
        <v>0</v>
      </c>
      <c r="O119" s="129">
        <f t="array" ref="O119:Z119">XLOOKUP(F119,'Current Week'!C:C,'Current Week'!D:O)</f>
        <v>6</v>
      </c>
      <c r="P119" s="127">
        <v>6.0</v>
      </c>
      <c r="Q119" s="128"/>
      <c r="R119" s="128"/>
      <c r="S119" s="128"/>
      <c r="T119" s="128"/>
      <c r="U119" s="128"/>
      <c r="V119" s="131"/>
      <c r="W119" s="128"/>
      <c r="X119" s="131"/>
      <c r="Y119" s="131">
        <v>275.0</v>
      </c>
      <c r="Z119" s="131">
        <v>315.0</v>
      </c>
      <c r="AA119" s="132">
        <f t="shared" si="4"/>
        <v>-3</v>
      </c>
      <c r="AB119" s="131">
        <f t="shared" si="5"/>
        <v>40</v>
      </c>
      <c r="AC119" s="131">
        <f>IFERROR(__xludf.DUMMYFUNCTION("iferror(COUNT(filter($O120:$O$397,$O120:$O$397&gt;$O119)))"),1.0)</f>
        <v>1</v>
      </c>
      <c r="AD119" s="133">
        <f t="shared" si="6"/>
        <v>0</v>
      </c>
      <c r="AE119" s="134">
        <f t="shared" si="7"/>
        <v>4</v>
      </c>
      <c r="AF119" s="128" t="str">
        <f>IFERROR(__xludf.DUMMYFUNCTION("iferror(join("","",index(sort(filter($F120:$F$398,$O120:$O$398&gt;$O119),2,false),0,1)))"),"West Virginia")</f>
        <v>West Virginia</v>
      </c>
      <c r="AG119" s="132">
        <f>IFERROR(__xludf.DUMMYFUNCTION("iferror($O119-max(filter($O119:$O$397,$E119:$E$397=$E$2)))"),1.0)</f>
        <v>1</v>
      </c>
      <c r="AH119" s="131">
        <f t="shared" si="8"/>
        <v>2</v>
      </c>
      <c r="AI119" s="131">
        <f>IFERROR(__xludf.DUMMYFUNCTION("iferror(COUNT(filter($O120:$O$397,$O120:$O$397&gt;$O119,$E119:$E$397=$E$2)))"),0.0)</f>
        <v>0</v>
      </c>
      <c r="AJ119" s="133">
        <f t="shared" si="9"/>
        <v>0</v>
      </c>
      <c r="AK119" s="134">
        <f>IFERROR(__xludf.DUMMYFUNCTION("iferror($O119-min(filter($O119:$O$397,$E119:$E$397=$E$2)))"),4.0)</f>
        <v>4</v>
      </c>
      <c r="AL119" s="128" t="str">
        <f>IFERROR(__xludf.DUMMYFUNCTION("iferror(join("","",index(sort(filter($F120:$F$397,$O120:$O$397&gt;$O119,$E120:$E$397=$E$2),2,false),0,1)))"),"")</f>
        <v/>
      </c>
      <c r="AM119" s="128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"""")"),"Sun Belt")</f>
        <v>Sun Belt</v>
      </c>
      <c r="AN119" s="132">
        <f>IFERROR(__xludf.DUMMYFUNCTION("iferror($O119-max(filter($O119:$O$397,arrayformula(isnumber(FIND($E119:$E$397,AM119))))))"),0.0)</f>
        <v>0</v>
      </c>
      <c r="AO119" s="131">
        <f t="array" ref="AO119">countifs($O$2:$O118,"&lt;"&amp;$O119,isnumber(FIND($E$2:$E118,AM119)),TRUE)</f>
        <v>1</v>
      </c>
      <c r="AP119" s="131">
        <f>IFERROR(__xludf.DUMMYFUNCTION("iferror(COUNT(filter($O120:$O$397,$O120:$O$397&gt;$O119,arrayformula(isnumber(FIND($E120:$E$397,AM119))))))"),0.0)</f>
        <v>0</v>
      </c>
      <c r="AQ119" s="133">
        <f t="shared" si="10"/>
        <v>1</v>
      </c>
      <c r="AR119" s="134">
        <f>IFERROR(__xludf.DUMMYFUNCTION("$O119-min(filter($O119:$O$397,arrayformula(isnumber(FIND($E119:$E$397,AM119)))))"),0.0)</f>
        <v>0</v>
      </c>
      <c r="AS119" s="128" t="str">
        <f>IFERROR(__xludf.DUMMYFUNCTION("iferror(join("","",index(sort(filter($F120:$F$397,$O120:$O$397&gt;$O119,arrayformula(isnumber(FIND($E120:$E$397,AM119)))),2,false),0,1)))"),"")</f>
        <v/>
      </c>
    </row>
    <row r="120">
      <c r="A120" s="23">
        <v>119.0</v>
      </c>
      <c r="B120" s="23">
        <v>10.0</v>
      </c>
      <c r="C120" s="23">
        <v>2.0</v>
      </c>
      <c r="D120" s="135" t="s">
        <v>125</v>
      </c>
      <c r="E120" s="136" t="str">
        <f>if(F120&lt;&gt;"",VLOOKUP(F120,offset('Teams-Conference'!A:B,0,(counta('Draft Order'!B$2:B134)-10)*2),2,0),"")</f>
        <v>AAC</v>
      </c>
      <c r="F120" s="222" t="s">
        <v>263</v>
      </c>
      <c r="G120" s="138" t="str">
        <f t="shared" si="1"/>
        <v/>
      </c>
      <c r="H120" s="127">
        <f t="shared" si="2"/>
        <v>0</v>
      </c>
      <c r="I120" s="127">
        <f t="shared" si="26"/>
        <v>0</v>
      </c>
      <c r="J120" s="127">
        <f t="shared" si="11"/>
        <v>2</v>
      </c>
      <c r="K120" s="127">
        <f>countif(E100:E120,E135)</f>
        <v>0</v>
      </c>
      <c r="L120" s="127">
        <v>6.0</v>
      </c>
      <c r="M120" s="127">
        <f>IFERROR(__xludf.DUMMYFUNCTION("counta(iferror(filter(L$2:L119,E$2:E119=E120,L$2:L119&lt;L120)))"),7.0)</f>
        <v>7</v>
      </c>
      <c r="N120" s="127">
        <f>IFERROR(__xludf.DUMMYFUNCTION("counta(iferror(filter(L121:L$131,E121:E$131=E120,L121:L$136&gt;L120)))"),0.0)</f>
        <v>0</v>
      </c>
      <c r="O120" s="129">
        <f t="array" ref="O120:Z120">XLOOKUP(F120,'Current Week'!C:C,'Current Week'!D:O)</f>
        <v>6</v>
      </c>
      <c r="P120" s="127">
        <v>6.0</v>
      </c>
      <c r="Q120" s="128"/>
      <c r="R120" s="128"/>
      <c r="S120" s="128"/>
      <c r="T120" s="128"/>
      <c r="U120" s="128"/>
      <c r="V120" s="131"/>
      <c r="W120" s="128"/>
      <c r="X120" s="131"/>
      <c r="Y120" s="131">
        <v>363.0</v>
      </c>
      <c r="Z120" s="131">
        <v>320.0</v>
      </c>
      <c r="AA120" s="132">
        <f t="shared" si="4"/>
        <v>-3</v>
      </c>
      <c r="AB120" s="131">
        <f t="shared" si="5"/>
        <v>40</v>
      </c>
      <c r="AC120" s="131">
        <f>IFERROR(__xludf.DUMMYFUNCTION("iferror(COUNT(filter($O121:$O$397,$O121:$O$397&gt;$O120)))"),1.0)</f>
        <v>1</v>
      </c>
      <c r="AD120" s="133">
        <f t="shared" si="6"/>
        <v>0</v>
      </c>
      <c r="AE120" s="134">
        <f t="shared" si="7"/>
        <v>4</v>
      </c>
      <c r="AF120" s="128" t="str">
        <f>IFERROR(__xludf.DUMMYFUNCTION("iferror(join("","",index(sort(filter($F121:$F$398,$O121:$O$398&gt;$O120),2,false),0,1)))"),"West Virginia")</f>
        <v>West Virginia</v>
      </c>
      <c r="AG120" s="132">
        <f>IFERROR(__xludf.DUMMYFUNCTION("iferror($O120-max(filter($O120:$O$397,$E120:$E$397=$E$2)))"),1.0)</f>
        <v>1</v>
      </c>
      <c r="AH120" s="131">
        <f t="shared" si="8"/>
        <v>2</v>
      </c>
      <c r="AI120" s="131">
        <f>IFERROR(__xludf.DUMMYFUNCTION("iferror(COUNT(filter($O121:$O$397,$O121:$O$397&gt;$O120,$E120:$E$397=$E$2)))"),0.0)</f>
        <v>0</v>
      </c>
      <c r="AJ120" s="133">
        <f t="shared" si="9"/>
        <v>0</v>
      </c>
      <c r="AK120" s="134">
        <f>IFERROR(__xludf.DUMMYFUNCTION("iferror($O120-min(filter($O120:$O$397,$E120:$E$397=$E$2)))"),4.0)</f>
        <v>4</v>
      </c>
      <c r="AL120" s="128" t="str">
        <f>IFERROR(__xludf.DUMMYFUNCTION("iferror(join("","",index(sort(filter($F121:$F$397,$O121:$O$397&gt;$O120,$E121:$E$397=$E$2),2,false),0,1)))"),"")</f>
        <v/>
      </c>
      <c r="AM120" s="128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"""")"),"AAC,")</f>
        <v>AAC,</v>
      </c>
      <c r="AN120" s="132">
        <f>IFERROR(__xludf.DUMMYFUNCTION("iferror($O120-max(filter($O120:$O$397,arrayformula(isnumber(FIND($E120:$E$397,AM120))))))"),0.0)</f>
        <v>0</v>
      </c>
      <c r="AO120" s="131">
        <f t="array" ref="AO120">countifs($O$2:$O119,"&lt;"&amp;$O120,isnumber(FIND($E$2:$E119,AM120)),TRUE)</f>
        <v>7</v>
      </c>
      <c r="AP120" s="131">
        <f>IFERROR(__xludf.DUMMYFUNCTION("iferror(COUNT(filter($O121:$O$397,$O121:$O$397&gt;$O120,arrayformula(isnumber(FIND($E121:$E$397,AM120))))))"),0.0)</f>
        <v>0</v>
      </c>
      <c r="AQ120" s="133">
        <f t="shared" si="10"/>
        <v>1</v>
      </c>
      <c r="AR120" s="134">
        <f>IFERROR(__xludf.DUMMYFUNCTION("$O120-min(filter($O120:$O$397,arrayformula(isnumber(FIND($E120:$E$397,AM120)))))"),0.0)</f>
        <v>0</v>
      </c>
      <c r="AS120" s="128" t="str">
        <f>IFERROR(__xludf.DUMMYFUNCTION("iferror(join("","",index(sort(filter($F121:$F$397,$O121:$O$397&gt;$O120,arrayformula(isnumber(FIND($E121:$E$397,AM120)))),2,false),0,1)))"),"")</f>
        <v/>
      </c>
    </row>
    <row r="121">
      <c r="A121" s="23">
        <v>120.0</v>
      </c>
      <c r="B121" s="23">
        <v>10.0</v>
      </c>
      <c r="C121" s="23">
        <v>3.0</v>
      </c>
      <c r="D121" s="139" t="s">
        <v>69</v>
      </c>
      <c r="E121" s="136" t="str">
        <f>if(F121&lt;&gt;"",VLOOKUP(F121,offset('Teams-Conference'!A:B,0,(counta('Draft Order'!B$2:B134)-10)*2),2,0),"")</f>
        <v>MAC</v>
      </c>
      <c r="F121" s="137" t="s">
        <v>252</v>
      </c>
      <c r="G121" s="138" t="str">
        <f t="shared" si="1"/>
        <v/>
      </c>
      <c r="H121" s="127">
        <f t="shared" si="2"/>
        <v>2</v>
      </c>
      <c r="I121" s="127">
        <f t="shared" si="26"/>
        <v>2</v>
      </c>
      <c r="J121" s="127">
        <f t="shared" si="11"/>
        <v>0</v>
      </c>
      <c r="K121" s="128"/>
      <c r="L121" s="127">
        <v>3.0</v>
      </c>
      <c r="M121" s="127">
        <f>IFERROR(__xludf.DUMMYFUNCTION("counta(iferror(filter(L$2:L120,E$2:E120=E121,L$2:L120&lt;L121)))"),0.0)</f>
        <v>0</v>
      </c>
      <c r="N121" s="127">
        <f>IFERROR(__xludf.DUMMYFUNCTION("counta(iferror(filter(L122:L$131,E122:E$131=E121,L122:L$136&gt;L121)))"),0.0)</f>
        <v>0</v>
      </c>
      <c r="O121" s="129">
        <f t="array" ref="O121:Z121">XLOOKUP(F121,'Current Week'!C:C,'Current Week'!D:O)</f>
        <v>3</v>
      </c>
      <c r="P121" s="127">
        <v>9.0</v>
      </c>
      <c r="Q121" s="128"/>
      <c r="R121" s="128"/>
      <c r="S121" s="128"/>
      <c r="T121" s="128"/>
      <c r="U121" s="128"/>
      <c r="V121" s="131"/>
      <c r="W121" s="128"/>
      <c r="X121" s="131"/>
      <c r="Y121" s="131">
        <v>210.0</v>
      </c>
      <c r="Z121" s="131">
        <v>343.0</v>
      </c>
      <c r="AA121" s="132">
        <f t="shared" si="4"/>
        <v>-6</v>
      </c>
      <c r="AB121" s="131">
        <f t="shared" si="5"/>
        <v>2</v>
      </c>
      <c r="AC121" s="131">
        <f>IFERROR(__xludf.DUMMYFUNCTION("iferror(COUNT(filter($O122:$O$397,$O122:$O$397&gt;$O121)))"),6.0)</f>
        <v>6</v>
      </c>
      <c r="AD121" s="133">
        <f t="shared" si="6"/>
        <v>0</v>
      </c>
      <c r="AE121" s="134">
        <f t="shared" si="7"/>
        <v>1</v>
      </c>
      <c r="AF121" s="128" t="str">
        <f>IFERROR(__xludf.DUMMYFUNCTION("iferror(join("","",index(sort(filter($F122:$F$398,$O122:$O$398&gt;$O121),2,false),0,1)))"),"Mississippi State,Georgia Tech,Houston,Florida,Virginia Tech,West Virginia")</f>
        <v>Mississippi State,Georgia Tech,Houston,Florida,Virginia Tech,West Virginia</v>
      </c>
      <c r="AG121" s="132">
        <f>IFERROR(__xludf.DUMMYFUNCTION("iferror($O121-max(filter($O121:$O$397,$E121:$E$397=$E$2)))"),-2.0)</f>
        <v>-2</v>
      </c>
      <c r="AH121" s="131">
        <f t="shared" si="8"/>
        <v>0</v>
      </c>
      <c r="AI121" s="131">
        <f>IFERROR(__xludf.DUMMYFUNCTION("iferror(COUNT(filter($O122:$O$397,$O122:$O$397&gt;$O121,$E121:$E$397=$E$2)))"),0.0)</f>
        <v>0</v>
      </c>
      <c r="AJ121" s="133">
        <f t="shared" si="9"/>
        <v>0</v>
      </c>
      <c r="AK121" s="134">
        <f>IFERROR(__xludf.DUMMYFUNCTION("iferror($O121-min(filter($O121:$O$397,$E121:$E$397=$E$2)))"),1.0)</f>
        <v>1</v>
      </c>
      <c r="AL121" s="128" t="str">
        <f>IFERROR(__xludf.DUMMYFUNCTION("iferror(join("","",index(sort(filter($F122:$F$397,$O122:$O$397&gt;$O121,$E122:$E$397=$E$2),2,false),0,1)))"),"Mississippi State,Florida")</f>
        <v>Mississippi State,Florida</v>
      </c>
      <c r="AM121" s="128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"""")"),"MAC")</f>
        <v>MAC</v>
      </c>
      <c r="AN121" s="132">
        <f>IFERROR(__xludf.DUMMYFUNCTION("iferror($O121-max(filter($O121:$O$397,arrayformula(isnumber(FIND($E121:$E$397,AM121))))))"),0.0)</f>
        <v>0</v>
      </c>
      <c r="AO121" s="131">
        <f t="array" ref="AO121">countifs($O$2:$O120,"&lt;"&amp;$O121,isnumber(FIND($E$2:$E120,AM121)),TRUE)</f>
        <v>0</v>
      </c>
      <c r="AP121" s="131">
        <f>IFERROR(__xludf.DUMMYFUNCTION("iferror(COUNT(filter($O122:$O$397,$O122:$O$397&gt;$O121,arrayformula(isnumber(FIND($E122:$E$397,AM121))))))"),0.0)</f>
        <v>0</v>
      </c>
      <c r="AQ121" s="133">
        <f t="shared" si="10"/>
        <v>1</v>
      </c>
      <c r="AR121" s="134">
        <f>IFERROR(__xludf.DUMMYFUNCTION("$O121-min(filter($O121:$O$397,arrayformula(isnumber(FIND($E121:$E$397,AM121)))))"),2.0)</f>
        <v>2</v>
      </c>
      <c r="AS121" s="128" t="str">
        <f>IFERROR(__xludf.DUMMYFUNCTION("iferror(join("","",index(sort(filter($F122:$F$397,$O122:$O$397&gt;$O121,arrayformula(isnumber(FIND($E122:$E$397,AM121)))),2,false),0,1)))"),"")</f>
        <v/>
      </c>
    </row>
    <row r="122">
      <c r="A122" s="23">
        <v>121.0</v>
      </c>
      <c r="B122" s="23">
        <v>10.0</v>
      </c>
      <c r="C122" s="23">
        <v>4.0</v>
      </c>
      <c r="D122" s="135" t="s">
        <v>62</v>
      </c>
      <c r="E122" s="136" t="str">
        <f>if(F122&lt;&gt;"",VLOOKUP(F122,offset('Teams-Conference'!A:B,0,(counta('Draft Order'!B$2:B134)-10)*2),2,0),"")</f>
        <v>SEC</v>
      </c>
      <c r="F122" s="222" t="s">
        <v>249</v>
      </c>
      <c r="G122" s="138" t="str">
        <f t="shared" si="1"/>
        <v/>
      </c>
      <c r="H122" s="127">
        <f t="shared" ref="H122:H130" si="28">countif(E123:E135,E122)</f>
        <v>2</v>
      </c>
      <c r="I122" s="127">
        <f t="shared" si="26"/>
        <v>2</v>
      </c>
      <c r="J122" s="127">
        <f t="shared" si="11"/>
        <v>1</v>
      </c>
      <c r="K122" s="128"/>
      <c r="L122" s="127">
        <v>5.0</v>
      </c>
      <c r="M122" s="127">
        <f>IFERROR(__xludf.DUMMYFUNCTION("counta(iferror(filter(L$2:L121,E$2:E121=E122,L$2:L121&lt;L122)))"),1.0)</f>
        <v>1</v>
      </c>
      <c r="N122" s="127">
        <f>IFERROR(__xludf.DUMMYFUNCTION("counta(iferror(filter(L123:L$131,E123:E$131=E122,L123:L$136&gt;L122)))"),0.0)</f>
        <v>0</v>
      </c>
      <c r="O122" s="129">
        <f t="array" ref="O122:Z122">XLOOKUP(F122,'Current Week'!C:C,'Current Week'!D:O)</f>
        <v>5</v>
      </c>
      <c r="P122" s="127">
        <v>7.0</v>
      </c>
      <c r="Q122" s="128"/>
      <c r="R122" s="128"/>
      <c r="S122" s="128"/>
      <c r="T122" s="128"/>
      <c r="U122" s="128"/>
      <c r="V122" s="131"/>
      <c r="W122" s="128"/>
      <c r="X122" s="131"/>
      <c r="Y122" s="131">
        <v>262.0</v>
      </c>
      <c r="Z122" s="131">
        <v>319.0</v>
      </c>
      <c r="AA122" s="132">
        <f t="shared" si="4"/>
        <v>-4</v>
      </c>
      <c r="AB122" s="131">
        <f t="shared" si="5"/>
        <v>29</v>
      </c>
      <c r="AC122" s="131">
        <f>IFERROR(__xludf.DUMMYFUNCTION("iferror(COUNT(filter($O123:$O$397,$O123:$O$397&gt;$O122)))"),3.0)</f>
        <v>3</v>
      </c>
      <c r="AD122" s="133">
        <f t="shared" si="6"/>
        <v>0</v>
      </c>
      <c r="AE122" s="134">
        <f t="shared" si="7"/>
        <v>3</v>
      </c>
      <c r="AF122" s="128" t="str">
        <f>IFERROR(__xludf.DUMMYFUNCTION("iferror(join("","",index(sort(filter($F123:$F$398,$O123:$O$398&gt;$O122),2,false),0,1)))"),"Georgia Tech,Virginia Tech,West Virginia")</f>
        <v>Georgia Tech,Virginia Tech,West Virginia</v>
      </c>
      <c r="AG122" s="132">
        <f>IFERROR(__xludf.DUMMYFUNCTION("iferror($O122-max(filter($O122:$O$397,$E122:$E$397=$E$2)))"),0.0)</f>
        <v>0</v>
      </c>
      <c r="AH122" s="131">
        <f t="shared" si="8"/>
        <v>1</v>
      </c>
      <c r="AI122" s="131">
        <f>IFERROR(__xludf.DUMMYFUNCTION("iferror(COUNT(filter($O123:$O$397,$O123:$O$397&gt;$O122,$E122:$E$397=$E$2)))"),0.0)</f>
        <v>0</v>
      </c>
      <c r="AJ122" s="133">
        <f t="shared" si="9"/>
        <v>1</v>
      </c>
      <c r="AK122" s="134">
        <f>IFERROR(__xludf.DUMMYFUNCTION("iferror($O122-min(filter($O122:$O$397,$E122:$E$397=$E$2)))"),3.0)</f>
        <v>3</v>
      </c>
      <c r="AL122" s="128" t="str">
        <f>IFERROR(__xludf.DUMMYFUNCTION("iferror(join("","",index(sort(filter($F123:$F$397,$O123:$O$397&gt;$O122,$E123:$E$397=$E$2),2,false),0,1)))"),"")</f>
        <v/>
      </c>
      <c r="AM122" s="128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"""")"),"SEC")</f>
        <v>SEC</v>
      </c>
      <c r="AN122" s="132">
        <f>IFERROR(__xludf.DUMMYFUNCTION("iferror($O122-max(filter($O122:$O$397,arrayformula(isnumber(FIND($E122:$E$397,AM122))))))"),0.0)</f>
        <v>0</v>
      </c>
      <c r="AO122" s="131">
        <f t="array" ref="AO122">countifs($O$2:$O121,"&lt;"&amp;$O122,isnumber(FIND($E$2:$E121,AM122)),TRUE)</f>
        <v>1</v>
      </c>
      <c r="AP122" s="131">
        <f>IFERROR(__xludf.DUMMYFUNCTION("iferror(COUNT(filter($O123:$O$397,$O123:$O$397&gt;$O122,arrayformula(isnumber(FIND($E123:$E$397,AM122))))))"),0.0)</f>
        <v>0</v>
      </c>
      <c r="AQ122" s="133">
        <f t="shared" si="10"/>
        <v>1</v>
      </c>
      <c r="AR122" s="134">
        <f>IFERROR(__xludf.DUMMYFUNCTION("$O122-min(filter($O122:$O$397,arrayformula(isnumber(FIND($E122:$E$397,AM122)))))"),3.0)</f>
        <v>3</v>
      </c>
      <c r="AS122" s="128" t="str">
        <f>IFERROR(__xludf.DUMMYFUNCTION("iferror(join("","",index(sort(filter($F123:$F$397,$O123:$O$397&gt;$O122,arrayformula(isnumber(FIND($E123:$E$397,AM122)))),2,false),0,1)))"),"")</f>
        <v/>
      </c>
    </row>
    <row r="123">
      <c r="A123" s="23">
        <v>122.0</v>
      </c>
      <c r="B123" s="23">
        <v>10.0</v>
      </c>
      <c r="C123" s="23">
        <v>5.0</v>
      </c>
      <c r="D123" s="135" t="s">
        <v>59</v>
      </c>
      <c r="E123" s="136" t="str">
        <f>if(F123&lt;&gt;"",VLOOKUP(F123,offset('Teams-Conference'!A:B,0,(counta('Draft Order'!B$2:B134)-10)*2),2,0),"")</f>
        <v>ACC</v>
      </c>
      <c r="F123" s="140" t="s">
        <v>229</v>
      </c>
      <c r="G123" s="138" t="str">
        <f t="shared" si="1"/>
        <v/>
      </c>
      <c r="H123" s="127">
        <f t="shared" si="28"/>
        <v>2</v>
      </c>
      <c r="I123" s="127">
        <f t="shared" si="26"/>
        <v>2</v>
      </c>
      <c r="J123" s="127">
        <f t="shared" si="11"/>
        <v>1</v>
      </c>
      <c r="K123" s="128"/>
      <c r="L123" s="127">
        <v>6.0</v>
      </c>
      <c r="M123" s="127">
        <f>IFERROR(__xludf.DUMMYFUNCTION("counta(iferror(filter(L$2:L122,E$2:E122=E123,L$2:L122&lt;L123)))"),2.0)</f>
        <v>2</v>
      </c>
      <c r="N123" s="127">
        <f>IFERROR(__xludf.DUMMYFUNCTION("counta(iferror(filter(L124:L$131,E124:E$131=E123,L124:L$136&gt;L123)))"),0.0)</f>
        <v>0</v>
      </c>
      <c r="O123" s="129">
        <f t="array" ref="O123:Z123">XLOOKUP(F123,'Current Week'!C:C,'Current Week'!D:O)</f>
        <v>6</v>
      </c>
      <c r="P123" s="127">
        <v>6.0</v>
      </c>
      <c r="Q123" s="128"/>
      <c r="R123" s="128"/>
      <c r="S123" s="128"/>
      <c r="T123" s="128"/>
      <c r="U123" s="128"/>
      <c r="V123" s="131"/>
      <c r="W123" s="128"/>
      <c r="X123" s="131"/>
      <c r="Y123" s="131">
        <v>374.0</v>
      </c>
      <c r="Z123" s="131">
        <v>366.0</v>
      </c>
      <c r="AA123" s="132">
        <f t="shared" si="4"/>
        <v>-3</v>
      </c>
      <c r="AB123" s="131">
        <f t="shared" si="5"/>
        <v>42</v>
      </c>
      <c r="AC123" s="131">
        <f>IFERROR(__xludf.DUMMYFUNCTION("iferror(COUNT(filter($O124:$O$397,$O124:$O$397&gt;$O123)))"),1.0)</f>
        <v>1</v>
      </c>
      <c r="AD123" s="133">
        <f t="shared" si="6"/>
        <v>0</v>
      </c>
      <c r="AE123" s="134">
        <f t="shared" si="7"/>
        <v>4</v>
      </c>
      <c r="AF123" s="128" t="str">
        <f>IFERROR(__xludf.DUMMYFUNCTION("iferror(join("","",index(sort(filter($F124:$F$398,$O124:$O$398&gt;$O123),2,false),0,1)))"),"West Virginia")</f>
        <v>West Virginia</v>
      </c>
      <c r="AG123" s="132">
        <f>IFERROR(__xludf.DUMMYFUNCTION("iferror($O123-max(filter($O123:$O$397,$E123:$E$397=$E$2)))"),1.0)</f>
        <v>1</v>
      </c>
      <c r="AH123" s="131">
        <f t="shared" si="8"/>
        <v>3</v>
      </c>
      <c r="AI123" s="131">
        <f>IFERROR(__xludf.DUMMYFUNCTION("iferror(COUNT(filter($O124:$O$397,$O124:$O$397&gt;$O123,$E123:$E$397=$E$2)))"),0.0)</f>
        <v>0</v>
      </c>
      <c r="AJ123" s="133">
        <f t="shared" si="9"/>
        <v>0</v>
      </c>
      <c r="AK123" s="134">
        <f>IFERROR(__xludf.DUMMYFUNCTION("iferror($O123-min(filter($O123:$O$397,$E123:$E$397=$E$2)))"),4.0)</f>
        <v>4</v>
      </c>
      <c r="AL123" s="128" t="str">
        <f>IFERROR(__xludf.DUMMYFUNCTION("iferror(join("","",index(sort(filter($F124:$F$397,$O124:$O$397&gt;$O123,$E124:$E$397=$E$2),2,false),0,1)))"),"")</f>
        <v/>
      </c>
      <c r="AM123" s="128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"""")"),"ACC")</f>
        <v>ACC</v>
      </c>
      <c r="AN123" s="132">
        <f>IFERROR(__xludf.DUMMYFUNCTION("iferror($O123-max(filter($O123:$O$397,arrayformula(isnumber(FIND($E123:$E$397,AM123))))))"),0.0)</f>
        <v>0</v>
      </c>
      <c r="AO123" s="131">
        <f t="array" ref="AO123">countifs($O$2:$O122,"&lt;"&amp;$O123,isnumber(FIND($E$2:$E122,AM123)),TRUE)</f>
        <v>2</v>
      </c>
      <c r="AP123" s="131">
        <f>IFERROR(__xludf.DUMMYFUNCTION("iferror(COUNT(filter($O124:$O$397,$O124:$O$397&gt;$O123,arrayformula(isnumber(FIND($E124:$E$397,AM123))))))"),0.0)</f>
        <v>0</v>
      </c>
      <c r="AQ123" s="133">
        <f t="shared" si="10"/>
        <v>1</v>
      </c>
      <c r="AR123" s="134">
        <f>IFERROR(__xludf.DUMMYFUNCTION("$O123-min(filter($O123:$O$397,arrayformula(isnumber(FIND($E123:$E$397,AM123)))))"),3.0)</f>
        <v>3</v>
      </c>
      <c r="AS123" s="128" t="str">
        <f>IFERROR(__xludf.DUMMYFUNCTION("iferror(join("","",index(sort(filter($F124:$F$397,$O124:$O$397&gt;$O123,arrayformula(isnumber(FIND($E124:$E$397,AM123)))),2,false),0,1)))"),"")</f>
        <v/>
      </c>
    </row>
    <row r="124">
      <c r="A124" s="23">
        <v>123.0</v>
      </c>
      <c r="B124" s="23">
        <v>10.0</v>
      </c>
      <c r="C124" s="23">
        <v>6.0</v>
      </c>
      <c r="D124" s="135" t="s">
        <v>67</v>
      </c>
      <c r="E124" s="136" t="str">
        <f>if(F124&lt;&gt;"",VLOOKUP(F124,offset('Teams-Conference'!A:B,0,(counta('Draft Order'!B$2:B134)-10)*2),2,0),"")</f>
        <v>MWC</v>
      </c>
      <c r="F124" s="222" t="s">
        <v>218</v>
      </c>
      <c r="G124" s="138" t="str">
        <f t="shared" si="1"/>
        <v/>
      </c>
      <c r="H124" s="127">
        <f t="shared" si="28"/>
        <v>0</v>
      </c>
      <c r="I124" s="127">
        <f t="shared" si="26"/>
        <v>0</v>
      </c>
      <c r="J124" s="127">
        <f t="shared" si="11"/>
        <v>0</v>
      </c>
      <c r="K124" s="128"/>
      <c r="L124" s="127">
        <v>2.0</v>
      </c>
      <c r="M124" s="127">
        <f>IFERROR(__xludf.DUMMYFUNCTION("counta(iferror(filter(L$2:L123,E$2:E123=E124,L$2:L123&lt;L124)))"),0.0)</f>
        <v>0</v>
      </c>
      <c r="N124" s="127">
        <f>IFERROR(__xludf.DUMMYFUNCTION("counta(iferror(filter(L125:L$131,E125:E$131=E124,L125:L$136&gt;L124)))"),0.0)</f>
        <v>0</v>
      </c>
      <c r="O124" s="129">
        <f t="array" ref="O124:Z124">XLOOKUP(F124,'Current Week'!C:C,'Current Week'!D:O)</f>
        <v>2</v>
      </c>
      <c r="P124" s="127">
        <v>10.0</v>
      </c>
      <c r="Q124" s="128"/>
      <c r="R124" s="128"/>
      <c r="S124" s="128"/>
      <c r="T124" s="128"/>
      <c r="U124" s="128"/>
      <c r="V124" s="131"/>
      <c r="W124" s="128"/>
      <c r="X124" s="131"/>
      <c r="Y124" s="131">
        <v>208.0</v>
      </c>
      <c r="Z124" s="131">
        <v>419.0</v>
      </c>
      <c r="AA124" s="132">
        <f t="shared" si="4"/>
        <v>-7</v>
      </c>
      <c r="AB124" s="131">
        <f t="shared" si="5"/>
        <v>0</v>
      </c>
      <c r="AC124" s="131">
        <f>IFERROR(__xludf.DUMMYFUNCTION("iferror(COUNT(filter($O125:$O$397,$O125:$O$397&gt;$O124)))"),7.0)</f>
        <v>7</v>
      </c>
      <c r="AD124" s="133">
        <f t="shared" si="6"/>
        <v>0</v>
      </c>
      <c r="AE124" s="134">
        <f t="shared" si="7"/>
        <v>0</v>
      </c>
      <c r="AF124" s="128" t="str">
        <f>IFERROR(__xludf.DUMMYFUNCTION("iferror(join("","",index(sort(filter($F125:$F$398,$O125:$O$398&gt;$O124),2,false),0,1)))"),"Houston,Stanford,UMASS,Florida,Virginia Tech,Virginia,West Virginia")</f>
        <v>Houston,Stanford,UMASS,Florida,Virginia Tech,Virginia,West Virginia</v>
      </c>
      <c r="AG124" s="132">
        <f>IFERROR(__xludf.DUMMYFUNCTION("iferror($O124-max(filter($O124:$O$397,$E124:$E$397=$E$2)))"),-3.0)</f>
        <v>-3</v>
      </c>
      <c r="AH124" s="131">
        <f t="shared" si="8"/>
        <v>0</v>
      </c>
      <c r="AI124" s="131">
        <f>IFERROR(__xludf.DUMMYFUNCTION("iferror(COUNT(filter($O125:$O$397,$O125:$O$397&gt;$O124,$E124:$E$397=$E$2)))"),0.0)</f>
        <v>0</v>
      </c>
      <c r="AJ124" s="133">
        <f t="shared" si="9"/>
        <v>0</v>
      </c>
      <c r="AK124" s="134">
        <f>IFERROR(__xludf.DUMMYFUNCTION("iferror($O124-min(filter($O124:$O$397,$E124:$E$397=$E$2)))"),0.0)</f>
        <v>0</v>
      </c>
      <c r="AL124" s="128" t="str">
        <f>IFERROR(__xludf.DUMMYFUNCTION("iferror(join("","",index(sort(filter($F125:$F$397,$O125:$O$397&gt;$O124,$E125:$E$397=$E$2),2,false),0,1)))"),"Florida")</f>
        <v>Florida</v>
      </c>
      <c r="AM124" s="128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"""")"),"MWC")</f>
        <v>MWC</v>
      </c>
      <c r="AN124" s="132">
        <f>IFERROR(__xludf.DUMMYFUNCTION("iferror($O124-max(filter($O124:$O$397,arrayformula(isnumber(FIND($E124:$E$397,AM124))))))"),0.0)</f>
        <v>0</v>
      </c>
      <c r="AO124" s="131">
        <f t="array" ref="AO124">countifs($O$2:$O123,"&lt;"&amp;$O124,isnumber(FIND($E$2:$E123,AM124)),TRUE)</f>
        <v>0</v>
      </c>
      <c r="AP124" s="131">
        <f>IFERROR(__xludf.DUMMYFUNCTION("iferror(COUNT(filter($O125:$O$397,$O125:$O$397&gt;$O124,arrayformula(isnumber(FIND($E125:$E$397,AM124))))))"),0.0)</f>
        <v>0</v>
      </c>
      <c r="AQ124" s="133">
        <f t="shared" si="10"/>
        <v>1</v>
      </c>
      <c r="AR124" s="134">
        <f>IFERROR(__xludf.DUMMYFUNCTION("$O124-min(filter($O124:$O$397,arrayformula(isnumber(FIND($E124:$E$397,AM124)))))"),0.0)</f>
        <v>0</v>
      </c>
      <c r="AS124" s="128" t="str">
        <f>IFERROR(__xludf.DUMMYFUNCTION("iferror(join("","",index(sort(filter($F125:$F$397,$O125:$O$397&gt;$O124,arrayformula(isnumber(FIND($E125:$E$397,AM124)))),2,false),0,1)))"),"")</f>
        <v/>
      </c>
    </row>
    <row r="125">
      <c r="A125" s="23">
        <v>124.0</v>
      </c>
      <c r="B125" s="23">
        <v>10.0</v>
      </c>
      <c r="C125" s="23">
        <v>7.0</v>
      </c>
      <c r="D125" s="135" t="s">
        <v>57</v>
      </c>
      <c r="E125" s="136" t="str">
        <f>if(F125&lt;&gt;"",VLOOKUP(F125,offset('Teams-Conference'!A:B,0,(counta('Draft Order'!B$2:B134)-10)*2),2,0),"")</f>
        <v>Big 12</v>
      </c>
      <c r="F125" s="140" t="s">
        <v>210</v>
      </c>
      <c r="G125" s="138" t="str">
        <f t="shared" si="1"/>
        <v/>
      </c>
      <c r="H125" s="127">
        <f t="shared" si="28"/>
        <v>1</v>
      </c>
      <c r="I125" s="127">
        <f t="shared" si="26"/>
        <v>1</v>
      </c>
      <c r="J125" s="127">
        <f t="shared" si="11"/>
        <v>0</v>
      </c>
      <c r="K125" s="128"/>
      <c r="L125" s="127">
        <v>4.0</v>
      </c>
      <c r="M125" s="127">
        <f>IFERROR(__xludf.DUMMYFUNCTION("counta(iferror(filter(L$2:L124,E$2:E124=E125,L$2:L124&lt;L125)))"),2.0)</f>
        <v>2</v>
      </c>
      <c r="N125" s="127">
        <f>IFERROR(__xludf.DUMMYFUNCTION("counta(iferror(filter(L126:L$131,E126:E$131=E125,L126:L$136&gt;L125)))"),0.0)</f>
        <v>0</v>
      </c>
      <c r="O125" s="129">
        <f t="array" ref="O125:Z125">XLOOKUP(F125,'Current Week'!C:C,'Current Week'!D:O)</f>
        <v>4</v>
      </c>
      <c r="P125" s="127">
        <v>8.0</v>
      </c>
      <c r="Q125" s="128"/>
      <c r="R125" s="128"/>
      <c r="S125" s="128"/>
      <c r="T125" s="128"/>
      <c r="U125" s="128"/>
      <c r="V125" s="131"/>
      <c r="W125" s="128"/>
      <c r="X125" s="131"/>
      <c r="Y125" s="131">
        <v>284.0</v>
      </c>
      <c r="Z125" s="131">
        <v>378.0</v>
      </c>
      <c r="AA125" s="132">
        <f t="shared" si="4"/>
        <v>-5</v>
      </c>
      <c r="AB125" s="131">
        <f t="shared" si="5"/>
        <v>16</v>
      </c>
      <c r="AC125" s="131">
        <f>IFERROR(__xludf.DUMMYFUNCTION("iferror(COUNT(filter($O126:$O$397,$O126:$O$397&gt;$O125)))"),3.0)</f>
        <v>3</v>
      </c>
      <c r="AD125" s="133">
        <f t="shared" si="6"/>
        <v>0</v>
      </c>
      <c r="AE125" s="134">
        <f t="shared" si="7"/>
        <v>2</v>
      </c>
      <c r="AF125" s="128" t="str">
        <f>IFERROR(__xludf.DUMMYFUNCTION("iferror(join("","",index(sort(filter($F126:$F$398,$O126:$O$398&gt;$O125),2,false),0,1)))"),"Florida,Virginia Tech,West Virginia")</f>
        <v>Florida,Virginia Tech,West Virginia</v>
      </c>
      <c r="AG125" s="132">
        <f>IFERROR(__xludf.DUMMYFUNCTION("iferror($O125-max(filter($O125:$O$397,$E125:$E$397=$E$2)))"),-1.0)</f>
        <v>-1</v>
      </c>
      <c r="AH125" s="131">
        <f t="shared" si="8"/>
        <v>0</v>
      </c>
      <c r="AI125" s="131">
        <f>IFERROR(__xludf.DUMMYFUNCTION("iferror(COUNT(filter($O126:$O$397,$O126:$O$397&gt;$O125,$E125:$E$397=$E$2)))"),0.0)</f>
        <v>0</v>
      </c>
      <c r="AJ125" s="133">
        <f t="shared" si="9"/>
        <v>0</v>
      </c>
      <c r="AK125" s="134">
        <f>IFERROR(__xludf.DUMMYFUNCTION("iferror($O125-min(filter($O125:$O$397,$E125:$E$397=$E$2)))"),2.0)</f>
        <v>2</v>
      </c>
      <c r="AL125" s="128" t="str">
        <f>IFERROR(__xludf.DUMMYFUNCTION("iferror(join("","",index(sort(filter($F126:$F$397,$O126:$O$397&gt;$O125,$E126:$E$397=$E$2),2,false),0,1)))"),"Florida")</f>
        <v>Florida</v>
      </c>
      <c r="AM125" s="128" t="str">
        <f>IFERROR(__xludf.DUMMYFUNCTION("REGEXREPLACE(join("","",unique({let(conf_picked,filter(E$1:E124,D$1:D124=D125), byrow(unique(TRANSPOSe(Teams!$1:$1)),lambda(rw,if(ISERROR(match(rw,conf_picked,0)),rw,))));iferror(if(#REF!,,transpose(split(#REF!,"","",1,1))))})), ""^,"", """")"),"Big 12")</f>
        <v>Big 12</v>
      </c>
      <c r="AN125" s="132">
        <f>IFERROR(__xludf.DUMMYFUNCTION("iferror($O125-max(filter($O125:$O$397,arrayformula(isnumber(FIND($E125:$E$397,AM125))))))"),-5.0)</f>
        <v>-5</v>
      </c>
      <c r="AO125" s="131">
        <f t="array" ref="AO125">countifs($O$2:$O124,"&lt;"&amp;$O125,isnumber(FIND($E$2:$E124,AM125)),TRUE)</f>
        <v>2</v>
      </c>
      <c r="AP125" s="131">
        <f>IFERROR(__xludf.DUMMYFUNCTION("iferror(COUNT(filter($O126:$O$397,$O126:$O$397&gt;$O125,arrayformula(isnumber(FIND($E126:$E$397,AM125))))))"),1.0)</f>
        <v>1</v>
      </c>
      <c r="AQ125" s="133">
        <f t="shared" si="10"/>
        <v>0</v>
      </c>
      <c r="AR125" s="134">
        <f>IFERROR(__xludf.DUMMYFUNCTION("$O125-min(filter($O125:$O$397,arrayformula(isnumber(FIND($E125:$E$397,AM125)))))"),0.0)</f>
        <v>0</v>
      </c>
      <c r="AS125" s="128" t="str">
        <f>IFERROR(__xludf.DUMMYFUNCTION("iferror(join("","",index(sort(filter($F126:$F$397,$O126:$O$397&gt;$O125,arrayformula(isnumber(FIND($E126:$E$397,AM125)))),2,false),0,1)))"),"West Virginia")</f>
        <v>West Virginia</v>
      </c>
    </row>
    <row r="126">
      <c r="A126" s="23">
        <v>125.0</v>
      </c>
      <c r="B126" s="23">
        <v>10.0</v>
      </c>
      <c r="C126" s="23">
        <v>8.0</v>
      </c>
      <c r="D126" s="135" t="s">
        <v>70</v>
      </c>
      <c r="E126" s="136" t="str">
        <f>if(F126&lt;&gt;"",VLOOKUP(F126,offset('Teams-Conference'!A:B,0,(counta('Draft Order'!B$2:B134)-10)*2),2,0),"")</f>
        <v>Pac12</v>
      </c>
      <c r="F126" s="221" t="s">
        <v>193</v>
      </c>
      <c r="G126" s="138" t="str">
        <f t="shared" si="1"/>
        <v/>
      </c>
      <c r="H126" s="127">
        <f t="shared" si="28"/>
        <v>0</v>
      </c>
      <c r="I126" s="127">
        <f t="shared" si="26"/>
        <v>0</v>
      </c>
      <c r="J126" s="127">
        <f t="shared" si="11"/>
        <v>1</v>
      </c>
      <c r="K126" s="128"/>
      <c r="L126" s="127">
        <v>3.0</v>
      </c>
      <c r="M126" s="127">
        <f>IFERROR(__xludf.DUMMYFUNCTION("counta(iferror(filter(L$2:L125,E$2:E125=E126,L$2:L125&lt;L126)))"),0.0)</f>
        <v>0</v>
      </c>
      <c r="N126" s="127">
        <f>IFERROR(__xludf.DUMMYFUNCTION("counta(iferror(filter(L127:L$131,E127:E$131=E126,L127:L$136&gt;L126)))"),0.0)</f>
        <v>0</v>
      </c>
      <c r="O126" s="129">
        <f t="array" ref="O126:Z126">XLOOKUP(F126,'Current Week'!C:C,'Current Week'!D:O)</f>
        <v>3</v>
      </c>
      <c r="P126" s="127">
        <v>9.0</v>
      </c>
      <c r="Q126" s="128"/>
      <c r="R126" s="128"/>
      <c r="S126" s="128"/>
      <c r="T126" s="128"/>
      <c r="U126" s="128"/>
      <c r="V126" s="131"/>
      <c r="W126" s="128"/>
      <c r="X126" s="131"/>
      <c r="Y126" s="131">
        <v>247.0</v>
      </c>
      <c r="Z126" s="131">
        <v>452.0</v>
      </c>
      <c r="AA126" s="132">
        <f t="shared" si="4"/>
        <v>-6</v>
      </c>
      <c r="AB126" s="131">
        <f t="shared" si="5"/>
        <v>3</v>
      </c>
      <c r="AC126" s="131">
        <f>IFERROR(__xludf.DUMMYFUNCTION("iferror(COUNT(filter($O127:$O$397,$O127:$O$397&gt;$O126)))"),3.0)</f>
        <v>3</v>
      </c>
      <c r="AD126" s="133">
        <f t="shared" si="6"/>
        <v>0</v>
      </c>
      <c r="AE126" s="134">
        <f t="shared" si="7"/>
        <v>1</v>
      </c>
      <c r="AF126" s="128" t="str">
        <f>IFERROR(__xludf.DUMMYFUNCTION("iferror(join("","",index(sort(filter($F127:$F$398,$O127:$O$398&gt;$O126),2,false),0,1)))"),"Florida,Virginia Tech,West Virginia")</f>
        <v>Florida,Virginia Tech,West Virginia</v>
      </c>
      <c r="AG126" s="132">
        <f>IFERROR(__xludf.DUMMYFUNCTION("iferror($O126-max(filter($O126:$O$397,$E126:$E$397=$E$2)))"),-2.0)</f>
        <v>-2</v>
      </c>
      <c r="AH126" s="131">
        <f t="shared" si="8"/>
        <v>0</v>
      </c>
      <c r="AI126" s="131">
        <f>IFERROR(__xludf.DUMMYFUNCTION("iferror(COUNT(filter($O127:$O$397,$O127:$O$397&gt;$O126,$E126:$E$397=$E$2)))"),0.0)</f>
        <v>0</v>
      </c>
      <c r="AJ126" s="133">
        <f t="shared" si="9"/>
        <v>0</v>
      </c>
      <c r="AK126" s="134">
        <f>IFERROR(__xludf.DUMMYFUNCTION("iferror($O126-min(filter($O126:$O$397,$E126:$E$397=$E$2)))"),1.0)</f>
        <v>1</v>
      </c>
      <c r="AL126" s="128" t="str">
        <f>IFERROR(__xludf.DUMMYFUNCTION("iferror(join("","",index(sort(filter($F127:$F$397,$O127:$O$397&gt;$O126,$E127:$E$397=$E$2),2,false),0,1)))"),"Florida")</f>
        <v>Florida</v>
      </c>
      <c r="AM126" s="128" t="str">
        <f>IFERROR(__xludf.DUMMYFUNCTION("REGEXREPLACE(join("","",unique({let(conf_picked,filter(E$1:E125,D$1:D125=D126), byrow(unique(TRANSPOSe(Teams!$1:$1)),lambda(rw,if(ISERROR(match(rw,conf_picked,0)),rw,))));iferror(if(#REF!,,transpose(split(#REF!,"","",1,1))))})), ""^,"", """")"),"Pac12")</f>
        <v>Pac12</v>
      </c>
      <c r="AN126" s="132">
        <f>IFERROR(__xludf.DUMMYFUNCTION("iferror($O126-max(filter($O126:$O$397,arrayformula(isnumber(FIND($E126:$E$397,AM126))))))"),0.0)</f>
        <v>0</v>
      </c>
      <c r="AO126" s="131">
        <f t="array" ref="AO126">countifs($O$2:$O125,"&lt;"&amp;$O126,isnumber(FIND($E$2:$E125,AM126)),TRUE)</f>
        <v>0</v>
      </c>
      <c r="AP126" s="131">
        <f>IFERROR(__xludf.DUMMYFUNCTION("iferror(COUNT(filter($O127:$O$397,$O127:$O$397&gt;$O126,arrayformula(isnumber(FIND($E127:$E$397,AM126))))))"),0.0)</f>
        <v>0</v>
      </c>
      <c r="AQ126" s="133">
        <f t="shared" si="10"/>
        <v>1</v>
      </c>
      <c r="AR126" s="134">
        <f>IFERROR(__xludf.DUMMYFUNCTION("$O126-min(filter($O126:$O$397,arrayformula(isnumber(FIND($E126:$E$397,AM126)))))"),0.0)</f>
        <v>0</v>
      </c>
      <c r="AS126" s="128" t="str">
        <f>IFERROR(__xludf.DUMMYFUNCTION("iferror(join("","",index(sort(filter($F127:$F$397,$O127:$O$397&gt;$O126,arrayformula(isnumber(FIND($E127:$E$397,AM126)))),2,false),0,1)))"),"")</f>
        <v/>
      </c>
    </row>
    <row r="127">
      <c r="A127" s="23">
        <v>126.0</v>
      </c>
      <c r="B127" s="23">
        <v>10.0</v>
      </c>
      <c r="C127" s="23">
        <v>9.0</v>
      </c>
      <c r="D127" s="135" t="s">
        <v>46</v>
      </c>
      <c r="E127" s="136" t="str">
        <f>if(F127&lt;&gt;"",VLOOKUP(F127,offset('Teams-Conference'!A:B,0,(counta('Draft Order'!B$2:B134)-10)*2),2,0),"")</f>
        <v>MAC</v>
      </c>
      <c r="F127" s="140" t="s">
        <v>189</v>
      </c>
      <c r="G127" s="138" t="str">
        <f t="shared" si="1"/>
        <v/>
      </c>
      <c r="H127" s="127">
        <f t="shared" si="28"/>
        <v>1</v>
      </c>
      <c r="I127" s="127">
        <f t="shared" si="26"/>
        <v>1</v>
      </c>
      <c r="J127" s="127">
        <f t="shared" si="11"/>
        <v>1</v>
      </c>
      <c r="K127" s="128"/>
      <c r="L127" s="127">
        <v>2.0</v>
      </c>
      <c r="M127" s="127">
        <f>IFERROR(__xludf.DUMMYFUNCTION("counta(iferror(filter(L$2:L126,E$2:E126=E127,L$2:L126&lt;L127)))"),0.0)</f>
        <v>0</v>
      </c>
      <c r="N127" s="127">
        <f>IFERROR(__xludf.DUMMYFUNCTION("counta(iferror(filter(L128:L$131,E128:E$131=E127,L128:L$136&gt;L127)))"),0.0)</f>
        <v>0</v>
      </c>
      <c r="O127" s="129">
        <f t="array" ref="O127:Z127">XLOOKUP(F127,'Current Week'!C:C,'Current Week'!D:O)</f>
        <v>2</v>
      </c>
      <c r="P127" s="127">
        <v>10.0</v>
      </c>
      <c r="Q127" s="128"/>
      <c r="R127" s="128"/>
      <c r="S127" s="128"/>
      <c r="T127" s="128"/>
      <c r="U127" s="128"/>
      <c r="V127" s="131"/>
      <c r="W127" s="128"/>
      <c r="X127" s="131"/>
      <c r="Y127" s="131">
        <v>195.0</v>
      </c>
      <c r="Z127" s="131">
        <v>336.0</v>
      </c>
      <c r="AA127" s="132">
        <f t="shared" si="4"/>
        <v>-7</v>
      </c>
      <c r="AB127" s="131">
        <f t="shared" si="5"/>
        <v>0</v>
      </c>
      <c r="AC127" s="131">
        <f>IFERROR(__xludf.DUMMYFUNCTION("iferror(COUNT(filter($O128:$O$397,$O128:$O$397&gt;$O127)))"),5.0)</f>
        <v>5</v>
      </c>
      <c r="AD127" s="133">
        <f t="shared" si="6"/>
        <v>0</v>
      </c>
      <c r="AE127" s="134">
        <f t="shared" si="7"/>
        <v>0</v>
      </c>
      <c r="AF127" s="128" t="str">
        <f>IFERROR(__xludf.DUMMYFUNCTION("iferror(join("","",index(sort(filter($F128:$F$398,$O128:$O$398&gt;$O127),2,false),0,1)))"),"UMASS,Florida,Virginia Tech,Virginia,West Virginia")</f>
        <v>UMASS,Florida,Virginia Tech,Virginia,West Virginia</v>
      </c>
      <c r="AG127" s="132">
        <f>IFERROR(__xludf.DUMMYFUNCTION("iferror($O127-max(filter($O127:$O$397,$E127:$E$397=$E$2)))"),-3.0)</f>
        <v>-3</v>
      </c>
      <c r="AH127" s="131">
        <f t="shared" si="8"/>
        <v>0</v>
      </c>
      <c r="AI127" s="131">
        <f>IFERROR(__xludf.DUMMYFUNCTION("iferror(COUNT(filter($O128:$O$397,$O128:$O$397&gt;$O127,$E127:$E$397=$E$2)))"),0.0)</f>
        <v>0</v>
      </c>
      <c r="AJ127" s="133">
        <f t="shared" si="9"/>
        <v>0</v>
      </c>
      <c r="AK127" s="134">
        <f>IFERROR(__xludf.DUMMYFUNCTION("iferror($O127-min(filter($O127:$O$397,$E127:$E$397=$E$2)))"),0.0)</f>
        <v>0</v>
      </c>
      <c r="AL127" s="128" t="str">
        <f>IFERROR(__xludf.DUMMYFUNCTION("iferror(join("","",index(sort(filter($F128:$F$397,$O128:$O$397&gt;$O127,$E128:$E$397=$E$2),2,false),0,1)))"),"Florida")</f>
        <v>Florida</v>
      </c>
      <c r="AM127" s="128" t="str">
        <f>IFERROR(__xludf.DUMMYFUNCTION("REGEXREPLACE(join("","",unique({let(conf_picked,filter(E$1:E126,D$1:D126=D127), byrow(unique(TRANSPOSe(Teams!$1:$1)),lambda(rw,if(ISERROR(match(rw,conf_picked,0)),rw,))));iferror(if(#REF!,,transpose(split(#REF!,"","",1,1))))})), ""^,"", """")"),"MAC")</f>
        <v>MAC</v>
      </c>
      <c r="AN127" s="132">
        <f>IFERROR(__xludf.DUMMYFUNCTION("iferror($O127-max(filter($O127:$O$397,arrayformula(isnumber(FIND($E127:$E$397,AM127))))))"),0.0)</f>
        <v>0</v>
      </c>
      <c r="AO127" s="131">
        <f t="array" ref="AO127">countifs($O$2:$O126,"&lt;"&amp;$O127,isnumber(FIND($E$2:$E126,AM127)),TRUE)</f>
        <v>0</v>
      </c>
      <c r="AP127" s="131">
        <f>IFERROR(__xludf.DUMMYFUNCTION("iferror(COUNT(filter($O128:$O$397,$O128:$O$397&gt;$O127,arrayformula(isnumber(FIND($E128:$E$397,AM127))))))"),0.0)</f>
        <v>0</v>
      </c>
      <c r="AQ127" s="133">
        <f t="shared" si="10"/>
        <v>1</v>
      </c>
      <c r="AR127" s="134">
        <f>IFERROR(__xludf.DUMMYFUNCTION("$O127-min(filter($O127:$O$397,arrayformula(isnumber(FIND($E127:$E$397,AM127)))))"),1.0)</f>
        <v>1</v>
      </c>
      <c r="AS127" s="128" t="str">
        <f>IFERROR(__xludf.DUMMYFUNCTION("iferror(join("","",index(sort(filter($F128:$F$397,$O128:$O$397&gt;$O127,arrayformula(isnumber(FIND($E128:$E$397,AM127)))),2,false),0,1)))"),"")</f>
        <v/>
      </c>
    </row>
    <row r="128">
      <c r="A128" s="23">
        <v>127.0</v>
      </c>
      <c r="B128" s="23">
        <v>10.0</v>
      </c>
      <c r="C128" s="23">
        <v>10.0</v>
      </c>
      <c r="D128" s="135" t="s">
        <v>60</v>
      </c>
      <c r="E128" s="136" t="str">
        <f>if(F128&lt;&gt;"",VLOOKUP(F128,offset('Teams-Conference'!A:B,0,(counta('Draft Order'!B$2:B134)-10)*2),2,0),"")</f>
        <v>CUSA</v>
      </c>
      <c r="F128" s="221" t="s">
        <v>176</v>
      </c>
      <c r="G128" s="138" t="str">
        <f t="shared" si="1"/>
        <v/>
      </c>
      <c r="H128" s="127">
        <f t="shared" si="28"/>
        <v>0</v>
      </c>
      <c r="I128" s="127">
        <f t="shared" si="26"/>
        <v>0</v>
      </c>
      <c r="J128" s="127">
        <f t="shared" si="11"/>
        <v>0</v>
      </c>
      <c r="K128" s="128"/>
      <c r="L128" s="127">
        <v>3.0</v>
      </c>
      <c r="M128" s="127">
        <f>IFERROR(__xludf.DUMMYFUNCTION("counta(iferror(filter(L$2:L127,E$2:E127=E128,L$2:L127&lt;L128)))"),0.0)</f>
        <v>0</v>
      </c>
      <c r="N128" s="127">
        <f>IFERROR(__xludf.DUMMYFUNCTION("counta(iferror(filter(L129:L$131,E129:E$131=E128,L129:L$136&gt;L128)))"),0.0)</f>
        <v>0</v>
      </c>
      <c r="O128" s="129">
        <f t="array" ref="O128:Z128">XLOOKUP(F128,'Current Week'!C:C,'Current Week'!D:O)</f>
        <v>3</v>
      </c>
      <c r="P128" s="127">
        <v>9.0</v>
      </c>
      <c r="Q128" s="128"/>
      <c r="R128" s="128"/>
      <c r="S128" s="128"/>
      <c r="T128" s="128"/>
      <c r="U128" s="128"/>
      <c r="V128" s="131"/>
      <c r="W128" s="128"/>
      <c r="X128" s="131"/>
      <c r="Y128" s="131">
        <v>278.0</v>
      </c>
      <c r="Z128" s="131">
        <v>454.0</v>
      </c>
      <c r="AA128" s="132">
        <f t="shared" si="4"/>
        <v>-6</v>
      </c>
      <c r="AB128" s="131">
        <f t="shared" si="5"/>
        <v>4</v>
      </c>
      <c r="AC128" s="131">
        <f>IFERROR(__xludf.DUMMYFUNCTION("iferror(COUNT(filter($O129:$O$397,$O129:$O$397&gt;$O128)))"),3.0)</f>
        <v>3</v>
      </c>
      <c r="AD128" s="133">
        <f t="shared" si="6"/>
        <v>0</v>
      </c>
      <c r="AE128" s="134">
        <f t="shared" si="7"/>
        <v>1</v>
      </c>
      <c r="AF128" s="128" t="str">
        <f>IFERROR(__xludf.DUMMYFUNCTION("iferror(join("","",index(sort(filter($F129:$F$398,$O129:$O$398&gt;$O128),2,false),0,1)))"),"Florida,Virginia Tech,West Virginia")</f>
        <v>Florida,Virginia Tech,West Virginia</v>
      </c>
      <c r="AG128" s="132">
        <f>IFERROR(__xludf.DUMMYFUNCTION("iferror($O128-max(filter($O128:$O$397,$E128:$E$397=$E$2)))"),-2.0)</f>
        <v>-2</v>
      </c>
      <c r="AH128" s="131">
        <f t="shared" si="8"/>
        <v>0</v>
      </c>
      <c r="AI128" s="131">
        <f>IFERROR(__xludf.DUMMYFUNCTION("iferror(COUNT(filter($O129:$O$397,$O129:$O$397&gt;$O128,$E128:$E$397=$E$2)))"),0.0)</f>
        <v>0</v>
      </c>
      <c r="AJ128" s="133">
        <f t="shared" si="9"/>
        <v>0</v>
      </c>
      <c r="AK128" s="134">
        <f>IFERROR(__xludf.DUMMYFUNCTION("iferror($O128-min(filter($O128:$O$397,$E128:$E$397=$E$2)))"),1.0)</f>
        <v>1</v>
      </c>
      <c r="AL128" s="128" t="str">
        <f>IFERROR(__xludf.DUMMYFUNCTION("iferror(join("","",index(sort(filter($F129:$F$397,$O129:$O$397&gt;$O128,$E129:$E$397=$E$2),2,false),0,1)))"),"Florida")</f>
        <v>Florida</v>
      </c>
      <c r="AM128" s="128" t="str">
        <f>IFERROR(__xludf.DUMMYFUNCTION("REGEXREPLACE(join("","",unique({let(conf_picked,filter(E$1:E127,D$1:D127=D128), byrow(unique(TRANSPOSe(Teams!$1:$1)),lambda(rw,if(ISERROR(match(rw,conf_picked,0)),rw,))));iferror(if(#REF!,,transpose(split(#REF!,"","",1,1))))})), ""^,"", """")"),"CUSA")</f>
        <v>CUSA</v>
      </c>
      <c r="AN128" s="132">
        <f>IFERROR(__xludf.DUMMYFUNCTION("iferror($O128-max(filter($O128:$O$397,arrayformula(isnumber(FIND($E128:$E$397,AM128))))))"),0.0)</f>
        <v>0</v>
      </c>
      <c r="AO128" s="131">
        <f t="array" ref="AO128">countifs($O$2:$O127,"&lt;"&amp;$O128,isnumber(FIND($E$2:$E127,AM128)),TRUE)</f>
        <v>0</v>
      </c>
      <c r="AP128" s="131">
        <f>IFERROR(__xludf.DUMMYFUNCTION("iferror(COUNT(filter($O129:$O$397,$O129:$O$397&gt;$O128,arrayformula(isnumber(FIND($E129:$E$397,AM128))))))"),0.0)</f>
        <v>0</v>
      </c>
      <c r="AQ128" s="133">
        <f t="shared" si="10"/>
        <v>1</v>
      </c>
      <c r="AR128" s="134">
        <f>IFERROR(__xludf.DUMMYFUNCTION("$O128-min(filter($O128:$O$397,arrayformula(isnumber(FIND($E128:$E$397,AM128)))))"),0.0)</f>
        <v>0</v>
      </c>
      <c r="AS128" s="128" t="str">
        <f>IFERROR(__xludf.DUMMYFUNCTION("iferror(join("","",index(sort(filter($F129:$F$397,$O129:$O$397&gt;$O128,arrayformula(isnumber(FIND($E129:$E$397,AM128)))),2,false),0,1)))"),"")</f>
        <v/>
      </c>
    </row>
    <row r="129">
      <c r="A129" s="23">
        <v>128.0</v>
      </c>
      <c r="B129" s="23">
        <v>10.0</v>
      </c>
      <c r="C129" s="23">
        <v>11.0</v>
      </c>
      <c r="D129" s="135" t="s">
        <v>56</v>
      </c>
      <c r="E129" s="136" t="str">
        <f>if(F129&lt;&gt;"",VLOOKUP(F129,offset('Teams-Conference'!A:B,0,(counta('Draft Order'!B$2:B134)-10)*2),2,0),"")</f>
        <v>SEC</v>
      </c>
      <c r="F129" s="140" t="s">
        <v>127</v>
      </c>
      <c r="G129" s="138" t="str">
        <f t="shared" si="1"/>
        <v/>
      </c>
      <c r="H129" s="127">
        <f t="shared" si="28"/>
        <v>1</v>
      </c>
      <c r="I129" s="127">
        <f t="shared" si="26"/>
        <v>1</v>
      </c>
      <c r="J129" s="127">
        <f t="shared" si="11"/>
        <v>1</v>
      </c>
      <c r="K129" s="128"/>
      <c r="L129" s="127">
        <v>5.0</v>
      </c>
      <c r="M129" s="127">
        <f>IFERROR(__xludf.DUMMYFUNCTION("counta(iferror(filter(L$2:L128,E$2:E128=E129,L$2:L128&lt;L129)))"),1.0)</f>
        <v>1</v>
      </c>
      <c r="N129" s="127">
        <f>IFERROR(__xludf.DUMMYFUNCTION("counta(iferror(filter(L130:L$131,E130:E$131=E129,L130:L$136&gt;L129)))"),0.0)</f>
        <v>0</v>
      </c>
      <c r="O129" s="129">
        <f t="array" ref="O129:Z129">XLOOKUP(F129,'Current Week'!C:C,'Current Week'!D:O)</f>
        <v>5</v>
      </c>
      <c r="P129" s="127">
        <v>7.0</v>
      </c>
      <c r="Q129" s="128"/>
      <c r="R129" s="128"/>
      <c r="S129" s="128"/>
      <c r="T129" s="128"/>
      <c r="U129" s="128"/>
      <c r="V129" s="131"/>
      <c r="W129" s="128"/>
      <c r="X129" s="131"/>
      <c r="Y129" s="131">
        <v>341.0</v>
      </c>
      <c r="Z129" s="131">
        <v>331.0</v>
      </c>
      <c r="AA129" s="132">
        <f t="shared" si="4"/>
        <v>-4</v>
      </c>
      <c r="AB129" s="131">
        <f t="shared" si="5"/>
        <v>34</v>
      </c>
      <c r="AC129" s="131">
        <f>IFERROR(__xludf.DUMMYFUNCTION("iferror(COUNT(filter($O130:$O$397,$O130:$O$397&gt;$O129)))"),2.0)</f>
        <v>2</v>
      </c>
      <c r="AD129" s="133">
        <f t="shared" si="6"/>
        <v>0</v>
      </c>
      <c r="AE129" s="134">
        <f t="shared" si="7"/>
        <v>3</v>
      </c>
      <c r="AF129" s="128" t="str">
        <f>IFERROR(__xludf.DUMMYFUNCTION("iferror(join("","",index(sort(filter($F130:$F$398,$O130:$O$398&gt;$O129),2,false),0,1)))"),"Virginia Tech,West Virginia")</f>
        <v>Virginia Tech,West Virginia</v>
      </c>
      <c r="AG129" s="132">
        <f>IFERROR(__xludf.DUMMYFUNCTION("iferror($O129-max(filter($O129:$O$397,$E129:$E$397=$E$2)))"),0.0)</f>
        <v>0</v>
      </c>
      <c r="AH129" s="131">
        <f t="shared" si="8"/>
        <v>1</v>
      </c>
      <c r="AI129" s="131">
        <f>IFERROR(__xludf.DUMMYFUNCTION("iferror(COUNT(filter($O130:$O$397,$O130:$O$397&gt;$O129,$E129:$E$397=$E$2)))"),0.0)</f>
        <v>0</v>
      </c>
      <c r="AJ129" s="133">
        <f t="shared" si="9"/>
        <v>1</v>
      </c>
      <c r="AK129" s="134">
        <f>IFERROR(__xludf.DUMMYFUNCTION("iferror($O129-min(filter($O129:$O$397,$E129:$E$397=$E$2)))"),3.0)</f>
        <v>3</v>
      </c>
      <c r="AL129" s="128" t="str">
        <f>IFERROR(__xludf.DUMMYFUNCTION("iferror(join("","",index(sort(filter($F130:$F$397,$O130:$O$397&gt;$O129,$E130:$E$397=$E$2),2,false),0,1)))"),"")</f>
        <v/>
      </c>
      <c r="AM129" s="128" t="str">
        <f>IFERROR(__xludf.DUMMYFUNCTION("REGEXREPLACE(join("","",unique({let(conf_picked,filter(E$1:E128,D$1:D128=D129), byrow(unique(TRANSPOSe(Teams!$1:$1)),lambda(rw,if(ISERROR(match(rw,conf_picked,0)),rw,))));iferror(if(#REF!,,transpose(split(#REF!,"","",1,1))))})), ""^,"", """")"),"SEC")</f>
        <v>SEC</v>
      </c>
      <c r="AN129" s="132">
        <f>IFERROR(__xludf.DUMMYFUNCTION("iferror($O129-max(filter($O129:$O$397,arrayformula(isnumber(FIND($E129:$E$397,AM129))))))"),0.0)</f>
        <v>0</v>
      </c>
      <c r="AO129" s="131">
        <f t="array" ref="AO129">countifs($O$2:$O128,"&lt;"&amp;$O129,isnumber(FIND($E$2:$E128,AM129)),TRUE)</f>
        <v>1</v>
      </c>
      <c r="AP129" s="131">
        <f>IFERROR(__xludf.DUMMYFUNCTION("iferror(COUNT(filter($O130:$O$397,$O130:$O$397&gt;$O129,arrayformula(isnumber(FIND($E130:$E$397,AM129))))))"),0.0)</f>
        <v>0</v>
      </c>
      <c r="AQ129" s="133">
        <f t="shared" si="10"/>
        <v>1</v>
      </c>
      <c r="AR129" s="134">
        <f>IFERROR(__xludf.DUMMYFUNCTION("$O129-min(filter($O129:$O$397,arrayformula(isnumber(FIND($E129:$E$397,AM129)))))"),3.0)</f>
        <v>3</v>
      </c>
      <c r="AS129" s="128" t="str">
        <f>IFERROR(__xludf.DUMMYFUNCTION("iferror(join("","",index(sort(filter($F130:$F$397,$O130:$O$397&gt;$O129,arrayformula(isnumber(FIND($E130:$E$397,AM129)))),2,false),0,1)))"),"")</f>
        <v/>
      </c>
    </row>
    <row r="130">
      <c r="A130" s="23">
        <v>129.0</v>
      </c>
      <c r="B130" s="23">
        <v>10.0</v>
      </c>
      <c r="C130" s="23">
        <v>12.0</v>
      </c>
      <c r="D130" s="135" t="s">
        <v>58</v>
      </c>
      <c r="E130" t="str">
        <f>if(F130&lt;&gt;"",VLOOKUP(F130,offset('Teams-Conference'!A:B,0,(counta('Draft Order'!B$2:B134)-10)*2),2,0),"")</f>
        <v>ACC</v>
      </c>
      <c r="F130" s="140" t="s">
        <v>113</v>
      </c>
      <c r="G130" s="138" t="str">
        <f t="shared" si="1"/>
        <v/>
      </c>
      <c r="H130" s="127">
        <f t="shared" si="28"/>
        <v>1</v>
      </c>
      <c r="I130" s="127">
        <f t="shared" si="26"/>
        <v>1</v>
      </c>
      <c r="J130" s="127">
        <f t="shared" si="11"/>
        <v>1</v>
      </c>
      <c r="K130" s="128"/>
      <c r="L130" s="127">
        <v>6.0</v>
      </c>
      <c r="M130" s="127">
        <f>IFERROR(__xludf.DUMMYFUNCTION("counta(iferror(filter(L$2:L129,E$2:E129=E130,L$2:L129&lt;L130)))"),2.0)</f>
        <v>2</v>
      </c>
      <c r="N130" s="127">
        <f>IFERROR(__xludf.DUMMYFUNCTION("counta(iferror(filter(L131:L$131,E131:E$131=E130,L131:L$136&gt;L130)))"),0.0)</f>
        <v>0</v>
      </c>
      <c r="O130" s="129">
        <f t="array" ref="O130:Z130">XLOOKUP(F130,'Current Week'!C:C,'Current Week'!D:O)</f>
        <v>6</v>
      </c>
      <c r="P130" s="127">
        <v>6.0</v>
      </c>
      <c r="Q130" s="128"/>
      <c r="R130" s="128"/>
      <c r="S130" s="128"/>
      <c r="T130" s="128"/>
      <c r="U130" s="128">
        <v>-1.5</v>
      </c>
      <c r="V130" s="131">
        <v>-1.5</v>
      </c>
      <c r="W130" s="128">
        <v>-118.0</v>
      </c>
      <c r="X130" s="131" t="s">
        <v>114</v>
      </c>
      <c r="Y130" s="131">
        <v>343.0</v>
      </c>
      <c r="Z130" s="131">
        <v>291.0</v>
      </c>
      <c r="AA130" s="132">
        <f t="shared" si="4"/>
        <v>-3</v>
      </c>
      <c r="AB130" s="131">
        <f t="shared" si="5"/>
        <v>48</v>
      </c>
      <c r="AC130" s="131">
        <f>IFERROR(__xludf.DUMMYFUNCTION("iferror(COUNT(filter($O131:$O$397,$O131:$O$397&gt;$O130)))"),1.0)</f>
        <v>1</v>
      </c>
      <c r="AD130" s="133">
        <f t="shared" si="6"/>
        <v>0</v>
      </c>
      <c r="AE130" s="134">
        <f t="shared" si="7"/>
        <v>4</v>
      </c>
      <c r="AF130" s="128" t="str">
        <f>IFERROR(__xludf.DUMMYFUNCTION("iferror(join("","",index(sort(filter($F131:$F$398,$O131:$O$398&gt;$O130),2,false),0,1)))"),"West Virginia")</f>
        <v>West Virginia</v>
      </c>
      <c r="AG130" s="223">
        <f>IFERROR(__xludf.DUMMYFUNCTION("iferror($O130-max(filter($O130:$O$397,$E130:$E$397=$E$2)))"),4.0)</f>
        <v>4</v>
      </c>
      <c r="AH130" s="131">
        <f t="shared" si="8"/>
        <v>4</v>
      </c>
      <c r="AI130" s="131">
        <f>IFERROR(__xludf.DUMMYFUNCTION("iferror(COUNT(filter($O131:$O$397,$O131:$O$397&gt;$O130,$E130:$E$397=$E$2)))"),0.0)</f>
        <v>0</v>
      </c>
      <c r="AJ130" s="133">
        <f t="shared" si="9"/>
        <v>0</v>
      </c>
      <c r="AK130" s="224">
        <f>IFERROR(__xludf.DUMMYFUNCTION("iferror($O130-min(filter($O130:$O$397,$E130:$E$397=$E$2)))"),4.0)</f>
        <v>4</v>
      </c>
      <c r="AL130" s="128" t="str">
        <f>IFERROR(__xludf.DUMMYFUNCTION("iferror(join("","",index(sort(filter($F131:$F$397,$O131:$O$397&gt;$O130,$E131:$E$397=$E$2),2,false),0,1)))"),"")</f>
        <v/>
      </c>
      <c r="AM130" s="128" t="str">
        <f>IFERROR(__xludf.DUMMYFUNCTION("REGEXREPLACE(join("","",unique({let(conf_picked,filter(E$1:E129,D$1:D129=D130), byrow(unique(TRANSPOSe(Teams!$1:$1)),lambda(rw,if(ISERROR(match(rw,conf_picked,0)),rw,))));iferror(if(#REF!,,transpose(split(#REF!,"","",1,1))))})), ""^,"", """")"),"ACC")</f>
        <v>ACC</v>
      </c>
      <c r="AN130" s="132">
        <f>IFERROR(__xludf.DUMMYFUNCTION("iferror($O130-max(filter($O130:$O$397,arrayformula(isnumber(FIND($E130:$E$397,AM130))))))"),0.0)</f>
        <v>0</v>
      </c>
      <c r="AO130" s="131">
        <f t="array" ref="AO130">countifs($O$2:$O129,"&lt;"&amp;$O130,isnumber(FIND($E$2:$E129,AM130)),TRUE)</f>
        <v>2</v>
      </c>
      <c r="AP130" s="131">
        <f>IFERROR(__xludf.DUMMYFUNCTION("iferror(COUNT(filter($O131:$O$397,$O131:$O$397&gt;$O130,arrayformula(isnumber(FIND($E131:$E$397,AM130))))))"),0.0)</f>
        <v>0</v>
      </c>
      <c r="AQ130" s="133">
        <f t="shared" si="10"/>
        <v>1</v>
      </c>
      <c r="AR130" s="134">
        <f>IFERROR(__xludf.DUMMYFUNCTION("$O130-min(filter($O130:$O$397,arrayformula(isnumber(FIND($E130:$E$397,AM130)))))"),3.0)</f>
        <v>3</v>
      </c>
      <c r="AS130" s="128" t="str">
        <f>IFERROR(__xludf.DUMMYFUNCTION("iferror(join("","",index(sort(filter($F131:$F$397,$O131:$O$397&gt;$O130,arrayformula(isnumber(FIND($E131:$E$397,AM130)))),2,false),0,1)))"),"")</f>
        <v/>
      </c>
    </row>
    <row r="131">
      <c r="A131" s="141">
        <v>130.0</v>
      </c>
      <c r="B131" s="141">
        <v>10.0</v>
      </c>
      <c r="C131" s="141">
        <v>13.0</v>
      </c>
      <c r="D131" s="142" t="s">
        <v>35</v>
      </c>
      <c r="E131" s="143" t="str">
        <f>if(F131&lt;&gt;"",VLOOKUP(F131,offset('Teams-Conference'!A:B,0,(counta('Draft Order'!B$2:B134)-10)*2),2,0),"")</f>
        <v>MAC</v>
      </c>
      <c r="F131" s="225" t="s">
        <v>75</v>
      </c>
      <c r="G131" s="145" t="str">
        <f t="shared" si="1"/>
        <v/>
      </c>
      <c r="H131" s="127">
        <f t="shared" ref="H131:H134" si="29">countif(E135:E144,E131)</f>
        <v>0</v>
      </c>
      <c r="I131" s="127">
        <f t="shared" ref="I131:I134" si="30">countif(E135:E156,E131)</f>
        <v>0</v>
      </c>
      <c r="J131" s="127">
        <f t="shared" si="11"/>
        <v>2</v>
      </c>
      <c r="K131" s="128"/>
      <c r="L131" s="127">
        <v>1.0</v>
      </c>
      <c r="M131" s="127">
        <f>IFERROR(__xludf.DUMMYFUNCTION("counta(iferror(filter(L$2:L130,E$2:E130=E131,L$2:L130&lt;L131)))"),0.0)</f>
        <v>0</v>
      </c>
      <c r="N131" s="127">
        <f>IFERROR(__xludf.DUMMYFUNCTION("counta(iferror(filter(L$131:L135,E$131:E135=E131,L135:L$136&gt;L131)))"),0.0)</f>
        <v>0</v>
      </c>
      <c r="O131" s="129">
        <f t="array" ref="O131:Z131">XLOOKUP(F131,'Current Week'!C:C,'Current Week'!D:O)</f>
        <v>1</v>
      </c>
      <c r="P131" s="127">
        <v>11.0</v>
      </c>
      <c r="Q131" s="128"/>
      <c r="R131" s="128"/>
      <c r="S131" s="128"/>
      <c r="T131" s="128"/>
      <c r="U131" s="128"/>
      <c r="V131" s="131"/>
      <c r="W131" s="128"/>
      <c r="X131" s="131"/>
      <c r="Y131" s="131">
        <v>176.0</v>
      </c>
      <c r="Z131" s="131">
        <v>415.0</v>
      </c>
      <c r="AA131" s="132">
        <f t="shared" si="4"/>
        <v>-8</v>
      </c>
      <c r="AB131" s="131">
        <f t="shared" si="5"/>
        <v>0</v>
      </c>
      <c r="AC131" s="131">
        <f>IFERROR(__xludf.DUMMYFUNCTION("iferror(COUNT(filter($O135:$O$397,$O135:$O$397&gt;$O131)))"),0.0)</f>
        <v>0</v>
      </c>
      <c r="AD131" s="133">
        <f t="shared" si="6"/>
        <v>0</v>
      </c>
      <c r="AE131" s="134">
        <f t="shared" si="7"/>
        <v>0</v>
      </c>
      <c r="AF131" s="128" t="str">
        <f>IFERROR(__xludf.DUMMYFUNCTION("iferror(join("","",index(sort(filter($F135:$F$398,$O135:$O$398&gt;$O131),2,false),0,1)))"),"")</f>
        <v/>
      </c>
      <c r="AG131" s="223">
        <f>IFERROR(__xludf.DUMMYFUNCTION("iferror($O131-max(filter($O131:$O$397,$E131:$E$397=$E$2)))"),-1.0)</f>
        <v>-1</v>
      </c>
      <c r="AH131" s="131">
        <f t="shared" si="8"/>
        <v>0</v>
      </c>
      <c r="AI131" s="131">
        <f>IFERROR(__xludf.DUMMYFUNCTION("iferror(COUNT(filter($O135:$O$397,$O135:$O$397&gt;$O131,$E131:$E$397=$E$2)))"),0.0)</f>
        <v>0</v>
      </c>
      <c r="AJ131" s="133">
        <f t="shared" si="9"/>
        <v>0</v>
      </c>
      <c r="AK131" s="224">
        <f>IFERROR(__xludf.DUMMYFUNCTION("iferror($O131-min(filter($O131:$O$397,$E131:$E$397=$E$2)))"),-1.0)</f>
        <v>-1</v>
      </c>
      <c r="AL131" s="128" t="str">
        <f>IFERROR(__xludf.DUMMYFUNCTION("iferror(join("","",index(sort(filter($F135:$F$397,$O135:$O$397&gt;$O131,$E135:$E$397=$E$2),2,false),0,1)))"),"")</f>
        <v/>
      </c>
      <c r="AM131" s="128" t="str">
        <f>IFERROR(__xludf.DUMMYFUNCTION("REGEXREPLACE(join("","",unique({let(conf_picked,filter(E$1:E130,D$1:D130=D131), byrow(unique(TRANSPOSe(Teams!$1:$1)),lambda(rw,if(ISERROR(match(rw,conf_picked,0)),rw,))));iferror(if(#REF!,,transpose(split(#REF!,"","",1,1))))})), ""^,"", """")"),"MAC")</f>
        <v>MAC</v>
      </c>
      <c r="AN131" s="132">
        <f>IFERROR(__xludf.DUMMYFUNCTION("iferror($O131-max(filter($O131:$O$397,arrayformula(isnumber(FIND($E131:$E$397,AM131))))))"),0.0)</f>
        <v>0</v>
      </c>
      <c r="AO131" s="131">
        <f t="array" ref="AO131">countifs($O$2:$O130,"&lt;"&amp;$O131,isnumber(FIND($E$2:$E130,AM131)),TRUE)</f>
        <v>0</v>
      </c>
      <c r="AP131" s="131">
        <f>IFERROR(__xludf.DUMMYFUNCTION("iferror(COUNT(filter($O135:$O$397,$O135:$O$397&gt;$O131,arrayformula(isnumber(FIND($E135:$E$397,AM131))))))"),0.0)</f>
        <v>0</v>
      </c>
      <c r="AQ131" s="133">
        <f t="shared" si="10"/>
        <v>1</v>
      </c>
      <c r="AR131" s="134">
        <f>IFERROR(__xludf.DUMMYFUNCTION("$O131-min(filter($O131:$O$397,arrayformula(isnumber(FIND($E131:$E$397,AM131)))))"),0.0)</f>
        <v>0</v>
      </c>
      <c r="AS131" s="128" t="str">
        <f>IFERROR(__xludf.DUMMYFUNCTION("iferror(join("","",index(sort(filter($F135:$F$397,$O135:$O$397&gt;$O131,arrayformula(isnumber(FIND($E135:$E$397,AM131)))),2,false),0,1)))"),"")</f>
        <v/>
      </c>
    </row>
    <row r="132">
      <c r="A132" s="23">
        <v>131.0</v>
      </c>
      <c r="B132" s="23">
        <v>11.0</v>
      </c>
      <c r="C132" s="23">
        <v>1.0</v>
      </c>
      <c r="D132" s="23" t="s">
        <v>274</v>
      </c>
      <c r="E132" s="143" t="str">
        <f>if(F132&lt;&gt;"",VLOOKUP(F132,offset('Teams-Conference'!A:B,0,(counta('Draft Order'!B$2:B134)-10)*2),2,0),"")</f>
        <v>ACC</v>
      </c>
      <c r="F132" s="226" t="s">
        <v>275</v>
      </c>
      <c r="G132" s="227"/>
      <c r="H132" s="127">
        <f t="shared" si="29"/>
        <v>0</v>
      </c>
      <c r="I132" s="127">
        <f t="shared" si="30"/>
        <v>0</v>
      </c>
      <c r="J132" s="127">
        <f t="shared" si="11"/>
        <v>2</v>
      </c>
      <c r="K132" s="128"/>
      <c r="L132" s="127">
        <v>3.0</v>
      </c>
      <c r="M132" s="127">
        <f>IFERROR(__xludf.DUMMYFUNCTION("counta(iferror(filter(L$2:L131,E$2:E131=E132,L$2:L131&lt;L132)))"),0.0)</f>
        <v>0</v>
      </c>
      <c r="N132" s="127">
        <f>IFERROR(__xludf.DUMMYFUNCTION("counta(iferror(filter(L$131:L136,E$131:E136=E132,L136:L$136&gt;L132)))"),0.0)</f>
        <v>0</v>
      </c>
      <c r="O132" s="129">
        <f t="array" ref="O132:Z132">XLOOKUP(F132,'Current Week'!C:C,'Current Week'!D:O)</f>
        <v>3</v>
      </c>
      <c r="P132" s="127">
        <v>9.0</v>
      </c>
      <c r="Q132" s="128"/>
      <c r="R132" s="128"/>
      <c r="S132" s="128"/>
      <c r="T132" s="128"/>
      <c r="U132" s="128"/>
      <c r="V132" s="131"/>
      <c r="W132" s="128"/>
      <c r="X132" s="131"/>
      <c r="Y132" s="131"/>
      <c r="Z132" s="131"/>
      <c r="AA132" s="132">
        <f t="shared" si="4"/>
        <v>-6</v>
      </c>
      <c r="AB132" s="131">
        <f t="shared" si="5"/>
        <v>5</v>
      </c>
      <c r="AC132" s="131">
        <f>IFERROR(__xludf.DUMMYFUNCTION("iferror(COUNT(filter($O136:$O$397,$O136:$O$397&gt;$O132)))"),0.0)</f>
        <v>0</v>
      </c>
      <c r="AD132" s="133">
        <f t="shared" si="6"/>
        <v>0</v>
      </c>
      <c r="AE132" s="134">
        <f t="shared" si="7"/>
        <v>2</v>
      </c>
      <c r="AF132" s="128" t="str">
        <f>IFERROR(__xludf.DUMMYFUNCTION("iferror(join("","",index(sort(filter($F136:$F$398,$O136:$O$398&gt;$O132),2,false),0,1)))"),"")</f>
        <v/>
      </c>
      <c r="AG132" s="223">
        <f>IFERROR(__xludf.DUMMYFUNCTION("iferror($O132-max(filter($O132:$O$397,$E132:$E$397=$E$2)))"),1.0)</f>
        <v>1</v>
      </c>
      <c r="AH132" s="131">
        <f t="shared" si="8"/>
        <v>0</v>
      </c>
      <c r="AI132" s="131">
        <f>IFERROR(__xludf.DUMMYFUNCTION("iferror(COUNT(filter($O136:$O$397,$O136:$O$397&gt;$O132,$E132:$E$397=$E$2)))"),0.0)</f>
        <v>0</v>
      </c>
      <c r="AJ132" s="133">
        <f t="shared" si="9"/>
        <v>0</v>
      </c>
      <c r="AK132" s="224">
        <f>IFERROR(__xludf.DUMMYFUNCTION("iferror($O132-min(filter($O132:$O$397,$E132:$E$397=$E$2)))"),1.0)</f>
        <v>1</v>
      </c>
      <c r="AL132" s="128" t="str">
        <f>IFERROR(__xludf.DUMMYFUNCTION("iferror(join("","",index(sort(filter($F136:$F$397,$O136:$O$397&gt;$O132,$E136:$E$397=$E$2),2,false),0,1)))"),"")</f>
        <v/>
      </c>
      <c r="AM132" s="128" t="str">
        <f>IFERROR(__xludf.DUMMYFUNCTION("REGEXREPLACE(join("","",unique({let(conf_picked,filter(E$1:E131,D$1:D131=D132),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32" s="132">
        <f>IFERROR(__xludf.DUMMYFUNCTION("iferror($O132-max(filter($O132:$O$397,arrayformula(isnumber(FIND($E132:$E$397,AM132))))))"),-6.0)</f>
        <v>-6</v>
      </c>
      <c r="AO132" s="131">
        <f t="array" ref="AO132">countifs($O$2:$O131,"&lt;"&amp;$O132,isnumber(FIND($E$2:$E131,AM132)),TRUE)</f>
        <v>5</v>
      </c>
      <c r="AP132" s="131">
        <f>IFERROR(__xludf.DUMMYFUNCTION("iferror(COUNT(filter($O136:$O$397,$O136:$O$397&gt;$O132,arrayformula(isnumber(FIND($E136:$E$397,AM132))))))"),0.0)</f>
        <v>0</v>
      </c>
      <c r="AQ132" s="133">
        <f t="shared" si="10"/>
        <v>0</v>
      </c>
      <c r="AR132" s="134">
        <f>IFERROR(__xludf.DUMMYFUNCTION("$O132-min(filter($O132:$O$397,arrayformula(isnumber(FIND($E132:$E$397,AM132)))))"),1.0)</f>
        <v>1</v>
      </c>
      <c r="AS132" s="128" t="str">
        <f>IFERROR(__xludf.DUMMYFUNCTION("iferror(join("","",index(sort(filter($F136:$F$397,$O136:$O$397&gt;$O132,arrayformula(isnumber(FIND($E136:$E$397,AM132)))),2,false),0,1)))"),"")</f>
        <v/>
      </c>
    </row>
    <row r="133">
      <c r="A133" s="23">
        <v>131.0</v>
      </c>
      <c r="B133" s="23">
        <v>11.0</v>
      </c>
      <c r="C133" s="23">
        <v>2.0</v>
      </c>
      <c r="D133" s="23" t="s">
        <v>274</v>
      </c>
      <c r="E133" s="143" t="str">
        <f>if(F133&lt;&gt;"",VLOOKUP(F133,offset('Teams-Conference'!A:B,0,(counta('Draft Order'!B$2:B134)-10)*2),2,0),"")</f>
        <v>Big 12</v>
      </c>
      <c r="F133" s="226" t="s">
        <v>276</v>
      </c>
      <c r="G133" s="138"/>
      <c r="H133" s="127">
        <f t="shared" si="29"/>
        <v>0</v>
      </c>
      <c r="I133" s="127">
        <f t="shared" si="30"/>
        <v>0</v>
      </c>
      <c r="J133" s="127">
        <f t="shared" si="11"/>
        <v>1</v>
      </c>
      <c r="K133" s="128"/>
      <c r="L133" s="127">
        <v>9.0</v>
      </c>
      <c r="M133" s="127">
        <f>IFERROR(__xludf.DUMMYFUNCTION("counta(iferror(filter(L$2:L132,E$2:E132=E133,L$2:L132&lt;L133)))"),10.0)</f>
        <v>10</v>
      </c>
      <c r="N133" s="127">
        <f>IFERROR(__xludf.DUMMYFUNCTION("counta(iferror(filter(L$131:L137,E$131:E137=E133,L$136:L137&gt;L133)))"),0.0)</f>
        <v>0</v>
      </c>
      <c r="O133" s="129">
        <f t="array" ref="O133:Z133">XLOOKUP(F133,'Current Week'!C:C,'Current Week'!D:O)</f>
        <v>9</v>
      </c>
      <c r="P133" s="127">
        <v>3.0</v>
      </c>
      <c r="Q133" s="128"/>
      <c r="R133" s="128"/>
      <c r="S133" s="128"/>
      <c r="T133" s="128"/>
      <c r="U133" s="128"/>
      <c r="V133" s="131"/>
      <c r="W133" s="128"/>
      <c r="X133" s="131"/>
      <c r="Y133" s="131"/>
      <c r="Z133" s="131"/>
      <c r="AA133" s="132">
        <f t="shared" si="4"/>
        <v>0</v>
      </c>
      <c r="AB133" s="131">
        <f t="shared" si="5"/>
        <v>101</v>
      </c>
      <c r="AC133" s="131">
        <f>IFERROR(__xludf.DUMMYFUNCTION("iferror(COUNT(filter($O137:$O$397,$O137:$O$397&gt;$O133)))"),0.0)</f>
        <v>0</v>
      </c>
      <c r="AD133" s="133">
        <f t="shared" si="6"/>
        <v>1</v>
      </c>
      <c r="AE133" s="134">
        <f t="shared" si="7"/>
        <v>8</v>
      </c>
      <c r="AF133" s="128" t="str">
        <f>IFERROR(__xludf.DUMMYFUNCTION("iferror(join("","",index(sort(filter($F137:$F$398,$O137:$O$398&gt;$O133),2,false),0,1)))"),"")</f>
        <v/>
      </c>
      <c r="AG133" s="223">
        <f>IFERROR(__xludf.DUMMYFUNCTION("iferror($O133-max(filter($O133:$O$397,$E133:$E$397=$E$2)))"),7.0)</f>
        <v>7</v>
      </c>
      <c r="AH133" s="131">
        <f t="shared" si="8"/>
        <v>8</v>
      </c>
      <c r="AI133" s="131">
        <f>IFERROR(__xludf.DUMMYFUNCTION("iferror(COUNT(filter($O137:$O$397,$O137:$O$397&gt;$O133,$E133:$E$397=$E$2)))"),0.0)</f>
        <v>0</v>
      </c>
      <c r="AJ133" s="133">
        <f t="shared" si="9"/>
        <v>0</v>
      </c>
      <c r="AK133" s="224">
        <f>IFERROR(__xludf.DUMMYFUNCTION("iferror($O133-min(filter($O133:$O$397,$E133:$E$397=$E$2)))"),7.0)</f>
        <v>7</v>
      </c>
      <c r="AL133" s="128" t="str">
        <f>IFERROR(__xludf.DUMMYFUNCTION("iferror(join("","",index(sort(filter($F137:$F$397,$O137:$O$397&gt;$O133,$E137:$E$397=$E$2),2,false),0,1)))"),"")</f>
        <v/>
      </c>
      <c r="AM133" s="128" t="str">
        <f>IFERROR(__xludf.DUMMYFUNCTION("REGEXREPLACE(join("","",unique({let(conf_picked,filter(E$1:E132,D$1:D132=D133),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33" s="132">
        <f>IFERROR(__xludf.DUMMYFUNCTION("iferror($O133-max(filter($O133:$O$397,arrayformula(isnumber(FIND($E133:$E$397,AM133))))))"),0.0)</f>
        <v>0</v>
      </c>
      <c r="AO133" s="131">
        <f t="array" ref="AO133">countifs($O$2:$O132,"&lt;"&amp;$O133,isnumber(FIND($E$2:$E132,AM133)),TRUE)</f>
        <v>90</v>
      </c>
      <c r="AP133" s="131">
        <f>IFERROR(__xludf.DUMMYFUNCTION("iferror(COUNT(filter($O137:$O$397,$O137:$O$397&gt;$O133,arrayformula(isnumber(FIND($E137:$E$397,AM133))))))"),0.0)</f>
        <v>0</v>
      </c>
      <c r="AQ133" s="133">
        <f t="shared" si="10"/>
        <v>1</v>
      </c>
      <c r="AR133" s="134">
        <f>IFERROR(__xludf.DUMMYFUNCTION("$O133-min(filter($O133:$O$397,arrayformula(isnumber(FIND($E133:$E$397,AM133)))))"),7.0)</f>
        <v>7</v>
      </c>
      <c r="AS133" s="128" t="str">
        <f>IFERROR(__xludf.DUMMYFUNCTION("iferror(join("","",index(sort(filter($F137:$F$397,$O137:$O$397&gt;$O133,arrayformula(isnumber(FIND($E137:$E$397,AM133)))),2,false),0,1)))"),"")</f>
        <v/>
      </c>
    </row>
    <row r="134">
      <c r="A134" s="23">
        <v>131.0</v>
      </c>
      <c r="B134" s="23">
        <v>11.0</v>
      </c>
      <c r="C134" s="23">
        <v>3.0</v>
      </c>
      <c r="D134" s="23" t="s">
        <v>274</v>
      </c>
      <c r="E134" s="143" t="str">
        <f>if(F134&lt;&gt;"",VLOOKUP(F134,offset('Teams-Conference'!A:B,0,(counta('Draft Order'!B$2:B134)-10)*2),2,0),"")</f>
        <v>SEC</v>
      </c>
      <c r="F134" s="226" t="s">
        <v>277</v>
      </c>
      <c r="G134" s="138"/>
      <c r="H134" s="127">
        <f t="shared" si="29"/>
        <v>0</v>
      </c>
      <c r="I134" s="127">
        <f t="shared" si="30"/>
        <v>0</v>
      </c>
      <c r="J134" s="127">
        <f t="shared" si="11"/>
        <v>1</v>
      </c>
      <c r="K134" s="128"/>
      <c r="L134" s="127">
        <v>2.0</v>
      </c>
      <c r="M134" s="127">
        <f>IFERROR(__xludf.DUMMYFUNCTION("counta(iferror(filter(L$2:L133,E$2:E133=E134,L$2:L133&lt;L134)))"),0.0)</f>
        <v>0</v>
      </c>
      <c r="N134" s="127">
        <f>IFERROR(__xludf.DUMMYFUNCTION("counta(iferror(filter(L$131:L138,E$131:E138=E134,L$136:L138&gt;L134)))"),0.0)</f>
        <v>0</v>
      </c>
      <c r="O134" s="129">
        <f t="array" ref="O134:Z134">XLOOKUP(F134,'Current Week'!C:C,'Current Week'!D:O)</f>
        <v>2</v>
      </c>
      <c r="P134" s="127">
        <v>10.0</v>
      </c>
      <c r="Q134" s="128"/>
      <c r="R134" s="128"/>
      <c r="S134" s="128"/>
      <c r="T134" s="128"/>
      <c r="U134" s="128"/>
      <c r="V134" s="131"/>
      <c r="W134" s="128"/>
      <c r="X134" s="131"/>
      <c r="Y134" s="131"/>
      <c r="Z134" s="131"/>
      <c r="AA134" s="132">
        <f t="shared" si="4"/>
        <v>0</v>
      </c>
      <c r="AB134" s="131">
        <f t="shared" si="5"/>
        <v>1</v>
      </c>
      <c r="AC134" s="131">
        <f>IFERROR(__xludf.DUMMYFUNCTION("iferror(COUNT(filter($O138:$O$397,$O138:$O$397&gt;$O134)))"),0.0)</f>
        <v>0</v>
      </c>
      <c r="AD134" s="133">
        <f t="shared" si="6"/>
        <v>1</v>
      </c>
      <c r="AE134" s="134">
        <f t="shared" si="7"/>
        <v>1</v>
      </c>
      <c r="AF134" s="128" t="str">
        <f>IFERROR(__xludf.DUMMYFUNCTION("iferror(join("","",index(sort(filter($F138:$F$398,$O138:$O$398&gt;$O134),2,false),0,1)))"),"")</f>
        <v/>
      </c>
      <c r="AG134" s="223">
        <f>IFERROR(__xludf.DUMMYFUNCTION("iferror($O134-max(filter($O134:$O$397,$E134:$E$397=$E$2)))"),0.0)</f>
        <v>0</v>
      </c>
      <c r="AH134" s="131">
        <f t="shared" si="8"/>
        <v>0</v>
      </c>
      <c r="AI134" s="131">
        <f>IFERROR(__xludf.DUMMYFUNCTION("iferror(COUNT(filter($O138:$O$397,$O138:$O$397&gt;$O134,$E134:$E$397=$E$2)))"),0.0)</f>
        <v>0</v>
      </c>
      <c r="AJ134" s="133">
        <f t="shared" si="9"/>
        <v>1</v>
      </c>
      <c r="AK134" s="224">
        <f>IFERROR(__xludf.DUMMYFUNCTION("iferror($O134-min(filter($O134:$O$397,$E134:$E$397=$E$2)))"),0.0)</f>
        <v>0</v>
      </c>
      <c r="AL134" s="128" t="str">
        <f>IFERROR(__xludf.DUMMYFUNCTION("iferror(join("","",index(sort(filter($F138:$F$397,$O138:$O$397&gt;$O134,$E138:$E$397=$E$2),2,false),0,1)))"),"")</f>
        <v/>
      </c>
      <c r="AM134" s="128" t="str">
        <f>IFERROR(__xludf.DUMMYFUNCTION("REGEXREPLACE(join("","",unique({let(conf_picked,filter(E$1:E133,D$1:D133=D134), byrow(unique(TRANSPOSe(Teams!$1:$1)),lambda(rw,if(ISERROR(match(rw,conf_picked,0)),rw,))));iferror(if(#REF!,,transpose(split(#REF!,"","",1,1))))})), ""^,"", """")"),"AAC,,Big Ten,CUSA,MAC,MWC,Pac12,SEC,Sun Belt")</f>
        <v>AAC,,Big Ten,CUSA,MAC,MWC,Pac12,SEC,Sun Belt</v>
      </c>
      <c r="AN134" s="132">
        <f>IFERROR(__xludf.DUMMYFUNCTION("iferror($O134-max(filter($O134:$O$397,arrayformula(isnumber(FIND($E134:$E$397,AM134))))))"),0.0)</f>
        <v>0</v>
      </c>
      <c r="AO134" s="131">
        <f t="array" ref="AO134">countifs($O$2:$O133,"&lt;"&amp;$O134,isnumber(FIND($E$2:$E133,AM134)),TRUE)</f>
        <v>1</v>
      </c>
      <c r="AP134" s="131">
        <f>IFERROR(__xludf.DUMMYFUNCTION("iferror(COUNT(filter($O138:$O$397,$O138:$O$397&gt;$O134,arrayformula(isnumber(FIND($E138:$E$397,AM134))))))"),0.0)</f>
        <v>0</v>
      </c>
      <c r="AQ134" s="133">
        <f t="shared" si="10"/>
        <v>1</v>
      </c>
      <c r="AR134" s="134">
        <f>IFERROR(__xludf.DUMMYFUNCTION("$O134-min(filter($O134:$O$397,arrayformula(isnumber(FIND($E134:$E$397,AM134)))))"),0.0)</f>
        <v>0</v>
      </c>
      <c r="AS134" s="128" t="str">
        <f>IFERROR(__xludf.DUMMYFUNCTION("iferror(join("","",index(sort(filter($F138:$F$397,$O138:$O$397&gt;$O134,arrayformula(isnumber(FIND($E138:$E$397,AM134)))),2,false),0,1)))"),"")</f>
        <v/>
      </c>
    </row>
  </sheetData>
  <autoFilter ref="$A$1:$F$134"/>
  <customSheetViews>
    <customSheetView guid="{4FA24A79-F679-4038-8F69-BBB46B1F8264}" filter="1" showAutoFilter="1">
      <autoFilter ref="$B$1:$G$120"/>
    </customSheetView>
  </customSheetViews>
  <conditionalFormatting sqref="F87 F115 F122">
    <cfRule type="expression" dxfId="10" priority="1">
      <formula>vlookup</formula>
    </cfRule>
  </conditionalFormatting>
  <conditionalFormatting sqref="A1 F4:F5 F7 F17:F18 F20 F24 F30:F31 F33 F43:F44 F46 F56:F57 F59 F69:F70 F72 F82:F83 F85 F87 F96 F98 F108:F109 F111 F115:F117 F120:F126">
    <cfRule type="containsBlanks" dxfId="7" priority="2">
      <formula>LEN(TRIM(A1))=0</formula>
    </cfRule>
  </conditionalFormatting>
  <conditionalFormatting sqref="A1 F4:F5 F7 F17:F18 F20 F24 F30:F31 F33 F43:F44 F46 F56:F57 F59 F69:F70 F72 F82:F83 F85 F87 F96 F98 F108:F109 F111 F115:F117 F120:F126">
    <cfRule type="expression" dxfId="9" priority="3">
      <formula>#REF!&lt;&gt;A$1</formula>
    </cfRule>
  </conditionalFormatting>
  <dataValidations>
    <dataValidation type="list" allowBlank="1" showErrorMessage="1" sqref="F2:F134">
      <formula1>'Teams-Conference'!$A$2:$A134</formula1>
    </dataValidation>
  </dataValidations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t="str">
        <f>IFERROR(__xludf.DUMMYFUNCTION("ARRAYFORMULA(filter('ESPN rankings import'!N4:P150,'ESPN rankings import'!N4:N150&lt;&gt;""""))"),"Team")</f>
        <v>Team</v>
      </c>
      <c r="B1" t="str">
        <f>IFERROR(__xludf.DUMMYFUNCTION("""COMPUTED_VALUE"""),"CONF")</f>
        <v>CONF</v>
      </c>
      <c r="C1" t="str">
        <f>IFERROR(__xludf.DUMMYFUNCTION("""COMPUTED_VALUE"""),"Proj W")</f>
        <v>Proj W</v>
      </c>
      <c r="D1" s="23" t="s">
        <v>3</v>
      </c>
      <c r="E1" s="23" t="s">
        <v>278</v>
      </c>
      <c r="I1" s="23" t="s">
        <v>3</v>
      </c>
      <c r="J1" s="23" t="s">
        <v>279</v>
      </c>
      <c r="K1" s="23" t="s">
        <v>280</v>
      </c>
    </row>
    <row r="2">
      <c r="A2" t="str">
        <f>IFERROR(__xludf.DUMMYFUNCTION("""COMPUTED_VALUE"""),"Ohio State Buckeyes")</f>
        <v>Ohio State Buckeyes</v>
      </c>
      <c r="B2" s="106" t="str">
        <f>IFERROR(__xludf.DUMMYFUNCTION("""COMPUTED_VALUE"""),"Big Ten")</f>
        <v>Big Ten</v>
      </c>
      <c r="C2" s="106">
        <f>IFERROR(__xludf.DUMMYFUNCTION("""COMPUTED_VALUE"""),9.812)</f>
        <v>9.812</v>
      </c>
      <c r="D2" s="23" t="s">
        <v>281</v>
      </c>
      <c r="E2" s="23" t="s">
        <v>282</v>
      </c>
      <c r="F2">
        <f t="shared" ref="F2:F134" si="1">match(D2,H:H,0)</f>
        <v>78</v>
      </c>
      <c r="H2" t="s">
        <v>283</v>
      </c>
      <c r="I2" t="str">
        <f>offset(Translation!$A$5,0,match($H2,Translation!$A$6:$FH$6,0)-1)</f>
        <v>Air Force</v>
      </c>
      <c r="J2">
        <f t="shared" ref="J2:J134" si="2">iferror(vlookup(H2,A:C,3,0),vlookup(H2,D:E,2,0))</f>
        <v>7.1</v>
      </c>
      <c r="K2" t="str">
        <f>iferror(offset(DraftTracker!D$1,match(I2,DraftTracker!F:F,0)-1,0),"undrafted")</f>
        <v>Jeannine</v>
      </c>
    </row>
    <row r="3">
      <c r="A3" t="str">
        <f>IFERROR(__xludf.DUMMYFUNCTION("""COMPUTED_VALUE"""),"Texas Longhorns")</f>
        <v>Texas Longhorns</v>
      </c>
      <c r="B3" s="106" t="str">
        <f>IFERROR(__xludf.DUMMYFUNCTION("""COMPUTED_VALUE"""),"SEC")</f>
        <v>SEC</v>
      </c>
      <c r="C3" s="106">
        <f>IFERROR(__xludf.DUMMYFUNCTION("""COMPUTED_VALUE"""),9.503)</f>
        <v>9.503</v>
      </c>
      <c r="D3" s="23" t="s">
        <v>284</v>
      </c>
      <c r="E3" s="23" t="s">
        <v>282</v>
      </c>
      <c r="F3">
        <f t="shared" si="1"/>
        <v>61</v>
      </c>
      <c r="H3" t="s">
        <v>285</v>
      </c>
      <c r="I3" t="str">
        <f>offset(Translation!$A$5,0,match($H3,Translation!$A$6:$FH$6,0)-1)</f>
        <v>Akron</v>
      </c>
      <c r="J3">
        <f t="shared" si="2"/>
        <v>4.384</v>
      </c>
      <c r="K3" t="str">
        <f>iferror(offset(DraftTracker!D$1,match(I3,DraftTracker!F:F,0)-1,0),"undrafted")</f>
        <v>Vu</v>
      </c>
    </row>
    <row r="4">
      <c r="A4" t="str">
        <f>IFERROR(__xludf.DUMMYFUNCTION("""COMPUTED_VALUE"""),"Notre Dame Fighting Irish")</f>
        <v>Notre Dame Fighting Irish</v>
      </c>
      <c r="B4" s="106" t="str">
        <f>IFERROR(__xludf.DUMMYFUNCTION("""COMPUTED_VALUE"""),"FBS Indep.")</f>
        <v>FBS Indep.</v>
      </c>
      <c r="C4" s="106">
        <f>IFERROR(__xludf.DUMMYFUNCTION("""COMPUTED_VALUE"""),10.7)</f>
        <v>10.7</v>
      </c>
      <c r="D4" s="23" t="s">
        <v>286</v>
      </c>
      <c r="E4" s="23" t="s">
        <v>287</v>
      </c>
      <c r="F4">
        <f t="shared" si="1"/>
        <v>83</v>
      </c>
      <c r="H4" t="s">
        <v>288</v>
      </c>
      <c r="I4" t="str">
        <f>offset(Translation!$A$5,0,match($H4,Translation!$A$6:$FH$6,0)-1)</f>
        <v>Alabama</v>
      </c>
      <c r="J4">
        <f t="shared" si="2"/>
        <v>8.497</v>
      </c>
      <c r="K4" t="str">
        <f>iferror(offset(DraftTracker!D$1,match(I4,DraftTracker!F:F,0)-1,0),"undrafted")</f>
        <v>DavEmily</v>
      </c>
    </row>
    <row r="5">
      <c r="A5" t="str">
        <f>IFERROR(__xludf.DUMMYFUNCTION("""COMPUTED_VALUE"""),"Oregon Ducks")</f>
        <v>Oregon Ducks</v>
      </c>
      <c r="B5" s="106" t="str">
        <f>IFERROR(__xludf.DUMMYFUNCTION("""COMPUTED_VALUE"""),"Big Ten")</f>
        <v>Big Ten</v>
      </c>
      <c r="C5" s="106">
        <f>IFERROR(__xludf.DUMMYFUNCTION("""COMPUTED_VALUE"""),9.957999999999998)</f>
        <v>9.958</v>
      </c>
      <c r="D5" s="23" t="s">
        <v>289</v>
      </c>
      <c r="E5" s="23" t="s">
        <v>282</v>
      </c>
      <c r="F5">
        <f t="shared" si="1"/>
        <v>85</v>
      </c>
      <c r="H5" t="s">
        <v>290</v>
      </c>
      <c r="I5" t="str">
        <f>offset(Translation!$A$5,0,match($H5,Translation!$A$6:$FH$6,0)-1)</f>
        <v>Appalachian State</v>
      </c>
      <c r="J5" t="str">
        <f t="shared" si="2"/>
        <v>Sun Belt</v>
      </c>
      <c r="K5" t="str">
        <f>iferror(offset(DraftTracker!D$1,match(I5,DraftTracker!F:F,0)-1,0),"undrafted")</f>
        <v>Nick G.</v>
      </c>
    </row>
    <row r="6">
      <c r="A6" t="str">
        <f>IFERROR(__xludf.DUMMYFUNCTION("""COMPUTED_VALUE"""),"Georgia Bulldogs")</f>
        <v>Georgia Bulldogs</v>
      </c>
      <c r="B6" s="106" t="str">
        <f>IFERROR(__xludf.DUMMYFUNCTION("""COMPUTED_VALUE"""),"SEC")</f>
        <v>SEC</v>
      </c>
      <c r="C6" s="106">
        <f>IFERROR(__xludf.DUMMYFUNCTION("""COMPUTED_VALUE"""),9.667)</f>
        <v>9.667</v>
      </c>
      <c r="D6" s="23" t="s">
        <v>291</v>
      </c>
      <c r="E6" s="23" t="s">
        <v>292</v>
      </c>
      <c r="F6">
        <f t="shared" si="1"/>
        <v>35</v>
      </c>
      <c r="H6" t="s">
        <v>293</v>
      </c>
      <c r="I6" t="str">
        <f>offset(Translation!$A$5,0,match($H6,Translation!$A$6:$FH$6,0)-1)</f>
        <v>Arizona State</v>
      </c>
      <c r="J6">
        <f t="shared" si="2"/>
        <v>5.977</v>
      </c>
      <c r="K6" t="str">
        <f>iferror(offset(DraftTracker!D$1,match(I6,DraftTracker!F:F,0)-1,0),"undrafted")</f>
        <v>DavEmily</v>
      </c>
    </row>
    <row r="7">
      <c r="A7" t="str">
        <f>IFERROR(__xludf.DUMMYFUNCTION("""COMPUTED_VALUE"""),"Indiana Hoosiers")</f>
        <v>Indiana Hoosiers</v>
      </c>
      <c r="B7" s="106" t="str">
        <f>IFERROR(__xludf.DUMMYFUNCTION("""COMPUTED_VALUE"""),"Big Ten")</f>
        <v>Big Ten</v>
      </c>
      <c r="C7" s="106">
        <f>IFERROR(__xludf.DUMMYFUNCTION("""COMPUTED_VALUE"""),9.913)</f>
        <v>9.913</v>
      </c>
      <c r="D7" s="23" t="s">
        <v>288</v>
      </c>
      <c r="E7" s="23" t="s">
        <v>292</v>
      </c>
      <c r="F7">
        <f t="shared" si="1"/>
        <v>4</v>
      </c>
      <c r="H7" t="s">
        <v>294</v>
      </c>
      <c r="I7" t="str">
        <f>offset(Translation!$A$5,0,match($H7,Translation!$A$6:$FH$6,0)-1)</f>
        <v>Arizona</v>
      </c>
      <c r="J7">
        <f t="shared" si="2"/>
        <v>7.258</v>
      </c>
      <c r="K7" t="str">
        <f>iferror(offset(DraftTracker!D$1,match(I7,DraftTracker!F:F,0)-1,0),"undrafted")</f>
        <v>Masa</v>
      </c>
    </row>
    <row r="8">
      <c r="A8" t="str">
        <f>IFERROR(__xludf.DUMMYFUNCTION("""COMPUTED_VALUE"""),"Miami Hurricanes")</f>
        <v>Miami Hurricanes</v>
      </c>
      <c r="B8" s="106" t="str">
        <f>IFERROR(__xludf.DUMMYFUNCTION("""COMPUTED_VALUE"""),"ACC")</f>
        <v>ACC</v>
      </c>
      <c r="C8" s="106">
        <f>IFERROR(__xludf.DUMMYFUNCTION("""COMPUTED_VALUE"""),9.897)</f>
        <v>9.897</v>
      </c>
      <c r="D8" s="23" t="s">
        <v>295</v>
      </c>
      <c r="E8" s="23" t="s">
        <v>296</v>
      </c>
      <c r="F8">
        <f t="shared" si="1"/>
        <v>103</v>
      </c>
      <c r="H8" t="s">
        <v>297</v>
      </c>
      <c r="I8" t="str">
        <f>offset(Translation!$A$5,0,match($H8,Translation!$A$6:$FH$6,0)-1)</f>
        <v>Arkansas</v>
      </c>
      <c r="J8">
        <f t="shared" si="2"/>
        <v>4.299</v>
      </c>
      <c r="K8" t="str">
        <f>iferror(offset(DraftTracker!D$1,match(I8,DraftTracker!F:F,0)-1,0),"undrafted")</f>
        <v>Josh</v>
      </c>
    </row>
    <row r="9">
      <c r="A9" t="str">
        <f>IFERROR(__xludf.DUMMYFUNCTION("""COMPUTED_VALUE"""),"Alabama Crimson Tide")</f>
        <v>Alabama Crimson Tide</v>
      </c>
      <c r="B9" s="106" t="str">
        <f>IFERROR(__xludf.DUMMYFUNCTION("""COMPUTED_VALUE"""),"SEC")</f>
        <v>SEC</v>
      </c>
      <c r="C9" s="106">
        <f>IFERROR(__xludf.DUMMYFUNCTION("""COMPUTED_VALUE"""),8.497)</f>
        <v>8.497</v>
      </c>
      <c r="D9" s="23" t="s">
        <v>298</v>
      </c>
      <c r="E9" s="23" t="s">
        <v>296</v>
      </c>
      <c r="F9">
        <f t="shared" si="1"/>
        <v>79</v>
      </c>
      <c r="H9" t="s">
        <v>299</v>
      </c>
      <c r="I9" t="str">
        <f>offset(Translation!$A$5,0,match($H9,Translation!$A$6:$FH$6,0)-1)</f>
        <v>Arkansas State</v>
      </c>
      <c r="J9">
        <f t="shared" si="2"/>
        <v>6.139</v>
      </c>
      <c r="K9" t="str">
        <f>iferror(offset(DraftTracker!D$1,match(I9,DraftTracker!F:F,0)-1,0),"undrafted")</f>
        <v>Jeannine</v>
      </c>
    </row>
    <row r="10">
      <c r="A10" t="str">
        <f>IFERROR(__xludf.DUMMYFUNCTION("""COMPUTED_VALUE"""),"LSU Tigers")</f>
        <v>LSU Tigers</v>
      </c>
      <c r="B10" s="106" t="str">
        <f>IFERROR(__xludf.DUMMYFUNCTION("""COMPUTED_VALUE"""),"SEC")</f>
        <v>SEC</v>
      </c>
      <c r="C10" s="106">
        <f>IFERROR(__xludf.DUMMYFUNCTION("""COMPUTED_VALUE"""),8.312000000000001)</f>
        <v>8.312</v>
      </c>
      <c r="D10" s="23" t="s">
        <v>300</v>
      </c>
      <c r="E10" s="23" t="s">
        <v>301</v>
      </c>
      <c r="F10">
        <f t="shared" si="1"/>
        <v>33</v>
      </c>
      <c r="H10" t="s">
        <v>302</v>
      </c>
      <c r="I10" t="str">
        <f>offset(Translation!$A$5,0,match($H10,Translation!$A$6:$FH$6,0)-1)</f>
        <v>Army</v>
      </c>
      <c r="J10">
        <f t="shared" si="2"/>
        <v>6.35</v>
      </c>
      <c r="K10" t="str">
        <f>iferror(offset(DraftTracker!D$1,match(I10,DraftTracker!F:F,0)-1,0),"undrafted")</f>
        <v>Nick A.</v>
      </c>
    </row>
    <row r="11">
      <c r="A11" t="str">
        <f>IFERROR(__xludf.DUMMYFUNCTION("""COMPUTED_VALUE"""),"Texas Tech Red Raiders")</f>
        <v>Texas Tech Red Raiders</v>
      </c>
      <c r="B11" s="106" t="str">
        <f>IFERROR(__xludf.DUMMYFUNCTION("""COMPUTED_VALUE"""),"Big 12")</f>
        <v>Big 12</v>
      </c>
      <c r="C11" s="106">
        <f>IFERROR(__xludf.DUMMYFUNCTION("""COMPUTED_VALUE"""),10.341000000000001)</f>
        <v>10.341</v>
      </c>
      <c r="D11" s="23" t="s">
        <v>303</v>
      </c>
      <c r="E11" s="23" t="s">
        <v>292</v>
      </c>
      <c r="F11">
        <f t="shared" si="1"/>
        <v>54</v>
      </c>
      <c r="H11" t="s">
        <v>304</v>
      </c>
      <c r="I11" t="str">
        <f>offset(Translation!$A$5,0,match($H11,Translation!$A$6:$FH$6,0)-1)</f>
        <v>Auburn</v>
      </c>
      <c r="J11">
        <f t="shared" si="2"/>
        <v>6.586</v>
      </c>
      <c r="K11" t="str">
        <f>iferror(offset(DraftTracker!D$1,match(I11,DraftTracker!F:F,0)-1,0),"undrafted")</f>
        <v>Janice/Mike</v>
      </c>
    </row>
    <row r="12">
      <c r="A12" t="str">
        <f>IFERROR(__xludf.DUMMYFUNCTION("""COMPUTED_VALUE"""),"Texas A&amp;M Aggies")</f>
        <v>Texas A&amp;M Aggies</v>
      </c>
      <c r="B12" s="106" t="str">
        <f>IFERROR(__xludf.DUMMYFUNCTION("""COMPUTED_VALUE"""),"SEC")</f>
        <v>SEC</v>
      </c>
      <c r="C12" s="106">
        <f>IFERROR(__xludf.DUMMYFUNCTION("""COMPUTED_VALUE"""),8.316)</f>
        <v>8.316</v>
      </c>
      <c r="D12" s="23" t="s">
        <v>305</v>
      </c>
      <c r="E12" s="23" t="s">
        <v>306</v>
      </c>
      <c r="F12">
        <f t="shared" si="1"/>
        <v>76</v>
      </c>
      <c r="H12" t="s">
        <v>307</v>
      </c>
      <c r="I12" t="str">
        <f>offset(Translation!$A$5,0,match($H12,Translation!$A$6:$FH$6,0)-1)</f>
        <v>Ball State</v>
      </c>
      <c r="J12" t="str">
        <f t="shared" si="2"/>
        <v/>
      </c>
      <c r="K12" t="str">
        <f>iferror(offset(DraftTracker!D$1,match(I12,DraftTracker!F:F,0)-1,0),"undrafted")</f>
        <v>DavEmily</v>
      </c>
    </row>
    <row r="13">
      <c r="A13" t="str">
        <f>IFERROR(__xludf.DUMMYFUNCTION("""COMPUTED_VALUE"""),"Oklahoma Sooners")</f>
        <v>Oklahoma Sooners</v>
      </c>
      <c r="B13" s="106" t="str">
        <f>IFERROR(__xludf.DUMMYFUNCTION("""COMPUTED_VALUE"""),"SEC")</f>
        <v>SEC</v>
      </c>
      <c r="C13" s="106">
        <f>IFERROR(__xludf.DUMMYFUNCTION("""COMPUTED_VALUE"""),7.446)</f>
        <v>7.446</v>
      </c>
      <c r="D13" s="23" t="s">
        <v>308</v>
      </c>
      <c r="E13" s="23" t="s">
        <v>296</v>
      </c>
      <c r="F13">
        <f t="shared" si="1"/>
        <v>47</v>
      </c>
      <c r="H13" t="s">
        <v>309</v>
      </c>
      <c r="I13" t="str">
        <f>offset(Translation!$A$5,0,match($H13,Translation!$A$6:$FH$6,0)-1)</f>
        <v>Baylor</v>
      </c>
      <c r="J13">
        <f t="shared" si="2"/>
        <v>6.568</v>
      </c>
      <c r="K13" t="str">
        <f>iferror(offset(DraftTracker!D$1,match(I13,DraftTracker!F:F,0)-1,0),"undrafted")</f>
        <v>Nico</v>
      </c>
    </row>
    <row r="14">
      <c r="A14" t="str">
        <f>IFERROR(__xludf.DUMMYFUNCTION("""COMPUTED_VALUE"""),"USC Trojans")</f>
        <v>USC Trojans</v>
      </c>
      <c r="B14" s="106" t="str">
        <f>IFERROR(__xludf.DUMMYFUNCTION("""COMPUTED_VALUE"""),"Big Ten")</f>
        <v>Big Ten</v>
      </c>
      <c r="C14" s="106">
        <f>IFERROR(__xludf.DUMMYFUNCTION("""COMPUTED_VALUE"""),8.149)</f>
        <v>8.149</v>
      </c>
      <c r="D14" s="23" t="s">
        <v>310</v>
      </c>
      <c r="E14" s="23" t="s">
        <v>287</v>
      </c>
      <c r="F14">
        <f t="shared" si="1"/>
        <v>126</v>
      </c>
      <c r="H14" t="s">
        <v>311</v>
      </c>
      <c r="I14" t="str">
        <f>offset(Translation!$A$5,0,match($H14,Translation!$A$6:$FH$6,0)-1)</f>
        <v>Boise State</v>
      </c>
      <c r="J14">
        <f t="shared" si="2"/>
        <v>7.436</v>
      </c>
      <c r="K14" t="str">
        <f>iferror(offset(DraftTracker!D$1,match(I14,DraftTracker!F:F,0)-1,0),"undrafted")</f>
        <v>Nico</v>
      </c>
    </row>
    <row r="15">
      <c r="A15" t="str">
        <f>IFERROR(__xludf.DUMMYFUNCTION("""COMPUTED_VALUE"""),"Ole Miss Rebels")</f>
        <v>Ole Miss Rebels</v>
      </c>
      <c r="B15" s="106" t="str">
        <f>IFERROR(__xludf.DUMMYFUNCTION("""COMPUTED_VALUE"""),"SEC")</f>
        <v>SEC</v>
      </c>
      <c r="C15" s="106">
        <f>IFERROR(__xludf.DUMMYFUNCTION("""COMPUTED_VALUE"""),7.263)</f>
        <v>7.263</v>
      </c>
      <c r="D15" s="23" t="s">
        <v>312</v>
      </c>
      <c r="E15" s="23" t="s">
        <v>292</v>
      </c>
      <c r="F15">
        <f t="shared" si="1"/>
        <v>102</v>
      </c>
      <c r="H15" t="s">
        <v>313</v>
      </c>
      <c r="I15" t="str">
        <f>offset(Translation!$A$5,0,match($H15,Translation!$A$6:$FH$6,0)-1)</f>
        <v>Boston College</v>
      </c>
      <c r="J15">
        <f t="shared" si="2"/>
        <v>3.999</v>
      </c>
      <c r="K15" t="str">
        <f>iferror(offset(DraftTracker!D$1,match(I15,DraftTracker!F:F,0)-1,0),"undrafted")</f>
        <v>Brad</v>
      </c>
    </row>
    <row r="16">
      <c r="A16" t="str">
        <f>IFERROR(__xludf.DUMMYFUNCTION("""COMPUTED_VALUE"""),"Michigan Wolverines")</f>
        <v>Michigan Wolverines</v>
      </c>
      <c r="B16" s="106" t="str">
        <f>IFERROR(__xludf.DUMMYFUNCTION("""COMPUTED_VALUE"""),"Big Ten")</f>
        <v>Big Ten</v>
      </c>
      <c r="C16" s="106">
        <f>IFERROR(__xludf.DUMMYFUNCTION("""COMPUTED_VALUE"""),7.762)</f>
        <v>7.762</v>
      </c>
      <c r="D16" s="23" t="s">
        <v>314</v>
      </c>
      <c r="E16" s="23" t="s">
        <v>292</v>
      </c>
      <c r="F16">
        <f t="shared" si="1"/>
        <v>82</v>
      </c>
      <c r="H16" t="s">
        <v>315</v>
      </c>
      <c r="I16" t="str">
        <f>offset(Translation!$A$5,0,match($H16,Translation!$A$6:$FH$6,0)-1)</f>
        <v>Bowling Green</v>
      </c>
      <c r="J16">
        <f t="shared" si="2"/>
        <v>4.67</v>
      </c>
      <c r="K16" t="str">
        <f>iferror(offset(DraftTracker!D$1,match(I16,DraftTracker!F:F,0)-1,0),"undrafted")</f>
        <v>Masa</v>
      </c>
    </row>
    <row r="17">
      <c r="A17" t="str">
        <f>IFERROR(__xludf.DUMMYFUNCTION("""COMPUTED_VALUE"""),"Tennessee Volunteers")</f>
        <v>Tennessee Volunteers</v>
      </c>
      <c r="B17" s="106" t="str">
        <f>IFERROR(__xludf.DUMMYFUNCTION("""COMPUTED_VALUE"""),"SEC")</f>
        <v>SEC</v>
      </c>
      <c r="C17" s="106">
        <f>IFERROR(__xludf.DUMMYFUNCTION("""COMPUTED_VALUE"""),7.269)</f>
        <v>7.269</v>
      </c>
      <c r="D17" s="23" t="s">
        <v>316</v>
      </c>
      <c r="E17" s="23" t="s">
        <v>292</v>
      </c>
      <c r="F17">
        <f t="shared" si="1"/>
        <v>65</v>
      </c>
      <c r="H17" t="s">
        <v>317</v>
      </c>
      <c r="I17" t="str">
        <f>offset(Translation!$A$5,0,match($H17,Translation!$A$6:$FH$6,0)-1)</f>
        <v>Buffalo</v>
      </c>
      <c r="J17">
        <f t="shared" si="2"/>
        <v>6.541</v>
      </c>
      <c r="K17" t="str">
        <f>iferror(offset(DraftTracker!D$1,match(I17,DraftTracker!F:F,0)-1,0),"undrafted")</f>
        <v>Dan</v>
      </c>
    </row>
    <row r="18">
      <c r="A18" t="str">
        <f>IFERROR(__xludf.DUMMYFUNCTION("""COMPUTED_VALUE"""),"Penn State Nittany Lions")</f>
        <v>Penn State Nittany Lions</v>
      </c>
      <c r="B18" s="106" t="str">
        <f>IFERROR(__xludf.DUMMYFUNCTION("""COMPUTED_VALUE"""),"Big Ten")</f>
        <v>Big Ten</v>
      </c>
      <c r="C18" s="106">
        <f>IFERROR(__xludf.DUMMYFUNCTION("""COMPUTED_VALUE"""),8.955)</f>
        <v>8.955</v>
      </c>
      <c r="D18" s="23" t="s">
        <v>318</v>
      </c>
      <c r="E18" s="23" t="s">
        <v>292</v>
      </c>
      <c r="F18">
        <f t="shared" si="1"/>
        <v>101</v>
      </c>
      <c r="H18" t="s">
        <v>319</v>
      </c>
      <c r="I18" t="str">
        <f>offset(Translation!$A$5,0,match($H18,Translation!$A$6:$FH$6,0)-1)</f>
        <v>BYU</v>
      </c>
      <c r="J18">
        <f t="shared" si="2"/>
        <v>8.535</v>
      </c>
      <c r="K18" t="str">
        <f>iferror(offset(DraftTracker!D$1,match(I18,DraftTracker!F:F,0)-1,0),"undrafted")</f>
        <v>Janice/Mike</v>
      </c>
    </row>
    <row r="19">
      <c r="A19" t="str">
        <f>IFERROR(__xludf.DUMMYFUNCTION("""COMPUTED_VALUE"""),"Florida Gators")</f>
        <v>Florida Gators</v>
      </c>
      <c r="B19" s="106" t="str">
        <f>IFERROR(__xludf.DUMMYFUNCTION("""COMPUTED_VALUE"""),"SEC")</f>
        <v>SEC</v>
      </c>
      <c r="C19" s="106">
        <f>IFERROR(__xludf.DUMMYFUNCTION("""COMPUTED_VALUE"""),6.680000000000001)</f>
        <v>6.68</v>
      </c>
      <c r="D19" s="23" t="s">
        <v>320</v>
      </c>
      <c r="E19" s="23" t="s">
        <v>287</v>
      </c>
      <c r="F19">
        <f t="shared" si="1"/>
        <v>84</v>
      </c>
      <c r="H19" t="s">
        <v>321</v>
      </c>
      <c r="I19" t="str">
        <f>offset(Translation!$A$5,0,match($H19,Translation!$A$6:$FH$6,0)-1)</f>
        <v>California</v>
      </c>
      <c r="J19">
        <f t="shared" si="2"/>
        <v>5.595</v>
      </c>
      <c r="K19" t="str">
        <f>iferror(offset(DraftTracker!D$1,match(I19,DraftTracker!F:F,0)-1,0),"undrafted")</f>
        <v>Jeannine</v>
      </c>
    </row>
    <row r="20">
      <c r="A20" t="str">
        <f>IFERROR(__xludf.DUMMYFUNCTION("""COMPUTED_VALUE"""),"Clemson Tigers")</f>
        <v>Clemson Tigers</v>
      </c>
      <c r="B20" s="106" t="str">
        <f>IFERROR(__xludf.DUMMYFUNCTION("""COMPUTED_VALUE"""),"ACC")</f>
        <v>ACC</v>
      </c>
      <c r="C20" s="106">
        <f>IFERROR(__xludf.DUMMYFUNCTION("""COMPUTED_VALUE"""),7.981)</f>
        <v>7.981</v>
      </c>
      <c r="D20" s="23" t="s">
        <v>322</v>
      </c>
      <c r="E20" s="23" t="s">
        <v>301</v>
      </c>
      <c r="F20">
        <f t="shared" si="1"/>
        <v>23</v>
      </c>
      <c r="H20" t="s">
        <v>323</v>
      </c>
      <c r="I20" t="str">
        <f>offset(Translation!$A$5,0,match($H20,Translation!$A$6:$FH$6,0)-1)</f>
        <v>Central Michigan</v>
      </c>
      <c r="J20">
        <f t="shared" si="2"/>
        <v>5.555</v>
      </c>
      <c r="K20" t="str">
        <f>iferror(offset(DraftTracker!D$1,match(I20,DraftTracker!F:F,0)-1,0),"undrafted")</f>
        <v>Gary</v>
      </c>
    </row>
    <row r="21">
      <c r="A21" t="str">
        <f>IFERROR(__xludf.DUMMYFUNCTION("""COMPUTED_VALUE"""),"BYU Cougars")</f>
        <v>BYU Cougars</v>
      </c>
      <c r="B21" s="106" t="str">
        <f>IFERROR(__xludf.DUMMYFUNCTION("""COMPUTED_VALUE"""),"Big 12")</f>
        <v>Big 12</v>
      </c>
      <c r="C21" s="106">
        <f>IFERROR(__xludf.DUMMYFUNCTION("""COMPUTED_VALUE"""),8.535)</f>
        <v>8.535</v>
      </c>
      <c r="D21" s="23" t="s">
        <v>324</v>
      </c>
      <c r="E21" s="23" t="s">
        <v>325</v>
      </c>
      <c r="F21">
        <f t="shared" si="1"/>
        <v>92</v>
      </c>
      <c r="H21" t="s">
        <v>326</v>
      </c>
      <c r="I21" t="str">
        <f>offset(Translation!$A$5,0,match($H21,Translation!$A$6:$FH$6,0)-1)</f>
        <v>Charlotte</v>
      </c>
      <c r="J21">
        <f t="shared" si="2"/>
        <v>3.896</v>
      </c>
      <c r="K21" t="str">
        <f>iferror(offset(DraftTracker!D$1,match(I21,DraftTracker!F:F,0)-1,0),"undrafted")</f>
        <v>Jeannine</v>
      </c>
    </row>
    <row r="22">
      <c r="A22" t="str">
        <f>IFERROR(__xludf.DUMMYFUNCTION("""COMPUTED_VALUE"""),"Missouri Tigers")</f>
        <v>Missouri Tigers</v>
      </c>
      <c r="B22" s="106" t="str">
        <f>IFERROR(__xludf.DUMMYFUNCTION("""COMPUTED_VALUE"""),"SEC")</f>
        <v>SEC</v>
      </c>
      <c r="C22" s="106">
        <f>IFERROR(__xludf.DUMMYFUNCTION("""COMPUTED_VALUE"""),6.6850000000000005)</f>
        <v>6.685</v>
      </c>
      <c r="D22" s="23" t="s">
        <v>327</v>
      </c>
      <c r="E22" s="23" t="s">
        <v>287</v>
      </c>
      <c r="F22">
        <f t="shared" si="1"/>
        <v>117</v>
      </c>
      <c r="H22" t="s">
        <v>328</v>
      </c>
      <c r="I22" t="str">
        <f>offset(Translation!$A$5,0,match($H22,Translation!$A$6:$FH$6,0)-1)</f>
        <v>Cincinnati</v>
      </c>
      <c r="J22">
        <f t="shared" si="2"/>
        <v>6.379</v>
      </c>
      <c r="K22" t="str">
        <f>iferror(offset(DraftTracker!D$1,match(I22,DraftTracker!F:F,0)-1,0),"undrafted")</f>
        <v>Brad</v>
      </c>
    </row>
    <row r="23">
      <c r="A23" t="str">
        <f>IFERROR(__xludf.DUMMYFUNCTION("""COMPUTED_VALUE"""),"Auburn Tigers")</f>
        <v>Auburn Tigers</v>
      </c>
      <c r="B23" s="106" t="str">
        <f>IFERROR(__xludf.DUMMYFUNCTION("""COMPUTED_VALUE"""),"SEC")</f>
        <v>SEC</v>
      </c>
      <c r="C23" s="106">
        <f>IFERROR(__xludf.DUMMYFUNCTION("""COMPUTED_VALUE"""),6.585999999999999)</f>
        <v>6.586</v>
      </c>
      <c r="D23" s="23" t="s">
        <v>329</v>
      </c>
      <c r="E23" s="23" t="s">
        <v>301</v>
      </c>
      <c r="F23">
        <f t="shared" si="1"/>
        <v>53</v>
      </c>
      <c r="H23" t="s">
        <v>322</v>
      </c>
      <c r="I23" t="str">
        <f>offset(Translation!$A$5,0,match($H23,Translation!$A$6:$FH$6,0)-1)</f>
        <v>Clemson</v>
      </c>
      <c r="J23">
        <f t="shared" si="2"/>
        <v>7.981</v>
      </c>
      <c r="K23" t="str">
        <f>iferror(offset(DraftTracker!D$1,match(I23,DraftTracker!F:F,0)-1,0),"undrafted")</f>
        <v>Dan</v>
      </c>
    </row>
    <row r="24">
      <c r="A24" t="str">
        <f>IFERROR(__xludf.DUMMYFUNCTION("""COMPUTED_VALUE"""),"South Carolina Gamecocks")</f>
        <v>South Carolina Gamecocks</v>
      </c>
      <c r="B24" s="106" t="str">
        <f>IFERROR(__xludf.DUMMYFUNCTION("""COMPUTED_VALUE"""),"SEC")</f>
        <v>SEC</v>
      </c>
      <c r="C24" s="106">
        <f>IFERROR(__xludf.DUMMYFUNCTION("""COMPUTED_VALUE"""),6.3870000000000005)</f>
        <v>6.387</v>
      </c>
      <c r="D24" s="23" t="s">
        <v>294</v>
      </c>
      <c r="E24" s="23" t="s">
        <v>287</v>
      </c>
      <c r="F24">
        <f t="shared" si="1"/>
        <v>7</v>
      </c>
      <c r="H24" t="s">
        <v>330</v>
      </c>
      <c r="I24" t="str">
        <f>offset(Translation!$A$5,0,match($H24,Translation!$A$6:$FH$6,0)-1)</f>
        <v>Coastal Carolina</v>
      </c>
      <c r="J24">
        <f t="shared" si="2"/>
        <v>5.176</v>
      </c>
      <c r="K24" t="str">
        <f>iferror(offset(DraftTracker!D$1,match(I24,DraftTracker!F:F,0)-1,0),"undrafted")</f>
        <v>Josh</v>
      </c>
    </row>
    <row r="25">
      <c r="A25" t="str">
        <f>IFERROR(__xludf.DUMMYFUNCTION("""COMPUTED_VALUE"""),"SMU Mustangs")</f>
        <v>SMU Mustangs</v>
      </c>
      <c r="B25" s="106" t="str">
        <f>IFERROR(__xludf.DUMMYFUNCTION("""COMPUTED_VALUE"""),"ACC")</f>
        <v>ACC</v>
      </c>
      <c r="C25" s="106">
        <f>IFERROR(__xludf.DUMMYFUNCTION("""COMPUTED_VALUE"""),8.197000000000001)</f>
        <v>8.197</v>
      </c>
      <c r="D25" s="23" t="s">
        <v>331</v>
      </c>
      <c r="E25" s="23" t="s">
        <v>301</v>
      </c>
      <c r="F25">
        <f t="shared" si="1"/>
        <v>59</v>
      </c>
      <c r="H25" t="s">
        <v>332</v>
      </c>
      <c r="I25" t="str">
        <f>offset(Translation!$A$5,0,match($H25,Translation!$A$6:$FH$6,0)-1)</f>
        <v>Colorado</v>
      </c>
      <c r="J25">
        <f t="shared" si="2"/>
        <v>5.975</v>
      </c>
      <c r="K25" t="str">
        <f>iferror(offset(DraftTracker!D$1,match(I25,DraftTracker!F:F,0)-1,0),"undrafted")</f>
        <v>Justin</v>
      </c>
    </row>
    <row r="26">
      <c r="A26" t="str">
        <f>IFERROR(__xludf.DUMMYFUNCTION("""COMPUTED_VALUE"""),"Iowa Hawkeyes")</f>
        <v>Iowa Hawkeyes</v>
      </c>
      <c r="B26" s="106" t="str">
        <f>IFERROR(__xludf.DUMMYFUNCTION("""COMPUTED_VALUE"""),"Big Ten")</f>
        <v>Big Ten</v>
      </c>
      <c r="C26" s="106">
        <f>IFERROR(__xludf.DUMMYFUNCTION("""COMPUTED_VALUE"""),7.582999999999999)</f>
        <v>7.583</v>
      </c>
      <c r="D26" s="23" t="s">
        <v>333</v>
      </c>
      <c r="E26" s="23" t="s">
        <v>287</v>
      </c>
      <c r="F26">
        <f t="shared" si="1"/>
        <v>119</v>
      </c>
      <c r="H26" t="s">
        <v>334</v>
      </c>
      <c r="I26" t="str">
        <f>offset(Translation!$A$5,0,match($H26,Translation!$A$6:$FH$6,0)-1)</f>
        <v>Colorado State</v>
      </c>
      <c r="J26">
        <f t="shared" si="2"/>
        <v>3.587</v>
      </c>
      <c r="K26" t="str">
        <f>iferror(offset(DraftTracker!D$1,match(I26,DraftTracker!F:F,0)-1,0),"undrafted")</f>
        <v>Janice/Mike</v>
      </c>
    </row>
    <row r="27">
      <c r="A27" t="str">
        <f>IFERROR(__xludf.DUMMYFUNCTION("""COMPUTED_VALUE"""),"Washington Huskies")</f>
        <v>Washington Huskies</v>
      </c>
      <c r="B27" s="106" t="str">
        <f>IFERROR(__xludf.DUMMYFUNCTION("""COMPUTED_VALUE"""),"Big Ten")</f>
        <v>Big Ten</v>
      </c>
      <c r="C27" s="106">
        <f>IFERROR(__xludf.DUMMYFUNCTION("""COMPUTED_VALUE"""),6.99)</f>
        <v>6.99</v>
      </c>
      <c r="D27" s="23" t="s">
        <v>335</v>
      </c>
      <c r="E27" s="23" t="s">
        <v>301</v>
      </c>
      <c r="F27">
        <f t="shared" si="1"/>
        <v>72</v>
      </c>
      <c r="H27" t="s">
        <v>336</v>
      </c>
      <c r="I27" t="str">
        <f>offset(Translation!$A$5,0,match($H27,Translation!$A$6:$FH$6,0)-1)</f>
        <v>Duke</v>
      </c>
      <c r="J27">
        <f t="shared" si="2"/>
        <v>5.988</v>
      </c>
      <c r="K27" t="str">
        <f>iferror(offset(DraftTracker!D$1,match(I27,DraftTracker!F:F,0)-1,0),"undrafted")</f>
        <v>Vu</v>
      </c>
    </row>
    <row r="28">
      <c r="A28" t="str">
        <f>IFERROR(__xludf.DUMMYFUNCTION("""COMPUTED_VALUE"""),"Louisville Cardinals")</f>
        <v>Louisville Cardinals</v>
      </c>
      <c r="B28" s="106" t="str">
        <f>IFERROR(__xludf.DUMMYFUNCTION("""COMPUTED_VALUE"""),"ACC")</f>
        <v>ACC</v>
      </c>
      <c r="C28" s="106">
        <f>IFERROR(__xludf.DUMMYFUNCTION("""COMPUTED_VALUE"""),7.529999999999999)</f>
        <v>7.53</v>
      </c>
      <c r="D28" s="23" t="s">
        <v>337</v>
      </c>
      <c r="E28" s="23" t="s">
        <v>296</v>
      </c>
      <c r="F28">
        <f t="shared" si="1"/>
        <v>111</v>
      </c>
      <c r="H28" t="s">
        <v>338</v>
      </c>
      <c r="I28" t="str">
        <f>offset(Translation!$A$5,0,match($H28,Translation!$A$6:$FH$6,0)-1)</f>
        <v>East Carolina</v>
      </c>
      <c r="J28">
        <f t="shared" si="2"/>
        <v>7.841</v>
      </c>
      <c r="K28" t="str">
        <f>iferror(offset(DraftTracker!D$1,match(I28,DraftTracker!F:F,0)-1,0),"undrafted")</f>
        <v>Brad</v>
      </c>
    </row>
    <row r="29">
      <c r="A29" t="str">
        <f>IFERROR(__xludf.DUMMYFUNCTION("""COMPUTED_VALUE"""),"Florida State Seminoles")</f>
        <v>Florida State Seminoles</v>
      </c>
      <c r="B29" s="106" t="str">
        <f>IFERROR(__xludf.DUMMYFUNCTION("""COMPUTED_VALUE"""),"ACC")</f>
        <v>ACC</v>
      </c>
      <c r="C29" s="106">
        <f>IFERROR(__xludf.DUMMYFUNCTION("""COMPUTED_VALUE"""),6.658)</f>
        <v>6.658</v>
      </c>
      <c r="D29" s="23" t="s">
        <v>339</v>
      </c>
      <c r="E29" s="23" t="s">
        <v>296</v>
      </c>
      <c r="F29">
        <f t="shared" si="1"/>
        <v>99</v>
      </c>
      <c r="H29" t="s">
        <v>340</v>
      </c>
      <c r="I29" t="str">
        <f>offset(Translation!$A$5,0,match($H29,Translation!$A$6:$FH$6,0)-1)</f>
        <v>EMU</v>
      </c>
      <c r="J29">
        <f t="shared" si="2"/>
        <v>4.784</v>
      </c>
      <c r="K29" t="str">
        <f>iferror(offset(DraftTracker!D$1,match(I29,DraftTracker!F:F,0)-1,0),"undrafted")</f>
        <v>Nico</v>
      </c>
    </row>
    <row r="30">
      <c r="A30" t="str">
        <f>IFERROR(__xludf.DUMMYFUNCTION("""COMPUTED_VALUE"""),"Vanderbilt Commodores")</f>
        <v>Vanderbilt Commodores</v>
      </c>
      <c r="B30" s="106" t="str">
        <f>IFERROR(__xludf.DUMMYFUNCTION("""COMPUTED_VALUE"""),"SEC")</f>
        <v>SEC</v>
      </c>
      <c r="C30" s="106">
        <f>IFERROR(__xludf.DUMMYFUNCTION("""COMPUTED_VALUE"""),6.1930000000000005)</f>
        <v>6.193</v>
      </c>
      <c r="D30" s="23" t="s">
        <v>341</v>
      </c>
      <c r="E30" s="23" t="s">
        <v>296</v>
      </c>
      <c r="F30">
        <f t="shared" si="1"/>
        <v>46</v>
      </c>
      <c r="H30" t="s">
        <v>342</v>
      </c>
      <c r="I30" t="str">
        <f>offset(Translation!$A$5,0,match($H30,Translation!$A$6:$FH$6,0)-1)</f>
        <v>Florida Atlantic</v>
      </c>
      <c r="J30">
        <f t="shared" si="2"/>
        <v>5.089</v>
      </c>
      <c r="K30" t="str">
        <f>iferror(offset(DraftTracker!D$1,match(I30,DraftTracker!F:F,0)-1,0),"undrafted")</f>
        <v>Nick A.</v>
      </c>
    </row>
    <row r="31">
      <c r="A31" t="str">
        <f>IFERROR(__xludf.DUMMYFUNCTION("""COMPUTED_VALUE"""),"Nebraska Cornhuskers")</f>
        <v>Nebraska Cornhuskers</v>
      </c>
      <c r="B31" s="106" t="str">
        <f>IFERROR(__xludf.DUMMYFUNCTION("""COMPUTED_VALUE"""),"Big Ten")</f>
        <v>Big Ten</v>
      </c>
      <c r="C31" s="106">
        <f>IFERROR(__xludf.DUMMYFUNCTION("""COMPUTED_VALUE"""),6.6930000000000005)</f>
        <v>6.693</v>
      </c>
      <c r="D31" s="23" t="s">
        <v>336</v>
      </c>
      <c r="E31" s="23" t="s">
        <v>301</v>
      </c>
      <c r="F31">
        <f t="shared" si="1"/>
        <v>27</v>
      </c>
      <c r="H31" t="s">
        <v>343</v>
      </c>
      <c r="I31" t="str">
        <f>offset(Translation!$A$5,0,match($H31,Translation!$A$6:$FH$6,0)-1)</f>
        <v>Florida</v>
      </c>
      <c r="J31">
        <f t="shared" si="2"/>
        <v>6.68</v>
      </c>
      <c r="K31" t="str">
        <f>iferror(offset(DraftTracker!D$1,match(I31,DraftTracker!F:F,0)-1,0),"undrafted")</f>
        <v>Nick A.</v>
      </c>
    </row>
    <row r="32">
      <c r="A32" t="str">
        <f>IFERROR(__xludf.DUMMYFUNCTION("""COMPUTED_VALUE"""),"Utah Utes")</f>
        <v>Utah Utes</v>
      </c>
      <c r="B32" s="106" t="str">
        <f>IFERROR(__xludf.DUMMYFUNCTION("""COMPUTED_VALUE"""),"Big 12")</f>
        <v>Big 12</v>
      </c>
      <c r="C32" s="106">
        <f>IFERROR(__xludf.DUMMYFUNCTION("""COMPUTED_VALUE"""),7.641)</f>
        <v>7.641</v>
      </c>
      <c r="D32" s="23" t="s">
        <v>304</v>
      </c>
      <c r="E32" s="23" t="s">
        <v>292</v>
      </c>
      <c r="F32">
        <f t="shared" si="1"/>
        <v>11</v>
      </c>
      <c r="H32" t="s">
        <v>344</v>
      </c>
      <c r="I32" t="str">
        <f>offset(Translation!$A$5,0,match($H32,Translation!$A$6:$FH$6,0)-1)</f>
        <v>Florida Intl</v>
      </c>
      <c r="J32">
        <f t="shared" si="2"/>
        <v>5.948</v>
      </c>
      <c r="K32" t="str">
        <f>iferror(offset(DraftTracker!D$1,match(I32,DraftTracker!F:F,0)-1,0),"undrafted")</f>
        <v>Masa</v>
      </c>
    </row>
    <row r="33">
      <c r="A33" t="str">
        <f>IFERROR(__xludf.DUMMYFUNCTION("""COMPUTED_VALUE"""),"Virginia Cavaliers")</f>
        <v>Virginia Cavaliers</v>
      </c>
      <c r="B33" s="106" t="str">
        <f>IFERROR(__xludf.DUMMYFUNCTION("""COMPUTED_VALUE"""),"ACC")</f>
        <v>ACC</v>
      </c>
      <c r="C33" s="106">
        <f>IFERROR(__xludf.DUMMYFUNCTION("""COMPUTED_VALUE"""),7.662)</f>
        <v>7.662</v>
      </c>
      <c r="D33" s="23" t="s">
        <v>345</v>
      </c>
      <c r="E33" s="23" t="s">
        <v>296</v>
      </c>
      <c r="F33">
        <f t="shared" si="1"/>
        <v>44</v>
      </c>
      <c r="H33" t="s">
        <v>300</v>
      </c>
      <c r="I33" t="str">
        <f>offset(Translation!$A$5,0,match($H33,Translation!$A$6:$FH$6,0)-1)</f>
        <v>Florida State</v>
      </c>
      <c r="J33">
        <f t="shared" si="2"/>
        <v>6.658</v>
      </c>
      <c r="K33" t="str">
        <f>iferror(offset(DraftTracker!D$1,match(I33,DraftTracker!F:F,0)-1,0),"undrafted")</f>
        <v>Gary</v>
      </c>
    </row>
    <row r="34">
      <c r="A34" t="str">
        <f>IFERROR(__xludf.DUMMYFUNCTION("""COMPUTED_VALUE"""),"Virginia Tech Hokies")</f>
        <v>Virginia Tech Hokies</v>
      </c>
      <c r="B34" s="106" t="str">
        <f>IFERROR(__xludf.DUMMYFUNCTION("""COMPUTED_VALUE"""),"ACC")</f>
        <v>ACC</v>
      </c>
      <c r="C34" s="106">
        <f>IFERROR(__xludf.DUMMYFUNCTION("""COMPUTED_VALUE"""),6.972)</f>
        <v>6.972</v>
      </c>
      <c r="D34" s="23" t="s">
        <v>346</v>
      </c>
      <c r="E34" s="23" t="s">
        <v>282</v>
      </c>
      <c r="F34">
        <f t="shared" si="1"/>
        <v>56</v>
      </c>
      <c r="H34" t="s">
        <v>347</v>
      </c>
      <c r="I34" t="str">
        <f>offset(Translation!$A$5,0,match($H34,Translation!$A$6:$FH$6,0)-1)</f>
        <v>Fresno State</v>
      </c>
      <c r="J34">
        <f t="shared" si="2"/>
        <v>6.086</v>
      </c>
      <c r="K34" t="str">
        <f>iferror(offset(DraftTracker!D$1,match(I34,DraftTracker!F:F,0)-1,0),"undrafted")</f>
        <v>Brad</v>
      </c>
    </row>
    <row r="35">
      <c r="A35" t="str">
        <f>IFERROR(__xludf.DUMMYFUNCTION("""COMPUTED_VALUE"""),"Arizona Wildcats")</f>
        <v>Arizona Wildcats</v>
      </c>
      <c r="B35" s="106" t="str">
        <f>IFERROR(__xludf.DUMMYFUNCTION("""COMPUTED_VALUE"""),"Big 12")</f>
        <v>Big 12</v>
      </c>
      <c r="C35" s="106">
        <f>IFERROR(__xludf.DUMMYFUNCTION("""COMPUTED_VALUE"""),7.258)</f>
        <v>7.258</v>
      </c>
      <c r="D35" s="23" t="s">
        <v>348</v>
      </c>
      <c r="E35" s="23" t="s">
        <v>292</v>
      </c>
      <c r="F35">
        <f t="shared" si="1"/>
        <v>49</v>
      </c>
      <c r="H35" t="s">
        <v>291</v>
      </c>
      <c r="I35" t="str">
        <f>offset(Translation!$A$5,0,match($H35,Translation!$A$6:$FH$6,0)-1)</f>
        <v>Georgia</v>
      </c>
      <c r="J35">
        <f t="shared" si="2"/>
        <v>9.667</v>
      </c>
      <c r="K35" t="str">
        <f>iferror(offset(DraftTracker!D$1,match(I35,DraftTracker!F:F,0)-1,0),"undrafted")</f>
        <v>Nick G.</v>
      </c>
    </row>
    <row r="36">
      <c r="A36" t="str">
        <f>IFERROR(__xludf.DUMMYFUNCTION("""COMPUTED_VALUE"""),"Houston Cougars")</f>
        <v>Houston Cougars</v>
      </c>
      <c r="B36" s="106" t="str">
        <f>IFERROR(__xludf.DUMMYFUNCTION("""COMPUTED_VALUE"""),"Big 12")</f>
        <v>Big 12</v>
      </c>
      <c r="C36" s="106">
        <f>IFERROR(__xludf.DUMMYFUNCTION("""COMPUTED_VALUE"""),7.359)</f>
        <v>7.359</v>
      </c>
      <c r="D36" s="23" t="s">
        <v>349</v>
      </c>
      <c r="E36" s="23" t="s">
        <v>301</v>
      </c>
      <c r="F36">
        <f t="shared" si="1"/>
        <v>67</v>
      </c>
      <c r="H36" t="s">
        <v>350</v>
      </c>
      <c r="I36" t="str">
        <f>offset(Translation!$A$5,0,match($H36,Translation!$A$6:$FH$6,0)-1)</f>
        <v>Georgia Southern</v>
      </c>
      <c r="J36">
        <f t="shared" si="2"/>
        <v>5.64</v>
      </c>
      <c r="K36" t="str">
        <f>iferror(offset(DraftTracker!D$1,match(I36,DraftTracker!F:F,0)-1,0),"undrafted")</f>
        <v>Brad</v>
      </c>
    </row>
    <row r="37">
      <c r="A37" t="str">
        <f>IFERROR(__xludf.DUMMYFUNCTION("""COMPUTED_VALUE"""),"Pittsburgh Panthers")</f>
        <v>Pittsburgh Panthers</v>
      </c>
      <c r="B37" s="106" t="str">
        <f>IFERROR(__xludf.DUMMYFUNCTION("""COMPUTED_VALUE"""),"ACC")</f>
        <v>ACC</v>
      </c>
      <c r="C37" s="106">
        <f>IFERROR(__xludf.DUMMYFUNCTION("""COMPUTED_VALUE"""),7.077)</f>
        <v>7.077</v>
      </c>
      <c r="D37" s="23" t="s">
        <v>356</v>
      </c>
      <c r="E37" s="23" t="s">
        <v>287</v>
      </c>
      <c r="F37">
        <f t="shared" si="1"/>
        <v>112</v>
      </c>
      <c r="H37" t="s">
        <v>357</v>
      </c>
      <c r="I37" t="str">
        <f>offset(Translation!$A$5,0,match($H37,Translation!$A$6:$FH$6,0)-1)</f>
        <v>Georgia State</v>
      </c>
      <c r="J37">
        <f t="shared" si="2"/>
        <v>4.589</v>
      </c>
      <c r="K37" t="str">
        <f>iferror(offset(DraftTracker!D$1,match(I37,DraftTracker!F:F,0)-1,0),"undrafted")</f>
        <v>Nico</v>
      </c>
    </row>
    <row r="38">
      <c r="A38" t="str">
        <f>IFERROR(__xludf.DUMMYFUNCTION("""COMPUTED_VALUE"""),"Baylor Bears")</f>
        <v>Baylor Bears</v>
      </c>
      <c r="B38" s="106" t="str">
        <f>IFERROR(__xludf.DUMMYFUNCTION("""COMPUTED_VALUE"""),"Big 12")</f>
        <v>Big 12</v>
      </c>
      <c r="C38" s="106">
        <f>IFERROR(__xludf.DUMMYFUNCTION("""COMPUTED_VALUE"""),6.568)</f>
        <v>6.568</v>
      </c>
      <c r="D38" s="23" t="s">
        <v>358</v>
      </c>
      <c r="E38" s="23" t="s">
        <v>296</v>
      </c>
      <c r="F38">
        <f t="shared" si="1"/>
        <v>80</v>
      </c>
      <c r="H38" t="s">
        <v>359</v>
      </c>
      <c r="I38" t="str">
        <f>offset(Translation!$A$5,0,match($H38,Translation!$A$6:$FH$6,0)-1)</f>
        <v>Georgia Tech</v>
      </c>
      <c r="J38">
        <f t="shared" si="2"/>
        <v>5.786</v>
      </c>
      <c r="K38" t="str">
        <f>iferror(offset(DraftTracker!D$1,match(I38,DraftTracker!F:F,0)-1,0),"undrafted")</f>
        <v>Nico</v>
      </c>
    </row>
    <row r="39">
      <c r="A39" t="str">
        <f>IFERROR(__xludf.DUMMYFUNCTION("""COMPUTED_VALUE"""),"TCU Horned Frogs")</f>
        <v>TCU Horned Frogs</v>
      </c>
      <c r="B39" s="106" t="str">
        <f>IFERROR(__xludf.DUMMYFUNCTION("""COMPUTED_VALUE"""),"Big 12")</f>
        <v>Big 12</v>
      </c>
      <c r="C39" s="106">
        <f>IFERROR(__xludf.DUMMYFUNCTION("""COMPUTED_VALUE"""),6.76)</f>
        <v>6.76</v>
      </c>
      <c r="D39" s="23" t="s">
        <v>360</v>
      </c>
      <c r="E39" s="23" t="s">
        <v>282</v>
      </c>
      <c r="F39">
        <f t="shared" si="1"/>
        <v>43</v>
      </c>
      <c r="H39" t="s">
        <v>361</v>
      </c>
      <c r="I39" t="str">
        <f>offset(Translation!$A$5,0,match($H39,Translation!$A$6:$FH$6,0)-1)</f>
        <v>Hawaii</v>
      </c>
      <c r="J39">
        <f t="shared" si="2"/>
        <v>7.68</v>
      </c>
      <c r="K39" t="str">
        <f>iferror(offset(DraftTracker!D$1,match(I39,DraftTracker!F:F,0)-1,0),"undrafted")</f>
        <v>DavEmily</v>
      </c>
    </row>
    <row r="40">
      <c r="A40" t="str">
        <f>IFERROR(__xludf.DUMMYFUNCTION("""COMPUTED_VALUE"""),"Illinois Fighting Illini")</f>
        <v>Illinois Fighting Illini</v>
      </c>
      <c r="B40" s="106" t="str">
        <f>IFERROR(__xludf.DUMMYFUNCTION("""COMPUTED_VALUE"""),"Big Ten")</f>
        <v>Big Ten</v>
      </c>
      <c r="C40" s="106">
        <f>IFERROR(__xludf.DUMMYFUNCTION("""COMPUTED_VALUE"""),6.695)</f>
        <v>6.695</v>
      </c>
      <c r="D40" s="23" t="s">
        <v>362</v>
      </c>
      <c r="E40" s="23" t="s">
        <v>355</v>
      </c>
      <c r="F40">
        <f t="shared" si="1"/>
        <v>45</v>
      </c>
      <c r="H40" t="s">
        <v>363</v>
      </c>
      <c r="I40" t="str">
        <f>offset(Translation!$A$5,0,match($H40,Translation!$A$6:$FH$6,0)-1)</f>
        <v>Houston</v>
      </c>
      <c r="J40">
        <f t="shared" si="2"/>
        <v>7.359</v>
      </c>
      <c r="K40" t="str">
        <f>iferror(offset(DraftTracker!D$1,match(I40,DraftTracker!F:F,0)-1,0),"undrafted")</f>
        <v>Josh</v>
      </c>
    </row>
    <row r="41">
      <c r="A41" t="str">
        <f>IFERROR(__xludf.DUMMYFUNCTION("""COMPUTED_VALUE"""),"Kentucky Wildcats")</f>
        <v>Kentucky Wildcats</v>
      </c>
      <c r="B41" s="106" t="str">
        <f>IFERROR(__xludf.DUMMYFUNCTION("""COMPUTED_VALUE"""),"SEC")</f>
        <v>SEC</v>
      </c>
      <c r="C41" s="106">
        <f>IFERROR(__xludf.DUMMYFUNCTION("""COMPUTED_VALUE"""),4.598)</f>
        <v>4.598</v>
      </c>
      <c r="D41" s="23" t="s">
        <v>343</v>
      </c>
      <c r="E41" s="23" t="s">
        <v>292</v>
      </c>
      <c r="F41">
        <f t="shared" si="1"/>
        <v>31</v>
      </c>
      <c r="H41" t="s">
        <v>364</v>
      </c>
      <c r="I41" t="str">
        <f>offset(Translation!$A$5,0,match($H41,Translation!$A$6:$FH$6,0)-1)</f>
        <v>Illinois</v>
      </c>
      <c r="J41">
        <f t="shared" si="2"/>
        <v>6.695</v>
      </c>
      <c r="K41" t="str">
        <f>iferror(offset(DraftTracker!D$1,match(I41,DraftTracker!F:F,0)-1,0),"undrafted")</f>
        <v>Vu</v>
      </c>
    </row>
    <row r="42">
      <c r="A42" t="str">
        <f>IFERROR(__xludf.DUMMYFUNCTION("""COMPUTED_VALUE"""),"Kansas State Wildcats")</f>
        <v>Kansas State Wildcats</v>
      </c>
      <c r="B42" s="106" t="str">
        <f>IFERROR(__xludf.DUMMYFUNCTION("""COMPUTED_VALUE"""),"Big 12")</f>
        <v>Big 12</v>
      </c>
      <c r="C42" s="106">
        <f>IFERROR(__xludf.DUMMYFUNCTION("""COMPUTED_VALUE"""),6.969)</f>
        <v>6.969</v>
      </c>
      <c r="D42" s="23" t="s">
        <v>365</v>
      </c>
      <c r="E42" s="23" t="s">
        <v>296</v>
      </c>
      <c r="F42">
        <f t="shared" si="1"/>
        <v>105</v>
      </c>
      <c r="H42" t="s">
        <v>366</v>
      </c>
      <c r="I42" t="str">
        <f>offset(Translation!$A$5,0,match($H42,Translation!$A$6:$FH$6,0)-1)</f>
        <v>Indiana</v>
      </c>
      <c r="J42">
        <f t="shared" si="2"/>
        <v>9.913</v>
      </c>
      <c r="K42" t="str">
        <f>iferror(offset(DraftTracker!D$1,match(I42,DraftTracker!F:F,0)-1,0),"undrafted")</f>
        <v>Dan</v>
      </c>
    </row>
    <row r="43">
      <c r="A43" t="str">
        <f>IFERROR(__xludf.DUMMYFUNCTION("""COMPUTED_VALUE"""),"North Carolina Tar Heels")</f>
        <v>North Carolina Tar Heels</v>
      </c>
      <c r="B43" s="106" t="str">
        <f>IFERROR(__xludf.DUMMYFUNCTION("""COMPUTED_VALUE"""),"ACC")</f>
        <v>ACC</v>
      </c>
      <c r="C43" s="106">
        <f>IFERROR(__xludf.DUMMYFUNCTION("""COMPUTED_VALUE"""),5.785)</f>
        <v>5.785</v>
      </c>
      <c r="D43" s="23" t="s">
        <v>367</v>
      </c>
      <c r="E43" s="23" t="s">
        <v>282</v>
      </c>
      <c r="F43">
        <f t="shared" si="1"/>
        <v>131</v>
      </c>
      <c r="H43" t="s">
        <v>360</v>
      </c>
      <c r="I43" t="str">
        <f>offset(Translation!$A$5,0,match($H43,Translation!$A$6:$FH$6,0)-1)</f>
        <v>Iowa</v>
      </c>
      <c r="J43">
        <f t="shared" si="2"/>
        <v>7.583</v>
      </c>
      <c r="K43" t="str">
        <f>iferror(offset(DraftTracker!D$1,match(I43,DraftTracker!F:F,0)-1,0),"undrafted")</f>
        <v>Justin</v>
      </c>
    </row>
    <row r="44">
      <c r="A44" t="str">
        <f>IFERROR(__xludf.DUMMYFUNCTION("""COMPUTED_VALUE"""),"Wisconsin Badgers")</f>
        <v>Wisconsin Badgers</v>
      </c>
      <c r="B44" s="106" t="str">
        <f>IFERROR(__xludf.DUMMYFUNCTION("""COMPUTED_VALUE"""),"Big Ten")</f>
        <v>Big Ten</v>
      </c>
      <c r="C44" s="106">
        <f>IFERROR(__xludf.DUMMYFUNCTION("""COMPUTED_VALUE"""),6.494)</f>
        <v>6.494</v>
      </c>
      <c r="D44" s="23" t="s">
        <v>368</v>
      </c>
      <c r="E44" s="23" t="s">
        <v>292</v>
      </c>
      <c r="F44">
        <f t="shared" si="1"/>
        <v>94</v>
      </c>
      <c r="H44" t="s">
        <v>345</v>
      </c>
      <c r="I44" t="str">
        <f>offset(Translation!$A$5,0,match($H44,Translation!$A$6:$FH$6,0)-1)</f>
        <v>Iowa State</v>
      </c>
      <c r="J44">
        <f t="shared" si="2"/>
        <v>5.095</v>
      </c>
      <c r="K44" t="str">
        <f>iferror(offset(DraftTracker!D$1,match(I44,DraftTracker!F:F,0)-1,0),"undrafted")</f>
        <v>Nick A.</v>
      </c>
    </row>
    <row r="45">
      <c r="A45" t="str">
        <f>IFERROR(__xludf.DUMMYFUNCTION("""COMPUTED_VALUE"""),"Arizona State Sun Devils")</f>
        <v>Arizona State Sun Devils</v>
      </c>
      <c r="B45" s="106" t="str">
        <f>IFERROR(__xludf.DUMMYFUNCTION("""COMPUTED_VALUE"""),"Big 12")</f>
        <v>Big 12</v>
      </c>
      <c r="C45" s="106">
        <f>IFERROR(__xludf.DUMMYFUNCTION("""COMPUTED_VALUE"""),5.977)</f>
        <v>5.977</v>
      </c>
      <c r="D45" s="23" t="s">
        <v>369</v>
      </c>
      <c r="E45" s="23" t="s">
        <v>296</v>
      </c>
      <c r="F45">
        <f t="shared" si="1"/>
        <v>128</v>
      </c>
      <c r="H45" t="s">
        <v>362</v>
      </c>
      <c r="I45" t="str">
        <f>offset(Translation!$A$5,0,match($H45,Translation!$A$6:$FH$6,0)-1)</f>
        <v>James Madison</v>
      </c>
      <c r="J45">
        <f t="shared" si="2"/>
        <v>8.001</v>
      </c>
      <c r="K45" t="str">
        <f>iferror(offset(DraftTracker!D$1,match(I45,DraftTracker!F:F,0)-1,0),"undrafted")</f>
        <v>Gary</v>
      </c>
    </row>
    <row r="46">
      <c r="A46" t="str">
        <f>IFERROR(__xludf.DUMMYFUNCTION("""COMPUTED_VALUE"""),"Colorado Buffaloes")</f>
        <v>Colorado Buffaloes</v>
      </c>
      <c r="B46" s="106" t="str">
        <f>IFERROR(__xludf.DUMMYFUNCTION("""COMPUTED_VALUE"""),"Big 12")</f>
        <v>Big 12</v>
      </c>
      <c r="C46" s="106">
        <f>IFERROR(__xludf.DUMMYFUNCTION("""COMPUTED_VALUE"""),5.975)</f>
        <v>5.975</v>
      </c>
      <c r="D46" s="23" t="s">
        <v>370</v>
      </c>
      <c r="E46" s="23" t="s">
        <v>355</v>
      </c>
      <c r="F46">
        <f t="shared" si="1"/>
        <v>107</v>
      </c>
      <c r="H46" t="s">
        <v>341</v>
      </c>
      <c r="I46" t="str">
        <f>offset(Translation!$A$5,0,match($H46,Translation!$A$6:$FH$6,0)-1)</f>
        <v>Kansas</v>
      </c>
      <c r="J46">
        <f t="shared" si="2"/>
        <v>5.985</v>
      </c>
      <c r="K46" t="str">
        <f>iferror(offset(DraftTracker!D$1,match(I46,DraftTracker!F:F,0)-1,0),"undrafted")</f>
        <v>Dan</v>
      </c>
    </row>
    <row r="47">
      <c r="A47" t="str">
        <f>IFERROR(__xludf.DUMMYFUNCTION("""COMPUTED_VALUE"""),"Cincinnati Bearcats")</f>
        <v>Cincinnati Bearcats</v>
      </c>
      <c r="B47" s="106" t="str">
        <f>IFERROR(__xludf.DUMMYFUNCTION("""COMPUTED_VALUE"""),"Big 12")</f>
        <v>Big 12</v>
      </c>
      <c r="C47" s="106">
        <f>IFERROR(__xludf.DUMMYFUNCTION("""COMPUTED_VALUE"""),6.3790000000000004)</f>
        <v>6.379</v>
      </c>
      <c r="D47" s="23" t="s">
        <v>371</v>
      </c>
      <c r="E47" s="23" t="s">
        <v>301</v>
      </c>
      <c r="F47">
        <f t="shared" si="1"/>
        <v>124</v>
      </c>
      <c r="H47" t="s">
        <v>308</v>
      </c>
      <c r="I47" t="str">
        <f>offset(Translation!$A$5,0,match($H47,Translation!$A$6:$FH$6,0)-1)</f>
        <v>Kansas State</v>
      </c>
      <c r="J47">
        <f t="shared" si="2"/>
        <v>6.969</v>
      </c>
      <c r="K47" t="str">
        <f>iferror(offset(DraftTracker!D$1,match(I47,DraftTracker!F:F,0)-1,0),"undrafted")</f>
        <v>Nick G.</v>
      </c>
    </row>
    <row r="48">
      <c r="A48" t="str">
        <f>IFERROR(__xludf.DUMMYFUNCTION("""COMPUTED_VALUE"""),"Arkansas Razorbacks")</f>
        <v>Arkansas Razorbacks</v>
      </c>
      <c r="B48" s="106" t="str">
        <f>IFERROR(__xludf.DUMMYFUNCTION("""COMPUTED_VALUE"""),"SEC")</f>
        <v>SEC</v>
      </c>
      <c r="C48" s="106">
        <f>IFERROR(__xludf.DUMMYFUNCTION("""COMPUTED_VALUE"""),4.2989999999999995)</f>
        <v>4.299</v>
      </c>
      <c r="D48" s="23" t="s">
        <v>321</v>
      </c>
      <c r="E48" s="23" t="s">
        <v>287</v>
      </c>
      <c r="F48">
        <f t="shared" si="1"/>
        <v>19</v>
      </c>
      <c r="H48" t="s">
        <v>372</v>
      </c>
      <c r="I48" t="str">
        <f>offset(Translation!$A$5,0,match($H48,Translation!$A$6:$FH$6,0)-1)</f>
        <v>Kent State</v>
      </c>
      <c r="J48" t="str">
        <f t="shared" si="2"/>
        <v/>
      </c>
      <c r="K48" t="str">
        <f>iferror(offset(DraftTracker!D$1,match(I48,DraftTracker!F:F,0)-1,0),"undrafted")</f>
        <v>Nick G.</v>
      </c>
    </row>
    <row r="49">
      <c r="A49" t="str">
        <f>IFERROR(__xludf.DUMMYFUNCTION("""COMPUTED_VALUE"""),"Georgia Tech Yellow Jackets")</f>
        <v>Georgia Tech Yellow Jackets</v>
      </c>
      <c r="B49" s="106" t="str">
        <f>IFERROR(__xludf.DUMMYFUNCTION("""COMPUTED_VALUE"""),"ACC")</f>
        <v>ACC</v>
      </c>
      <c r="C49" s="106">
        <f>IFERROR(__xludf.DUMMYFUNCTION("""COMPUTED_VALUE"""),5.786)</f>
        <v>5.786</v>
      </c>
      <c r="D49" s="23" t="s">
        <v>373</v>
      </c>
      <c r="E49" s="23" t="s">
        <v>351</v>
      </c>
      <c r="F49">
        <f t="shared" si="1"/>
        <v>50</v>
      </c>
      <c r="H49" t="s">
        <v>348</v>
      </c>
      <c r="I49" t="str">
        <f>offset(Translation!$A$5,0,match($H49,Translation!$A$6:$FH$6,0)-1)</f>
        <v>Kentucky</v>
      </c>
      <c r="J49">
        <f t="shared" si="2"/>
        <v>4.598</v>
      </c>
      <c r="K49" t="str">
        <f>iferror(offset(DraftTracker!D$1,match(I49,DraftTracker!F:F,0)-1,0),"undrafted")</f>
        <v>Dan</v>
      </c>
    </row>
    <row r="50">
      <c r="A50" t="str">
        <f>IFERROR(__xludf.DUMMYFUNCTION("""COMPUTED_VALUE"""),"Mississippi State Bulldogs")</f>
        <v>Mississippi State Bulldogs</v>
      </c>
      <c r="B50" s="106" t="str">
        <f>IFERROR(__xludf.DUMMYFUNCTION("""COMPUTED_VALUE"""),"SEC")</f>
        <v>SEC</v>
      </c>
      <c r="C50" s="106">
        <f>IFERROR(__xludf.DUMMYFUNCTION("""COMPUTED_VALUE"""),4.598999999999999)</f>
        <v>4.599</v>
      </c>
      <c r="D50" s="23" t="s">
        <v>311</v>
      </c>
      <c r="E50" s="23" t="s">
        <v>374</v>
      </c>
      <c r="F50">
        <f t="shared" si="1"/>
        <v>14</v>
      </c>
      <c r="H50" t="s">
        <v>373</v>
      </c>
      <c r="I50" t="str">
        <f>offset(Translation!$A$5,0,match($H50,Translation!$A$6:$FH$6,0)-1)</f>
        <v>Liberty</v>
      </c>
      <c r="J50">
        <f t="shared" si="2"/>
        <v>7.252</v>
      </c>
      <c r="K50" t="str">
        <f>iferror(offset(DraftTracker!D$1,match(I50,DraftTracker!F:F,0)-1,0),"undrafted")</f>
        <v>Janice/Mike</v>
      </c>
    </row>
    <row r="51">
      <c r="A51" t="str">
        <f>IFERROR(__xludf.DUMMYFUNCTION("""COMPUTED_VALUE"""),"Boise State Broncos")</f>
        <v>Boise State Broncos</v>
      </c>
      <c r="B51" s="106" t="str">
        <f>IFERROR(__xludf.DUMMYFUNCTION("""COMPUTED_VALUE"""),"Pac-12")</f>
        <v>Pac-12</v>
      </c>
      <c r="C51" s="106">
        <f>IFERROR(__xludf.DUMMYFUNCTION("""COMPUTED_VALUE"""),7.436)</f>
        <v>7.436</v>
      </c>
      <c r="D51" s="23" t="s">
        <v>375</v>
      </c>
      <c r="E51" s="23" t="s">
        <v>325</v>
      </c>
      <c r="F51">
        <f t="shared" si="1"/>
        <v>108</v>
      </c>
      <c r="H51" t="s">
        <v>376</v>
      </c>
      <c r="I51" t="str">
        <f>offset(Translation!$A$5,0,match($H51,Translation!$A$6:$FH$6,0)-1)</f>
        <v>UL Lafayette</v>
      </c>
      <c r="J51">
        <f t="shared" si="2"/>
        <v>6.817</v>
      </c>
      <c r="K51" t="str">
        <f>iferror(offset(DraftTracker!D$1,match(I51,DraftTracker!F:F,0)-1,0),"undrafted")</f>
        <v>DavEmily</v>
      </c>
    </row>
    <row r="52">
      <c r="A52" t="str">
        <f>IFERROR(__xludf.DUMMYFUNCTION("""COMPUTED_VALUE"""),"NC State Wolfpack")</f>
        <v>NC State Wolfpack</v>
      </c>
      <c r="B52" s="106" t="str">
        <f>IFERROR(__xludf.DUMMYFUNCTION("""COMPUTED_VALUE"""),"ACC")</f>
        <v>ACC</v>
      </c>
      <c r="C52" s="106">
        <f>IFERROR(__xludf.DUMMYFUNCTION("""COMPUTED_VALUE"""),6.6850000000000005)</f>
        <v>6.685</v>
      </c>
      <c r="D52" s="23" t="s">
        <v>359</v>
      </c>
      <c r="E52" s="23" t="s">
        <v>301</v>
      </c>
      <c r="F52">
        <f t="shared" si="1"/>
        <v>38</v>
      </c>
      <c r="H52" t="s">
        <v>377</v>
      </c>
      <c r="I52" t="str">
        <f>offset(Translation!$A$5,0,match($H52,Translation!$A$6:$FH$6,0)-1)</f>
        <v>Louisiana Tech</v>
      </c>
      <c r="J52">
        <f t="shared" si="2"/>
        <v>5.547</v>
      </c>
      <c r="K52" t="str">
        <f>iferror(offset(DraftTracker!D$1,match(I52,DraftTracker!F:F,0)-1,0),"undrafted")</f>
        <v>Jeannine</v>
      </c>
    </row>
    <row r="53">
      <c r="A53" t="str">
        <f>IFERROR(__xludf.DUMMYFUNCTION("""COMPUTED_VALUE"""),"Duke Blue Devils")</f>
        <v>Duke Blue Devils</v>
      </c>
      <c r="B53" s="106" t="str">
        <f>IFERROR(__xludf.DUMMYFUNCTION("""COMPUTED_VALUE"""),"ACC")</f>
        <v>ACC</v>
      </c>
      <c r="C53" s="106">
        <f>IFERROR(__xludf.DUMMYFUNCTION("""COMPUTED_VALUE"""),5.988)</f>
        <v>5.988</v>
      </c>
      <c r="D53" s="23" t="s">
        <v>378</v>
      </c>
      <c r="E53" s="23" t="s">
        <v>287</v>
      </c>
      <c r="F53">
        <f t="shared" si="1"/>
        <v>127</v>
      </c>
      <c r="H53" t="s">
        <v>329</v>
      </c>
      <c r="I53" t="str">
        <f>offset(Translation!$A$5,0,match($H53,Translation!$A$6:$FH$6,0)-1)</f>
        <v>Louisville</v>
      </c>
      <c r="J53">
        <f t="shared" si="2"/>
        <v>7.53</v>
      </c>
      <c r="K53" t="str">
        <f>iferror(offset(DraftTracker!D$1,match(I53,DraftTracker!F:F,0)-1,0),"undrafted")</f>
        <v>DavEmily</v>
      </c>
    </row>
    <row r="54">
      <c r="A54" t="str">
        <f>IFERROR(__xludf.DUMMYFUNCTION("""COMPUTED_VALUE"""),"Wake Forest Demon Deacons")</f>
        <v>Wake Forest Demon Deacons</v>
      </c>
      <c r="B54" s="106" t="str">
        <f>IFERROR(__xludf.DUMMYFUNCTION("""COMPUTED_VALUE"""),"ACC")</f>
        <v>ACC</v>
      </c>
      <c r="C54" s="106">
        <f>IFERROR(__xludf.DUMMYFUNCTION("""COMPUTED_VALUE"""),6.29)</f>
        <v>6.29</v>
      </c>
      <c r="D54" s="23" t="s">
        <v>379</v>
      </c>
      <c r="E54" s="23" t="s">
        <v>325</v>
      </c>
      <c r="F54">
        <f t="shared" si="1"/>
        <v>57</v>
      </c>
      <c r="H54" t="s">
        <v>303</v>
      </c>
      <c r="I54" t="str">
        <f>offset(Translation!$A$5,0,match($H54,Translation!$A$6:$FH$6,0)-1)</f>
        <v>LSU</v>
      </c>
      <c r="J54">
        <f t="shared" si="2"/>
        <v>8.312</v>
      </c>
      <c r="K54" t="str">
        <f>iferror(offset(DraftTracker!D$1,match(I54,DraftTracker!F:F,0)-1,0),"undrafted")</f>
        <v>Jeannine</v>
      </c>
    </row>
    <row r="55">
      <c r="A55" t="str">
        <f>IFERROR(__xludf.DUMMYFUNCTION("""COMPUTED_VALUE"""),"Oklahoma State Cowboys")</f>
        <v>Oklahoma State Cowboys</v>
      </c>
      <c r="B55" s="106" t="str">
        <f>IFERROR(__xludf.DUMMYFUNCTION("""COMPUTED_VALUE"""),"Big 12")</f>
        <v>Big 12</v>
      </c>
      <c r="C55" s="106">
        <f>IFERROR(__xludf.DUMMYFUNCTION("""COMPUTED_VALUE"""),5.981)</f>
        <v>5.981</v>
      </c>
      <c r="D55" s="23" t="s">
        <v>380</v>
      </c>
      <c r="E55" s="23" t="s">
        <v>282</v>
      </c>
      <c r="F55">
        <f t="shared" si="1"/>
        <v>89</v>
      </c>
      <c r="H55" t="s">
        <v>381</v>
      </c>
      <c r="I55" t="str">
        <f>offset(Translation!$A$5,0,match($H55,Translation!$A$6:$FH$6,0)-1)</f>
        <v>Marshall</v>
      </c>
      <c r="J55">
        <f t="shared" si="2"/>
        <v>6.439</v>
      </c>
      <c r="K55" t="str">
        <f>iferror(offset(DraftTracker!D$1,match(I55,DraftTracker!F:F,0)-1,0),"undrafted")</f>
        <v>Janice/Mike</v>
      </c>
    </row>
    <row r="56">
      <c r="A56" t="str">
        <f>IFERROR(__xludf.DUMMYFUNCTION("""COMPUTED_VALUE"""),"Kansas Jayhawks")</f>
        <v>Kansas Jayhawks</v>
      </c>
      <c r="B56" s="106" t="str">
        <f>IFERROR(__xludf.DUMMYFUNCTION("""COMPUTED_VALUE"""),"Big 12")</f>
        <v>Big 12</v>
      </c>
      <c r="C56" s="106">
        <f>IFERROR(__xludf.DUMMYFUNCTION("""COMPUTED_VALUE"""),5.985)</f>
        <v>5.985</v>
      </c>
      <c r="D56" s="23" t="s">
        <v>382</v>
      </c>
      <c r="E56" s="23" t="s">
        <v>301</v>
      </c>
      <c r="F56">
        <f t="shared" si="1"/>
        <v>98</v>
      </c>
      <c r="H56" t="s">
        <v>346</v>
      </c>
      <c r="I56" t="str">
        <f>offset(Translation!$A$5,0,match($H56,Translation!$A$6:$FH$6,0)-1)</f>
        <v>Maryland</v>
      </c>
      <c r="J56">
        <f t="shared" si="2"/>
        <v>5.399</v>
      </c>
      <c r="K56" t="str">
        <f>iferror(offset(DraftTracker!D$1,match(I56,DraftTracker!F:F,0)-1,0),"undrafted")</f>
        <v>Brad</v>
      </c>
    </row>
    <row r="57">
      <c r="A57" t="str">
        <f>IFERROR(__xludf.DUMMYFUNCTION("""COMPUTED_VALUE"""),"Tulane Green Wave")</f>
        <v>Tulane Green Wave</v>
      </c>
      <c r="B57" s="106" t="str">
        <f>IFERROR(__xludf.DUMMYFUNCTION("""COMPUTED_VALUE"""),"American")</f>
        <v>American</v>
      </c>
      <c r="C57" s="106">
        <f>IFERROR(__xludf.DUMMYFUNCTION("""COMPUTED_VALUE"""),7.981999999999999)</f>
        <v>7.982</v>
      </c>
      <c r="D57" s="23" t="s">
        <v>297</v>
      </c>
      <c r="E57" s="23" t="s">
        <v>292</v>
      </c>
      <c r="F57">
        <f t="shared" si="1"/>
        <v>8</v>
      </c>
      <c r="H57" t="s">
        <v>379</v>
      </c>
      <c r="I57" t="str">
        <f>offset(Translation!$A$5,0,match($H57,Translation!$A$6:$FH$6,0)-1)</f>
        <v>Memphis</v>
      </c>
      <c r="J57">
        <f t="shared" si="2"/>
        <v>6.907</v>
      </c>
      <c r="K57" t="str">
        <f>iferror(offset(DraftTracker!D$1,match(I57,DraftTracker!F:F,0)-1,0),"undrafted")</f>
        <v>Janice/Mike</v>
      </c>
    </row>
    <row r="58">
      <c r="A58" t="str">
        <f>IFERROR(__xludf.DUMMYFUNCTION("""COMPUTED_VALUE"""),"UCF Knights")</f>
        <v>UCF Knights</v>
      </c>
      <c r="B58" s="106" t="str">
        <f>IFERROR(__xludf.DUMMYFUNCTION("""COMPUTED_VALUE"""),"Big 12")</f>
        <v>Big 12</v>
      </c>
      <c r="C58" s="106">
        <f>IFERROR(__xludf.DUMMYFUNCTION("""COMPUTED_VALUE"""),6.082999999999999)</f>
        <v>6.083</v>
      </c>
      <c r="D58" s="23" t="s">
        <v>383</v>
      </c>
      <c r="E58" s="23" t="s">
        <v>352</v>
      </c>
      <c r="F58">
        <f t="shared" si="1"/>
        <v>106</v>
      </c>
      <c r="H58" t="s">
        <v>384</v>
      </c>
      <c r="I58" t="str">
        <f>offset(Translation!$A$5,0,match($H58,Translation!$A$6:$FH$6,0)-1)</f>
        <v>Miami-OH</v>
      </c>
      <c r="J58">
        <f t="shared" si="2"/>
        <v>7.062</v>
      </c>
      <c r="K58" t="str">
        <f>iferror(offset(DraftTracker!D$1,match(I58,DraftTracker!F:F,0)-1,0),"undrafted")</f>
        <v>Brad</v>
      </c>
    </row>
    <row r="59">
      <c r="A59" t="str">
        <f>IFERROR(__xludf.DUMMYFUNCTION("""COMPUTED_VALUE"""),"UNLV Rebels")</f>
        <v>UNLV Rebels</v>
      </c>
      <c r="B59" s="106" t="str">
        <f>IFERROR(__xludf.DUMMYFUNCTION("""COMPUTED_VALUE"""),"Mountain West")</f>
        <v>Mountain West</v>
      </c>
      <c r="C59" s="106">
        <f>IFERROR(__xludf.DUMMYFUNCTION("""COMPUTED_VALUE"""),8.646)</f>
        <v>8.646</v>
      </c>
      <c r="D59" s="23" t="s">
        <v>385</v>
      </c>
      <c r="E59" s="23" t="s">
        <v>325</v>
      </c>
      <c r="F59">
        <f t="shared" si="1"/>
        <v>121</v>
      </c>
      <c r="H59" t="s">
        <v>331</v>
      </c>
      <c r="I59" t="str">
        <f>offset(Translation!$A$5,0,match($H59,Translation!$A$6:$FH$6,0)-1)</f>
        <v>Miami</v>
      </c>
      <c r="J59">
        <f t="shared" si="2"/>
        <v>9.897</v>
      </c>
      <c r="K59" t="str">
        <f>iferror(offset(DraftTracker!D$1,match(I59,DraftTracker!F:F,0)-1,0),"undrafted")</f>
        <v>Nick G.</v>
      </c>
    </row>
    <row r="60">
      <c r="A60" t="str">
        <f>IFERROR(__xludf.DUMMYFUNCTION("""COMPUTED_VALUE"""),"San Diego State Aztecs")</f>
        <v>San Diego State Aztecs</v>
      </c>
      <c r="B60" s="106" t="str">
        <f>IFERROR(__xludf.DUMMYFUNCTION("""COMPUTED_VALUE"""),"Pac-12")</f>
        <v>Pac-12</v>
      </c>
      <c r="C60" s="106">
        <f>IFERROR(__xludf.DUMMYFUNCTION("""COMPUTED_VALUE"""),7.249)</f>
        <v>7.249</v>
      </c>
      <c r="D60" s="23" t="s">
        <v>386</v>
      </c>
      <c r="E60" s="23" t="s">
        <v>292</v>
      </c>
      <c r="F60">
        <f t="shared" si="1"/>
        <v>64</v>
      </c>
      <c r="H60" t="s">
        <v>387</v>
      </c>
      <c r="I60" t="str">
        <f>offset(Translation!$A$5,0,match($H60,Translation!$A$6:$FH$6,0)-1)</f>
        <v>Michigan State</v>
      </c>
      <c r="J60">
        <f t="shared" si="2"/>
        <v>4.599</v>
      </c>
      <c r="K60" t="str">
        <f>iferror(offset(DraftTracker!D$1,match(I60,DraftTracker!F:F,0)-1,0),"undrafted")</f>
        <v>DavEmily</v>
      </c>
    </row>
    <row r="61">
      <c r="A61" t="str">
        <f>IFERROR(__xludf.DUMMYFUNCTION("""COMPUTED_VALUE"""),"Northwestern Wildcats")</f>
        <v>Northwestern Wildcats</v>
      </c>
      <c r="B61" s="106" t="str">
        <f>IFERROR(__xludf.DUMMYFUNCTION("""COMPUTED_VALUE"""),"Big Ten")</f>
        <v>Big Ten</v>
      </c>
      <c r="C61" s="106">
        <f>IFERROR(__xludf.DUMMYFUNCTION("""COMPUTED_VALUE"""),4.899)</f>
        <v>4.899</v>
      </c>
      <c r="D61" s="23" t="s">
        <v>388</v>
      </c>
      <c r="E61" s="23" t="s">
        <v>355</v>
      </c>
      <c r="F61">
        <f t="shared" si="1"/>
        <v>93</v>
      </c>
      <c r="H61" t="s">
        <v>284</v>
      </c>
      <c r="I61" t="str">
        <f>offset(Translation!$A$5,0,match($H61,Translation!$A$6:$FH$6,0)-1)</f>
        <v>Michigan</v>
      </c>
      <c r="J61">
        <f t="shared" si="2"/>
        <v>7.762</v>
      </c>
      <c r="K61" t="str">
        <f>iferror(offset(DraftTracker!D$1,match(I61,DraftTracker!F:F,0)-1,0),"undrafted")</f>
        <v>Nico</v>
      </c>
    </row>
    <row r="62">
      <c r="A62" t="str">
        <f>IFERROR(__xludf.DUMMYFUNCTION("""COMPUTED_VALUE"""),"Maryland Terrapins")</f>
        <v>Maryland Terrapins</v>
      </c>
      <c r="B62" s="106" t="str">
        <f>IFERROR(__xludf.DUMMYFUNCTION("""COMPUTED_VALUE"""),"Big Ten")</f>
        <v>Big Ten</v>
      </c>
      <c r="C62" s="106">
        <f>IFERROR(__xludf.DUMMYFUNCTION("""COMPUTED_VALUE"""),5.399)</f>
        <v>5.399</v>
      </c>
      <c r="D62" s="23" t="s">
        <v>389</v>
      </c>
      <c r="E62" s="23" t="s">
        <v>282</v>
      </c>
      <c r="F62">
        <f t="shared" si="1"/>
        <v>68</v>
      </c>
      <c r="H62" t="s">
        <v>390</v>
      </c>
      <c r="I62" t="str">
        <f>offset(Translation!$A$5,0,match($H62,Translation!$A$6:$FH$6,0)-1)</f>
        <v>Middle Tennessee</v>
      </c>
      <c r="J62">
        <f t="shared" si="2"/>
        <v>4.677</v>
      </c>
      <c r="K62" t="str">
        <f>iferror(offset(DraftTracker!D$1,match(I62,DraftTracker!F:F,0)-1,0),"undrafted")</f>
        <v>Justin</v>
      </c>
    </row>
    <row r="63">
      <c r="A63" t="str">
        <f>IFERROR(__xludf.DUMMYFUNCTION("""COMPUTED_VALUE"""),"California Golden Bears")</f>
        <v>California Golden Bears</v>
      </c>
      <c r="B63" s="106" t="str">
        <f>IFERROR(__xludf.DUMMYFUNCTION("""COMPUTED_VALUE"""),"ACC")</f>
        <v>ACC</v>
      </c>
      <c r="C63" s="106">
        <f>IFERROR(__xludf.DUMMYFUNCTION("""COMPUTED_VALUE"""),5.595)</f>
        <v>5.595</v>
      </c>
      <c r="D63" s="23" t="s">
        <v>364</v>
      </c>
      <c r="E63" s="23" t="s">
        <v>282</v>
      </c>
      <c r="F63">
        <f t="shared" si="1"/>
        <v>41</v>
      </c>
      <c r="H63" t="s">
        <v>391</v>
      </c>
      <c r="I63" t="str">
        <f>offset(Translation!$A$5,0,match($H63,Translation!$A$6:$FH$6,0)-1)</f>
        <v>Minnesota</v>
      </c>
      <c r="J63">
        <f t="shared" si="2"/>
        <v>5.299</v>
      </c>
      <c r="K63" t="str">
        <f>iferror(offset(DraftTracker!D$1,match(I63,DraftTracker!F:F,0)-1,0),"undrafted")</f>
        <v>Janice/Mike</v>
      </c>
    </row>
    <row r="64">
      <c r="A64" t="str">
        <f>IFERROR(__xludf.DUMMYFUNCTION("""COMPUTED_VALUE"""),"Minnesota Golden Gophers")</f>
        <v>Minnesota Golden Gophers</v>
      </c>
      <c r="B64" s="106" t="str">
        <f>IFERROR(__xludf.DUMMYFUNCTION("""COMPUTED_VALUE"""),"Big Ten")</f>
        <v>Big Ten</v>
      </c>
      <c r="C64" s="106">
        <f>IFERROR(__xludf.DUMMYFUNCTION("""COMPUTED_VALUE"""),5.2989999999999995)</f>
        <v>5.299</v>
      </c>
      <c r="D64" s="23" t="s">
        <v>290</v>
      </c>
      <c r="E64" s="23" t="s">
        <v>355</v>
      </c>
      <c r="F64">
        <f t="shared" si="1"/>
        <v>5</v>
      </c>
      <c r="H64" t="s">
        <v>386</v>
      </c>
      <c r="I64" t="str">
        <f>offset(Translation!$A$5,0,match($H64,Translation!$A$6:$FH$6,0)-1)</f>
        <v>Mississippi State</v>
      </c>
      <c r="J64">
        <f t="shared" si="2"/>
        <v>4.599</v>
      </c>
      <c r="K64" t="str">
        <f>iferror(offset(DraftTracker!D$1,match(I64,DraftTracker!F:F,0)-1,0),"undrafted")</f>
        <v>Brad</v>
      </c>
    </row>
    <row r="65">
      <c r="A65" t="str">
        <f>IFERROR(__xludf.DUMMYFUNCTION("""COMPUTED_VALUE"""),"UCLA Bruins")</f>
        <v>UCLA Bruins</v>
      </c>
      <c r="B65" s="106" t="str">
        <f>IFERROR(__xludf.DUMMYFUNCTION("""COMPUTED_VALUE"""),"Big Ten")</f>
        <v>Big Ten</v>
      </c>
      <c r="C65" s="106">
        <f>IFERROR(__xludf.DUMMYFUNCTION("""COMPUTED_VALUE"""),5.098999999999999)</f>
        <v>5.099</v>
      </c>
      <c r="D65" s="23" t="s">
        <v>392</v>
      </c>
      <c r="E65" s="23" t="s">
        <v>374</v>
      </c>
      <c r="F65">
        <f t="shared" si="1"/>
        <v>91</v>
      </c>
      <c r="H65" t="s">
        <v>316</v>
      </c>
      <c r="I65" t="str">
        <f>offset(Translation!$A$5,0,match($H65,Translation!$A$6:$FH$6,0)-1)</f>
        <v>Missouri</v>
      </c>
      <c r="J65">
        <f t="shared" si="2"/>
        <v>6.685</v>
      </c>
      <c r="K65" t="str">
        <f>iferror(offset(DraftTracker!D$1,match(I65,DraftTracker!F:F,0)-1,0),"undrafted")</f>
        <v>Nico</v>
      </c>
    </row>
    <row r="66">
      <c r="A66" t="str">
        <f>IFERROR(__xludf.DUMMYFUNCTION("""COMPUTED_VALUE"""),"Michigan State Spartans")</f>
        <v>Michigan State Spartans</v>
      </c>
      <c r="B66" s="106" t="str">
        <f>IFERROR(__xludf.DUMMYFUNCTION("""COMPUTED_VALUE"""),"Big Ten")</f>
        <v>Big Ten</v>
      </c>
      <c r="C66" s="106">
        <f>IFERROR(__xludf.DUMMYFUNCTION("""COMPUTED_VALUE"""),4.598999999999999)</f>
        <v>4.599</v>
      </c>
      <c r="D66" s="23" t="s">
        <v>394</v>
      </c>
      <c r="E66" s="23" t="s">
        <v>301</v>
      </c>
      <c r="F66">
        <f t="shared" si="1"/>
        <v>86</v>
      </c>
      <c r="H66" t="s">
        <v>395</v>
      </c>
      <c r="I66" t="str">
        <f>offset(Translation!$A$5,0,match($H66,Translation!$A$6:$FH$6,0)-1)</f>
        <v>Navy</v>
      </c>
      <c r="J66">
        <f t="shared" si="2"/>
        <v>7.711</v>
      </c>
      <c r="K66" t="str">
        <f>iferror(offset(DraftTracker!D$1,match(I66,DraftTracker!F:F,0)-1,0),"undrafted")</f>
        <v>Nico</v>
      </c>
    </row>
    <row r="67">
      <c r="A67" t="str">
        <f>IFERROR(__xludf.DUMMYFUNCTION("""COMPUTED_VALUE"""),"West Virginia Mountaineers")</f>
        <v>West Virginia Mountaineers</v>
      </c>
      <c r="B67" s="106" t="str">
        <f>IFERROR(__xludf.DUMMYFUNCTION("""COMPUTED_VALUE"""),"Big 12")</f>
        <v>Big 12</v>
      </c>
      <c r="C67" s="106">
        <f>IFERROR(__xludf.DUMMYFUNCTION("""COMPUTED_VALUE"""),5.393000000000001)</f>
        <v>5.393</v>
      </c>
      <c r="D67" s="23" t="s">
        <v>396</v>
      </c>
      <c r="E67" s="23" t="s">
        <v>282</v>
      </c>
      <c r="F67">
        <f t="shared" si="1"/>
        <v>75</v>
      </c>
      <c r="H67" t="s">
        <v>349</v>
      </c>
      <c r="I67" t="str">
        <f>offset(Translation!$A$5,0,match($H67,Translation!$A$6:$FH$6,0)-1)</f>
        <v>NC State</v>
      </c>
      <c r="J67">
        <f t="shared" si="2"/>
        <v>6.685</v>
      </c>
      <c r="K67" t="str">
        <f>iferror(offset(DraftTracker!D$1,match(I67,DraftTracker!F:F,0)-1,0),"undrafted")</f>
        <v>Justin</v>
      </c>
    </row>
    <row r="68">
      <c r="A68" t="str">
        <f>IFERROR(__xludf.DUMMYFUNCTION("""COMPUTED_VALUE"""),"Rutgers Scarlet Knights")</f>
        <v>Rutgers Scarlet Knights</v>
      </c>
      <c r="B68" s="106" t="str">
        <f>IFERROR(__xludf.DUMMYFUNCTION("""COMPUTED_VALUE"""),"Big Ten")</f>
        <v>Big Ten</v>
      </c>
      <c r="C68" s="106">
        <f>IFERROR(__xludf.DUMMYFUNCTION("""COMPUTED_VALUE"""),5.098999999999999)</f>
        <v>5.099</v>
      </c>
      <c r="D68" s="23" t="s">
        <v>283</v>
      </c>
      <c r="E68" s="23" t="s">
        <v>374</v>
      </c>
      <c r="F68">
        <f t="shared" si="1"/>
        <v>2</v>
      </c>
      <c r="H68" t="s">
        <v>389</v>
      </c>
      <c r="I68" t="str">
        <f>offset(Translation!$A$5,0,match($H68,Translation!$A$6:$FH$6,0)-1)</f>
        <v>Nebraska</v>
      </c>
      <c r="J68">
        <f t="shared" si="2"/>
        <v>6.693</v>
      </c>
      <c r="K68" t="str">
        <f>iferror(offset(DraftTracker!D$1,match(I68,DraftTracker!F:F,0)-1,0),"undrafted")</f>
        <v>Nick G.</v>
      </c>
    </row>
    <row r="69">
      <c r="A69" t="str">
        <f>IFERROR(__xludf.DUMMYFUNCTION("""COMPUTED_VALUE"""),"East Carolina Pirates")</f>
        <v>East Carolina Pirates</v>
      </c>
      <c r="B69" s="106" t="str">
        <f>IFERROR(__xludf.DUMMYFUNCTION("""COMPUTED_VALUE"""),"American")</f>
        <v>American</v>
      </c>
      <c r="C69" s="106">
        <f>IFERROR(__xludf.DUMMYFUNCTION("""COMPUTED_VALUE"""),7.841)</f>
        <v>7.841</v>
      </c>
      <c r="D69" s="23" t="s">
        <v>397</v>
      </c>
      <c r="E69" s="23" t="s">
        <v>374</v>
      </c>
      <c r="F69">
        <f t="shared" si="1"/>
        <v>116</v>
      </c>
      <c r="H69" t="s">
        <v>398</v>
      </c>
      <c r="I69" t="str">
        <f>offset(Translation!$A$5,0,match($H69,Translation!$A$6:$FH$6,0)-1)</f>
        <v>Nevada</v>
      </c>
      <c r="J69">
        <f t="shared" si="2"/>
        <v>4.772</v>
      </c>
      <c r="K69" t="str">
        <f>iferror(offset(DraftTracker!D$1,match(I69,DraftTracker!F:F,0)-1,0),"undrafted")</f>
        <v>Gary</v>
      </c>
    </row>
    <row r="70">
      <c r="A70" t="str">
        <f>IFERROR(__xludf.DUMMYFUNCTION("""COMPUTED_VALUE"""),"Navy Midshipmen")</f>
        <v>Navy Midshipmen</v>
      </c>
      <c r="B70" s="106" t="str">
        <f>IFERROR(__xludf.DUMMYFUNCTION("""COMPUTED_VALUE"""),"American")</f>
        <v>American</v>
      </c>
      <c r="C70" s="106">
        <f>IFERROR(__xludf.DUMMYFUNCTION("""COMPUTED_VALUE"""),7.711)</f>
        <v>7.711</v>
      </c>
      <c r="D70" s="23" t="s">
        <v>391</v>
      </c>
      <c r="E70" s="23" t="s">
        <v>282</v>
      </c>
      <c r="F70">
        <f t="shared" si="1"/>
        <v>63</v>
      </c>
      <c r="H70" t="s">
        <v>399</v>
      </c>
      <c r="I70" t="str">
        <f>offset(Translation!$A$5,0,match($H70,Translation!$A$6:$FH$6,0)-1)</f>
        <v>New Mexico</v>
      </c>
      <c r="J70">
        <f t="shared" si="2"/>
        <v>7.535</v>
      </c>
      <c r="K70" t="str">
        <f>iferror(offset(DraftTracker!D$1,match(I70,DraftTracker!F:F,0)-1,0),"undrafted")</f>
        <v>Nick G.</v>
      </c>
    </row>
    <row r="71">
      <c r="A71" t="str">
        <f>IFERROR(__xludf.DUMMYFUNCTION("""COMPUTED_VALUE"""),"Syracuse Orange")</f>
        <v>Syracuse Orange</v>
      </c>
      <c r="B71" s="106" t="str">
        <f>IFERROR(__xludf.DUMMYFUNCTION("""COMPUTED_VALUE"""),"ACC")</f>
        <v>ACC</v>
      </c>
      <c r="C71" s="106">
        <f>IFERROR(__xludf.DUMMYFUNCTION("""COMPUTED_VALUE"""),4.796)</f>
        <v>4.796</v>
      </c>
      <c r="D71" s="23" t="s">
        <v>400</v>
      </c>
      <c r="E71" s="23" t="s">
        <v>282</v>
      </c>
      <c r="F71">
        <f t="shared" si="1"/>
        <v>87</v>
      </c>
      <c r="H71" t="s">
        <v>401</v>
      </c>
      <c r="I71" t="str">
        <f>offset(Translation!$A$5,0,match($H71,Translation!$A$6:$FH$6,0)-1)</f>
        <v>New Mexico State</v>
      </c>
      <c r="J71">
        <f t="shared" si="2"/>
        <v>4.372</v>
      </c>
      <c r="K71" t="str">
        <f>iferror(offset(DraftTracker!D$1,match(I71,DraftTracker!F:F,0)-1,0),"undrafted")</f>
        <v>Josh</v>
      </c>
    </row>
    <row r="72">
      <c r="A72" t="str">
        <f>IFERROR(__xludf.DUMMYFUNCTION("""COMPUTED_VALUE"""),"Purdue Boilermakers")</f>
        <v>Purdue Boilermakers</v>
      </c>
      <c r="B72" s="106" t="str">
        <f>IFERROR(__xludf.DUMMYFUNCTION("""COMPUTED_VALUE"""),"Big Ten")</f>
        <v>Big Ten</v>
      </c>
      <c r="C72" s="106">
        <f>IFERROR(__xludf.DUMMYFUNCTION("""COMPUTED_VALUE"""),4.2989999999999995)</f>
        <v>4.299</v>
      </c>
      <c r="D72" s="23" t="s">
        <v>328</v>
      </c>
      <c r="E72" s="23" t="s">
        <v>296</v>
      </c>
      <c r="F72">
        <f t="shared" si="1"/>
        <v>22</v>
      </c>
      <c r="H72" t="s">
        <v>335</v>
      </c>
      <c r="I72" t="str">
        <f>offset(Translation!$A$5,0,match($H72,Translation!$A$6:$FH$6,0)-1)</f>
        <v>North Carolina</v>
      </c>
      <c r="J72">
        <f t="shared" si="2"/>
        <v>5.785</v>
      </c>
      <c r="K72" t="str">
        <f>iferror(offset(DraftTracker!D$1,match(I72,DraftTracker!F:F,0)-1,0),"undrafted")</f>
        <v>Masa</v>
      </c>
    </row>
    <row r="73">
      <c r="A73" t="str">
        <f>IFERROR(__xludf.DUMMYFUNCTION("""COMPUTED_VALUE"""),"Iowa State Cyclones")</f>
        <v>Iowa State Cyclones</v>
      </c>
      <c r="B73" s="106" t="str">
        <f>IFERROR(__xludf.DUMMYFUNCTION("""COMPUTED_VALUE"""),"Big 12")</f>
        <v>Big 12</v>
      </c>
      <c r="C73" s="106">
        <f>IFERROR(__xludf.DUMMYFUNCTION("""COMPUTED_VALUE"""),5.095)</f>
        <v>5.095</v>
      </c>
      <c r="D73" s="23" t="s">
        <v>402</v>
      </c>
      <c r="E73" s="23" t="s">
        <v>301</v>
      </c>
      <c r="F73">
        <f t="shared" si="1"/>
        <v>125</v>
      </c>
      <c r="H73" t="s">
        <v>403</v>
      </c>
      <c r="I73" t="str">
        <f>offset(Translation!$A$5,0,match($H73,Translation!$A$6:$FH$6,0)-1)</f>
        <v>North Texas</v>
      </c>
      <c r="J73">
        <f t="shared" si="2"/>
        <v>6.155</v>
      </c>
      <c r="K73" t="str">
        <f>iferror(offset(DraftTracker!D$1,match(I73,DraftTracker!F:F,0)-1,0),"undrafted")</f>
        <v>Masa</v>
      </c>
    </row>
    <row r="74">
      <c r="A74" t="str">
        <f>IFERROR(__xludf.DUMMYFUNCTION("""COMPUTED_VALUE"""),"South Florida Bulls")</f>
        <v>South Florida Bulls</v>
      </c>
      <c r="B74" s="106" t="str">
        <f>IFERROR(__xludf.DUMMYFUNCTION("""COMPUTED_VALUE"""),"American")</f>
        <v>American</v>
      </c>
      <c r="C74" s="106">
        <f>IFERROR(__xludf.DUMMYFUNCTION("""COMPUTED_VALUE"""),8.280000000000001)</f>
        <v>8.28</v>
      </c>
      <c r="D74" s="23" t="s">
        <v>319</v>
      </c>
      <c r="E74" s="23" t="s">
        <v>296</v>
      </c>
      <c r="F74">
        <f t="shared" si="1"/>
        <v>18</v>
      </c>
      <c r="H74" t="s">
        <v>404</v>
      </c>
      <c r="I74" t="str">
        <f>offset(Translation!$A$5,0,match($H74,Translation!$A$6:$FH$6,0)-1)</f>
        <v>Northern Illinois</v>
      </c>
      <c r="J74">
        <f t="shared" si="2"/>
        <v>4.284</v>
      </c>
      <c r="K74" t="str">
        <f>iferror(offset(DraftTracker!D$1,match(I74,DraftTracker!F:F,0)-1,0),"undrafted")</f>
        <v>Janice/Mike</v>
      </c>
    </row>
    <row r="75">
      <c r="A75" t="str">
        <f>IFERROR(__xludf.DUMMYFUNCTION("""COMPUTED_VALUE"""),"Memphis Tigers")</f>
        <v>Memphis Tigers</v>
      </c>
      <c r="B75" s="106" t="str">
        <f>IFERROR(__xludf.DUMMYFUNCTION("""COMPUTED_VALUE"""),"American")</f>
        <v>American</v>
      </c>
      <c r="C75" s="106">
        <f>IFERROR(__xludf.DUMMYFUNCTION("""COMPUTED_VALUE"""),6.907)</f>
        <v>6.907</v>
      </c>
      <c r="D75" s="23" t="s">
        <v>384</v>
      </c>
      <c r="E75" s="23" t="s">
        <v>352</v>
      </c>
      <c r="F75">
        <f t="shared" si="1"/>
        <v>58</v>
      </c>
      <c r="H75" t="s">
        <v>396</v>
      </c>
      <c r="I75" t="str">
        <f>offset(Translation!$A$5,0,match($H75,Translation!$A$6:$FH$6,0)-1)</f>
        <v>Northwestern</v>
      </c>
      <c r="J75">
        <f t="shared" si="2"/>
        <v>4.899</v>
      </c>
      <c r="K75" t="str">
        <f>iferror(offset(DraftTracker!D$1,match(I75,DraftTracker!F:F,0)-1,0),"undrafted")</f>
        <v>Gary</v>
      </c>
    </row>
    <row r="76">
      <c r="A76" t="str">
        <f>IFERROR(__xludf.DUMMYFUNCTION("""COMPUTED_VALUE"""),"James Madison Dukes")</f>
        <v>James Madison Dukes</v>
      </c>
      <c r="B76" s="106" t="str">
        <f>IFERROR(__xludf.DUMMYFUNCTION("""COMPUTED_VALUE"""),"Sun Belt")</f>
        <v>Sun Belt</v>
      </c>
      <c r="C76" s="106">
        <f>IFERROR(__xludf.DUMMYFUNCTION("""COMPUTED_VALUE"""),8.001)</f>
        <v>8.001</v>
      </c>
      <c r="D76" s="23" t="s">
        <v>332</v>
      </c>
      <c r="E76" s="23" t="s">
        <v>287</v>
      </c>
      <c r="F76">
        <f t="shared" si="1"/>
        <v>25</v>
      </c>
      <c r="H76" t="s">
        <v>305</v>
      </c>
      <c r="I76" t="str">
        <f>offset(Translation!$A$5,0,match($H76,Translation!$A$6:$FH$6,0)-1)</f>
        <v>Notre Dame</v>
      </c>
      <c r="J76">
        <f t="shared" si="2"/>
        <v>10.7</v>
      </c>
      <c r="K76" t="str">
        <f>iferror(offset(DraftTracker!D$1,match(I76,DraftTracker!F:F,0)-1,0),"undrafted")</f>
        <v>Nick A.</v>
      </c>
    </row>
    <row r="77">
      <c r="A77" t="str">
        <f>IFERROR(__xludf.DUMMYFUNCTION("""COMPUTED_VALUE"""),"Hawai'i Rainbow Warriors")</f>
        <v>Hawai'i Rainbow Warriors</v>
      </c>
      <c r="B77" s="106" t="str">
        <f>IFERROR(__xludf.DUMMYFUNCTION("""COMPUTED_VALUE"""),"Mountain West")</f>
        <v>Mountain West</v>
      </c>
      <c r="C77" s="106">
        <f>IFERROR(__xludf.DUMMYFUNCTION("""COMPUTED_VALUE"""),7.680000000000001)</f>
        <v>7.68</v>
      </c>
      <c r="D77" s="23" t="s">
        <v>363</v>
      </c>
      <c r="E77" s="23" t="s">
        <v>296</v>
      </c>
      <c r="F77">
        <f t="shared" si="1"/>
        <v>40</v>
      </c>
      <c r="H77" t="s">
        <v>405</v>
      </c>
      <c r="I77" t="str">
        <f>offset(Translation!$A$5,0,match($H77,Translation!$A$6:$FH$6,0)-1)</f>
        <v>Ohio</v>
      </c>
      <c r="J77">
        <f t="shared" si="2"/>
        <v>6.986</v>
      </c>
      <c r="K77" t="str">
        <f>iferror(offset(DraftTracker!D$1,match(I77,DraftTracker!F:F,0)-1,0),"undrafted")</f>
        <v>Josh</v>
      </c>
    </row>
    <row r="78">
      <c r="A78" t="str">
        <f>IFERROR(__xludf.DUMMYFUNCTION("""COMPUTED_VALUE"""),"Fresno State Bulldogs")</f>
        <v>Fresno State Bulldogs</v>
      </c>
      <c r="B78" s="106" t="str">
        <f>IFERROR(__xludf.DUMMYFUNCTION("""COMPUTED_VALUE"""),"Pac-12")</f>
        <v>Pac-12</v>
      </c>
      <c r="C78" s="106">
        <f>IFERROR(__xludf.DUMMYFUNCTION("""COMPUTED_VALUE"""),6.086)</f>
        <v>6.086</v>
      </c>
      <c r="D78" s="23" t="s">
        <v>406</v>
      </c>
      <c r="E78" s="23" t="s">
        <v>374</v>
      </c>
      <c r="F78">
        <f t="shared" si="1"/>
        <v>132</v>
      </c>
      <c r="H78" t="s">
        <v>281</v>
      </c>
      <c r="I78" t="str">
        <f>offset(Translation!$A$5,0,match($H78,Translation!$A$6:$FH$6,0)-1)</f>
        <v>Ohio State</v>
      </c>
      <c r="J78">
        <f t="shared" si="2"/>
        <v>9.812</v>
      </c>
      <c r="K78" t="str">
        <f>iferror(offset(DraftTracker!D$1,match(I78,DraftTracker!F:F,0)-1,0),"undrafted")</f>
        <v>Josh</v>
      </c>
    </row>
    <row r="79">
      <c r="A79" t="str">
        <f>IFERROR(__xludf.DUMMYFUNCTION("""COMPUTED_VALUE"""),"Boston College Eagles")</f>
        <v>Boston College Eagles</v>
      </c>
      <c r="B79" s="106" t="str">
        <f>IFERROR(__xludf.DUMMYFUNCTION("""COMPUTED_VALUE"""),"ACC")</f>
        <v>ACC</v>
      </c>
      <c r="C79" s="106">
        <f>IFERROR(__xludf.DUMMYFUNCTION("""COMPUTED_VALUE"""),3.999)</f>
        <v>3.999</v>
      </c>
      <c r="D79" s="23" t="s">
        <v>366</v>
      </c>
      <c r="E79" s="23" t="s">
        <v>282</v>
      </c>
      <c r="F79">
        <f t="shared" si="1"/>
        <v>42</v>
      </c>
      <c r="H79" t="s">
        <v>298</v>
      </c>
      <c r="I79" t="str">
        <f>offset(Translation!$A$5,0,match($H79,Translation!$A$6:$FH$6,0)-1)</f>
        <v>Oklahoma</v>
      </c>
      <c r="J79">
        <f t="shared" si="2"/>
        <v>7.446</v>
      </c>
      <c r="K79" t="str">
        <f>iferror(offset(DraftTracker!D$1,match(I79,DraftTracker!F:F,0)-1,0),"undrafted")</f>
        <v>DavEmily</v>
      </c>
    </row>
    <row r="80">
      <c r="A80" t="str">
        <f>IFERROR(__xludf.DUMMYFUNCTION("""COMPUTED_VALUE"""),"Toledo Rockets")</f>
        <v>Toledo Rockets</v>
      </c>
      <c r="B80" s="106" t="str">
        <f>IFERROR(__xludf.DUMMYFUNCTION("""COMPUTED_VALUE"""),"MAC")</f>
        <v>MAC</v>
      </c>
      <c r="C80" s="106">
        <f>IFERROR(__xludf.DUMMYFUNCTION("""COMPUTED_VALUE"""),8.237)</f>
        <v>8.237</v>
      </c>
      <c r="D80" s="23" t="s">
        <v>330</v>
      </c>
      <c r="E80" s="23" t="s">
        <v>355</v>
      </c>
      <c r="F80">
        <f t="shared" si="1"/>
        <v>24</v>
      </c>
      <c r="H80" t="s">
        <v>358</v>
      </c>
      <c r="I80" t="str">
        <f>offset(Translation!$A$5,0,match($H80,Translation!$A$6:$FH$6,0)-1)</f>
        <v>Oklahoma State</v>
      </c>
      <c r="J80">
        <f t="shared" si="2"/>
        <v>5.981</v>
      </c>
      <c r="K80" t="str">
        <f>iferror(offset(DraftTracker!D$1,match(I80,DraftTracker!F:F,0)-1,0),"undrafted")</f>
        <v>Justin</v>
      </c>
    </row>
    <row r="81">
      <c r="A81" t="str">
        <f>IFERROR(__xludf.DUMMYFUNCTION("""COMPUTED_VALUE"""),"Stanford Cardinal")</f>
        <v>Stanford Cardinal</v>
      </c>
      <c r="B81" s="106" t="str">
        <f>IFERROR(__xludf.DUMMYFUNCTION("""COMPUTED_VALUE"""),"ACC")</f>
        <v>ACC</v>
      </c>
      <c r="C81" s="106">
        <f>IFERROR(__xludf.DUMMYFUNCTION("""COMPUTED_VALUE"""),3.899)</f>
        <v>3.899</v>
      </c>
      <c r="D81" s="23" t="s">
        <v>387</v>
      </c>
      <c r="E81" s="23" t="s">
        <v>282</v>
      </c>
      <c r="F81">
        <f t="shared" si="1"/>
        <v>60</v>
      </c>
      <c r="H81" t="s">
        <v>408</v>
      </c>
      <c r="I81" t="str">
        <f>offset(Translation!$A$5,0,match($H81,Translation!$A$6:$FH$6,0)-1)</f>
        <v>Old Dominion</v>
      </c>
      <c r="J81">
        <f t="shared" si="2"/>
        <v>7.16</v>
      </c>
      <c r="K81" t="str">
        <f>iferror(offset(DraftTracker!D$1,match(I81,DraftTracker!F:F,0)-1,0),"undrafted")</f>
        <v>Justin</v>
      </c>
    </row>
    <row r="82">
      <c r="A82" t="str">
        <f>IFERROR(__xludf.DUMMYFUNCTION("""COMPUTED_VALUE"""),"New Mexico Lobos")</f>
        <v>New Mexico Lobos</v>
      </c>
      <c r="B82" s="106" t="str">
        <f>IFERROR(__xludf.DUMMYFUNCTION("""COMPUTED_VALUE"""),"Mountain West")</f>
        <v>Mountain West</v>
      </c>
      <c r="C82" s="106">
        <f>IFERROR(__xludf.DUMMYFUNCTION("""COMPUTED_VALUE"""),7.535)</f>
        <v>7.535</v>
      </c>
      <c r="D82" s="23" t="s">
        <v>347</v>
      </c>
      <c r="E82" s="23" t="s">
        <v>374</v>
      </c>
      <c r="F82">
        <f t="shared" si="1"/>
        <v>34</v>
      </c>
      <c r="H82" t="s">
        <v>314</v>
      </c>
      <c r="I82" t="str">
        <f>offset(Translation!$A$5,0,match($H82,Translation!$A$6:$FH$6,0)-1)</f>
        <v>Ole Miss</v>
      </c>
      <c r="J82">
        <f t="shared" si="2"/>
        <v>7.263</v>
      </c>
      <c r="K82" t="str">
        <f>iferror(offset(DraftTracker!D$1,match(I82,DraftTracker!F:F,0)-1,0),"undrafted")</f>
        <v>Masa</v>
      </c>
    </row>
    <row r="83">
      <c r="A83" t="str">
        <f>IFERROR(__xludf.DUMMYFUNCTION("""COMPUTED_VALUE"""),"Western Michigan Broncos")</f>
        <v>Western Michigan Broncos</v>
      </c>
      <c r="B83" s="106" t="str">
        <f>IFERROR(__xludf.DUMMYFUNCTION("""COMPUTED_VALUE"""),"MAC")</f>
        <v>MAC</v>
      </c>
      <c r="C83" s="106">
        <f>IFERROR(__xludf.DUMMYFUNCTION("""COMPUTED_VALUE"""),7.484)</f>
        <v>7.484</v>
      </c>
      <c r="D83" s="23" t="s">
        <v>409</v>
      </c>
      <c r="E83" s="23" t="s">
        <v>351</v>
      </c>
      <c r="F83">
        <f t="shared" si="1"/>
        <v>134</v>
      </c>
      <c r="H83" t="s">
        <v>286</v>
      </c>
      <c r="I83" t="str">
        <f>offset(Translation!$A$5,0,match($H83,Translation!$A$6:$FH$6,0)-1)</f>
        <v>Oregon</v>
      </c>
      <c r="J83">
        <f t="shared" si="2"/>
        <v>9.958</v>
      </c>
      <c r="K83" t="str">
        <f>iferror(offset(DraftTracker!D$1,match(I83,DraftTracker!F:F,0)-1,0),"undrafted")</f>
        <v>Nick G.</v>
      </c>
    </row>
    <row r="84">
      <c r="A84" t="str">
        <f>IFERROR(__xludf.DUMMYFUNCTION("""COMPUTED_VALUE"""),"Washington State Cougars")</f>
        <v>Washington State Cougars</v>
      </c>
      <c r="B84" s="106" t="str">
        <f>IFERROR(__xludf.DUMMYFUNCTION("""COMPUTED_VALUE"""),"Pac-12")</f>
        <v>Pac-12</v>
      </c>
      <c r="C84" s="106">
        <f>IFERROR(__xludf.DUMMYFUNCTION("""COMPUTED_VALUE"""),5.0169999999999995)</f>
        <v>5.017</v>
      </c>
      <c r="D84" s="23" t="s">
        <v>410</v>
      </c>
      <c r="E84" s="23" t="s">
        <v>325</v>
      </c>
      <c r="F84">
        <f t="shared" si="1"/>
        <v>88</v>
      </c>
      <c r="H84" t="s">
        <v>320</v>
      </c>
      <c r="I84" t="str">
        <f>offset(Translation!$A$5,0,match($H84,Translation!$A$6:$FH$6,0)-1)</f>
        <v>Oregon State</v>
      </c>
      <c r="J84">
        <f t="shared" si="2"/>
        <v>4.358</v>
      </c>
      <c r="K84" t="str">
        <f>iferror(offset(DraftTracker!D$1,match(I84,DraftTracker!F:F,0)-1,0),"undrafted")</f>
        <v>Brad</v>
      </c>
    </row>
    <row r="85">
      <c r="A85" t="str">
        <f>IFERROR(__xludf.DUMMYFUNCTION("""COMPUTED_VALUE"""),"Texas State Bobcats")</f>
        <v>Texas State Bobcats</v>
      </c>
      <c r="B85" s="106" t="str">
        <f>IFERROR(__xludf.DUMMYFUNCTION("""COMPUTED_VALUE"""),"Pac-12")</f>
        <v>Pac-12</v>
      </c>
      <c r="C85" s="106">
        <f>IFERROR(__xludf.DUMMYFUNCTION("""COMPUTED_VALUE"""),5.513999999999999)</f>
        <v>5.514</v>
      </c>
      <c r="D85" s="23" t="s">
        <v>309</v>
      </c>
      <c r="E85" s="23" t="s">
        <v>296</v>
      </c>
      <c r="F85">
        <f t="shared" si="1"/>
        <v>13</v>
      </c>
      <c r="H85" t="s">
        <v>289</v>
      </c>
      <c r="I85" t="str">
        <f>offset(Translation!$A$5,0,match($H85,Translation!$A$6:$FH$6,0)-1)</f>
        <v>Penn State</v>
      </c>
      <c r="J85">
        <f t="shared" si="2"/>
        <v>8.955</v>
      </c>
      <c r="K85" t="str">
        <f>iferror(offset(DraftTracker!D$1,match(I85,DraftTracker!F:F,0)-1,0),"undrafted")</f>
        <v>Nick A.</v>
      </c>
    </row>
    <row r="86">
      <c r="A86" t="str">
        <f>IFERROR(__xludf.DUMMYFUNCTION("""COMPUTED_VALUE"""),"Old Dominion Monarchs")</f>
        <v>Old Dominion Monarchs</v>
      </c>
      <c r="B86" s="106" t="str">
        <f>IFERROR(__xludf.DUMMYFUNCTION("""COMPUTED_VALUE"""),"Sun Belt")</f>
        <v>Sun Belt</v>
      </c>
      <c r="C86" s="106">
        <f>IFERROR(__xludf.DUMMYFUNCTION("""COMPUTED_VALUE"""),7.16)</f>
        <v>7.16</v>
      </c>
      <c r="D86" s="23" t="s">
        <v>313</v>
      </c>
      <c r="E86" s="23" t="s">
        <v>301</v>
      </c>
      <c r="F86">
        <f t="shared" si="1"/>
        <v>15</v>
      </c>
      <c r="H86" t="s">
        <v>394</v>
      </c>
      <c r="I86" t="str">
        <f>offset(Translation!$A$5,0,match($H86,Translation!$A$6:$FH$6,0)-1)</f>
        <v>Pittsburgh</v>
      </c>
      <c r="J86">
        <f t="shared" si="2"/>
        <v>7.077</v>
      </c>
      <c r="K86" t="str">
        <f>iferror(offset(DraftTracker!D$1,match(I86,DraftTracker!F:F,0)-1,0),"undrafted")</f>
        <v>Jeannine</v>
      </c>
    </row>
    <row r="87">
      <c r="A87" t="str">
        <f>IFERROR(__xludf.DUMMYFUNCTION("""COMPUTED_VALUE"""),"Western Kentucky Hilltoppers")</f>
        <v>Western Kentucky Hilltoppers</v>
      </c>
      <c r="B87" s="106" t="str">
        <f>IFERROR(__xludf.DUMMYFUNCTION("""COMPUTED_VALUE"""),"CUSA")</f>
        <v>CUSA</v>
      </c>
      <c r="C87" s="106">
        <f>IFERROR(__xludf.DUMMYFUNCTION("""COMPUTED_VALUE"""),6.851999999999999)</f>
        <v>6.852</v>
      </c>
      <c r="D87" s="23" t="s">
        <v>405</v>
      </c>
      <c r="E87" s="23" t="s">
        <v>352</v>
      </c>
      <c r="F87">
        <f t="shared" si="1"/>
        <v>77</v>
      </c>
      <c r="H87" t="s">
        <v>400</v>
      </c>
      <c r="I87" t="str">
        <f>offset(Translation!$A$5,0,match($H87,Translation!$A$6:$FH$6,0)-1)</f>
        <v>Purdue</v>
      </c>
      <c r="J87">
        <f t="shared" si="2"/>
        <v>4.299</v>
      </c>
      <c r="K87" t="str">
        <f>iferror(offset(DraftTracker!D$1,match(I87,DraftTracker!F:F,0)-1,0),"undrafted")</f>
        <v>Masa</v>
      </c>
    </row>
    <row r="88">
      <c r="A88" t="str">
        <f>IFERROR(__xludf.DUMMYFUNCTION("""COMPUTED_VALUE"""),"Southern Miss Golden Eagles")</f>
        <v>Southern Miss Golden Eagles</v>
      </c>
      <c r="B88" s="106" t="str">
        <f>IFERROR(__xludf.DUMMYFUNCTION("""COMPUTED_VALUE"""),"Sun Belt")</f>
        <v>Sun Belt</v>
      </c>
      <c r="C88" s="106">
        <f>IFERROR(__xludf.DUMMYFUNCTION("""COMPUTED_VALUE"""),6.774)</f>
        <v>6.774</v>
      </c>
      <c r="D88" s="23" t="s">
        <v>411</v>
      </c>
      <c r="E88" s="23" t="s">
        <v>301</v>
      </c>
      <c r="F88">
        <f t="shared" si="1"/>
        <v>123</v>
      </c>
      <c r="H88" t="s">
        <v>410</v>
      </c>
      <c r="I88" t="str">
        <f>offset(Translation!$A$5,0,match($H88,Translation!$A$6:$FH$6,0)-1)</f>
        <v>Rice</v>
      </c>
      <c r="J88">
        <f t="shared" si="2"/>
        <v>3.995</v>
      </c>
      <c r="K88" t="str">
        <f>iferror(offset(DraftTracker!D$1,match(I88,DraftTracker!F:F,0)-1,0),"undrafted")</f>
        <v>Gary</v>
      </c>
    </row>
    <row r="89">
      <c r="A89" t="str">
        <f>IFERROR(__xludf.DUMMYFUNCTION("""COMPUTED_VALUE"""),"UTSA Roadrunners")</f>
        <v>UTSA Roadrunners</v>
      </c>
      <c r="B89" s="106" t="str">
        <f>IFERROR(__xludf.DUMMYFUNCTION("""COMPUTED_VALUE"""),"American")</f>
        <v>American</v>
      </c>
      <c r="C89" s="106">
        <f>IFERROR(__xludf.DUMMYFUNCTION("""COMPUTED_VALUE"""),6.341)</f>
        <v>6.341</v>
      </c>
      <c r="D89" s="23" t="s">
        <v>412</v>
      </c>
      <c r="E89" s="23" t="s">
        <v>351</v>
      </c>
      <c r="F89">
        <f t="shared" si="1"/>
        <v>129</v>
      </c>
      <c r="H89" t="s">
        <v>380</v>
      </c>
      <c r="I89" t="str">
        <f>offset(Translation!$A$5,0,match($H89,Translation!$A$6:$FH$6,0)-1)</f>
        <v>Rutgers</v>
      </c>
      <c r="J89">
        <f t="shared" si="2"/>
        <v>5.099</v>
      </c>
      <c r="K89" t="str">
        <f>iferror(offset(DraftTracker!D$1,match(I89,DraftTracker!F:F,0)-1,0),"undrafted")</f>
        <v>Vu</v>
      </c>
    </row>
    <row r="90">
      <c r="A90" t="str">
        <f>IFERROR(__xludf.DUMMYFUNCTION("""COMPUTED_VALUE"""),"Army Black Knights")</f>
        <v>Army Black Knights</v>
      </c>
      <c r="B90" s="106" t="str">
        <f>IFERROR(__xludf.DUMMYFUNCTION("""COMPUTED_VALUE"""),"American")</f>
        <v>American</v>
      </c>
      <c r="C90" s="106">
        <f>IFERROR(__xludf.DUMMYFUNCTION("""COMPUTED_VALUE"""),6.3500000000000005)</f>
        <v>6.35</v>
      </c>
      <c r="D90" s="23" t="s">
        <v>376</v>
      </c>
      <c r="E90" s="23" t="s">
        <v>355</v>
      </c>
      <c r="F90">
        <f t="shared" si="1"/>
        <v>51</v>
      </c>
      <c r="H90" t="s">
        <v>413</v>
      </c>
      <c r="I90" t="str">
        <f>offset(Translation!$A$5,0,match($H90,Translation!$A$6:$FH$6,0)-1)</f>
        <v>San Diego State</v>
      </c>
      <c r="J90">
        <f t="shared" si="2"/>
        <v>7.249</v>
      </c>
      <c r="K90" t="str">
        <f>iferror(offset(DraftTracker!D$1,match(I90,DraftTracker!F:F,0)-1,0),"undrafted")</f>
        <v>Dan</v>
      </c>
    </row>
    <row r="91">
      <c r="A91" t="str">
        <f>IFERROR(__xludf.DUMMYFUNCTION("""COMPUTED_VALUE"""),"North Texas Mean Green")</f>
        <v>North Texas Mean Green</v>
      </c>
      <c r="B91" s="106" t="str">
        <f>IFERROR(__xludf.DUMMYFUNCTION("""COMPUTED_VALUE"""),"American")</f>
        <v>American</v>
      </c>
      <c r="C91" s="106">
        <f>IFERROR(__xludf.DUMMYFUNCTION("""COMPUTED_VALUE"""),6.155)</f>
        <v>6.155</v>
      </c>
      <c r="D91" s="23" t="s">
        <v>315</v>
      </c>
      <c r="E91" s="23" t="s">
        <v>352</v>
      </c>
      <c r="F91">
        <f t="shared" si="1"/>
        <v>16</v>
      </c>
      <c r="H91" t="s">
        <v>392</v>
      </c>
      <c r="I91" t="str">
        <f>offset(Translation!$A$5,0,match($H91,Translation!$A$6:$FH$6,0)-1)</f>
        <v>San José State</v>
      </c>
      <c r="J91">
        <f t="shared" si="2"/>
        <v>4.979</v>
      </c>
      <c r="K91" t="str">
        <f>iferror(offset(DraftTracker!D$1,match(I91,DraftTracker!F:F,0)-1,0),"undrafted")</f>
        <v>Nick A.</v>
      </c>
    </row>
    <row r="92">
      <c r="A92" t="str">
        <f>IFERROR(__xludf.DUMMYFUNCTION("""COMPUTED_VALUE"""),"Delaware Blue Hens")</f>
        <v>Delaware Blue Hens</v>
      </c>
      <c r="B92" s="106" t="str">
        <f>IFERROR(__xludf.DUMMYFUNCTION("""COMPUTED_VALUE"""),"CUSA")</f>
        <v>CUSA</v>
      </c>
      <c r="C92" s="106">
        <f>IFERROR(__xludf.DUMMYFUNCTION("""COMPUTED_VALUE"""),6.732)</f>
        <v>6.732</v>
      </c>
      <c r="D92" s="23" t="s">
        <v>401</v>
      </c>
      <c r="E92" s="23" t="s">
        <v>351</v>
      </c>
      <c r="F92">
        <f t="shared" si="1"/>
        <v>71</v>
      </c>
      <c r="H92" t="s">
        <v>324</v>
      </c>
      <c r="I92" t="str">
        <f>offset(Translation!$A$5,0,match($H92,Translation!$A$6:$FH$6,0)-1)</f>
        <v>SMU</v>
      </c>
      <c r="J92">
        <f t="shared" si="2"/>
        <v>8.197</v>
      </c>
      <c r="K92" t="str">
        <f>iferror(offset(DraftTracker!D$1,match(I92,DraftTracker!F:F,0)-1,0),"undrafted")</f>
        <v>DavEmily</v>
      </c>
    </row>
    <row r="93">
      <c r="A93" t="str">
        <f>IFERROR(__xludf.DUMMYFUNCTION("""COMPUTED_VALUE"""),"Utah State Aggies")</f>
        <v>Utah State Aggies</v>
      </c>
      <c r="B93" s="106" t="str">
        <f>IFERROR(__xludf.DUMMYFUNCTION("""COMPUTED_VALUE"""),"Pac-12")</f>
        <v>Pac-12</v>
      </c>
      <c r="C93" s="106">
        <f>IFERROR(__xludf.DUMMYFUNCTION("""COMPUTED_VALUE"""),4.6530000000000005)</f>
        <v>4.653</v>
      </c>
      <c r="D93" s="23" t="s">
        <v>381</v>
      </c>
      <c r="E93" s="23" t="s">
        <v>355</v>
      </c>
      <c r="F93">
        <f t="shared" si="1"/>
        <v>55</v>
      </c>
      <c r="H93" t="s">
        <v>388</v>
      </c>
      <c r="I93" t="str">
        <f>offset(Translation!$A$5,0,match($H93,Translation!$A$6:$FH$6,0)-1)</f>
        <v>South Alabama</v>
      </c>
      <c r="J93">
        <f t="shared" si="2"/>
        <v>5.355</v>
      </c>
      <c r="K93" t="str">
        <f>iferror(offset(DraftTracker!D$1,match(I93,DraftTracker!F:F,0)-1,0),"undrafted")</f>
        <v>Masa</v>
      </c>
    </row>
    <row r="94">
      <c r="A94" t="str">
        <f>IFERROR(__xludf.DUMMYFUNCTION("""COMPUTED_VALUE"""),"Air Force Falcons")</f>
        <v>Air Force Falcons</v>
      </c>
      <c r="B94" s="106" t="str">
        <f>IFERROR(__xludf.DUMMYFUNCTION("""COMPUTED_VALUE"""),"Mountain West")</f>
        <v>Mountain West</v>
      </c>
      <c r="C94" s="106">
        <f>IFERROR(__xludf.DUMMYFUNCTION("""COMPUTED_VALUE"""),7.1000000000000005)</f>
        <v>7.1</v>
      </c>
      <c r="D94" s="23" t="s">
        <v>342</v>
      </c>
      <c r="E94" s="23" t="s">
        <v>325</v>
      </c>
      <c r="F94">
        <f t="shared" si="1"/>
        <v>30</v>
      </c>
      <c r="H94" t="s">
        <v>368</v>
      </c>
      <c r="I94" t="str">
        <f>offset(Translation!$A$5,0,match($H94,Translation!$A$6:$FH$6,0)-1)</f>
        <v>South Carolina</v>
      </c>
      <c r="J94">
        <f t="shared" si="2"/>
        <v>6.387</v>
      </c>
      <c r="K94" t="str">
        <f>iferror(offset(DraftTracker!D$1,match(I94,DraftTracker!F:F,0)-1,0),"undrafted")</f>
        <v>Vu</v>
      </c>
    </row>
    <row r="95">
      <c r="A95" t="str">
        <f>IFERROR(__xludf.DUMMYFUNCTION("""COMPUTED_VALUE"""),"Miami (OH) RedHawks")</f>
        <v>Miami (OH) RedHawks</v>
      </c>
      <c r="B95" s="106" t="str">
        <f>IFERROR(__xludf.DUMMYFUNCTION("""COMPUTED_VALUE"""),"MAC")</f>
        <v>MAC</v>
      </c>
      <c r="C95" s="106">
        <f>IFERROR(__xludf.DUMMYFUNCTION("""COMPUTED_VALUE"""),7.062)</f>
        <v>7.062</v>
      </c>
      <c r="D95" s="23" t="s">
        <v>404</v>
      </c>
      <c r="E95" s="23" t="s">
        <v>352</v>
      </c>
      <c r="F95">
        <f t="shared" si="1"/>
        <v>74</v>
      </c>
      <c r="H95" t="s">
        <v>414</v>
      </c>
      <c r="I95" t="str">
        <f>offset(Translation!$A$5,0,match($H95,Translation!$A$6:$FH$6,0)-1)</f>
        <v>South Florida</v>
      </c>
      <c r="J95">
        <f t="shared" si="2"/>
        <v>8.28</v>
      </c>
      <c r="K95" t="str">
        <f>iferror(offset(DraftTracker!D$1,match(I95,DraftTracker!F:F,0)-1,0),"undrafted")</f>
        <v>Jeannine</v>
      </c>
    </row>
    <row r="96">
      <c r="A96" t="str">
        <f>IFERROR(__xludf.DUMMYFUNCTION("""COMPUTED_VALUE"""),"Troy Trojans")</f>
        <v>Troy Trojans</v>
      </c>
      <c r="B96" s="106" t="str">
        <f>IFERROR(__xludf.DUMMYFUNCTION("""COMPUTED_VALUE"""),"Sun Belt")</f>
        <v>Sun Belt</v>
      </c>
      <c r="C96" s="106">
        <f>IFERROR(__xludf.DUMMYFUNCTION("""COMPUTED_VALUE"""),6.518)</f>
        <v>6.518</v>
      </c>
      <c r="D96" s="23" t="s">
        <v>350</v>
      </c>
      <c r="E96" s="23" t="s">
        <v>355</v>
      </c>
      <c r="F96">
        <f t="shared" si="1"/>
        <v>36</v>
      </c>
      <c r="H96" t="s">
        <v>415</v>
      </c>
      <c r="I96" t="str">
        <f>offset(Translation!$A$5,0,match($H96,Translation!$A$6:$FH$6,0)-1)</f>
        <v>Southern Mississippi</v>
      </c>
      <c r="J96">
        <f t="shared" si="2"/>
        <v>6.774</v>
      </c>
      <c r="K96" t="str">
        <f>iferror(offset(DraftTracker!D$1,match(I96,DraftTracker!F:F,0)-1,0),"undrafted")</f>
        <v>Dan</v>
      </c>
    </row>
    <row r="97">
      <c r="A97" t="str">
        <f>IFERROR(__xludf.DUMMYFUNCTION("""COMPUTED_VALUE"""),"Liberty Flames")</f>
        <v>Liberty Flames</v>
      </c>
      <c r="B97" s="106" t="str">
        <f>IFERROR(__xludf.DUMMYFUNCTION("""COMPUTED_VALUE"""),"CUSA")</f>
        <v>CUSA</v>
      </c>
      <c r="C97" s="106">
        <f>IFERROR(__xludf.DUMMYFUNCTION("""COMPUTED_VALUE"""),7.252000000000001)</f>
        <v>7.252</v>
      </c>
      <c r="D97" s="23" t="s">
        <v>293</v>
      </c>
      <c r="E97" s="23" t="s">
        <v>287</v>
      </c>
      <c r="F97">
        <f t="shared" si="1"/>
        <v>6</v>
      </c>
      <c r="H97" t="s">
        <v>416</v>
      </c>
      <c r="I97" t="str">
        <f>offset(Translation!$A$5,0,match($H97,Translation!$A$6:$FH$6,0)-1)</f>
        <v>Stanford</v>
      </c>
      <c r="J97">
        <f t="shared" si="2"/>
        <v>3.899</v>
      </c>
      <c r="K97" t="str">
        <f>iferror(offset(DraftTracker!D$1,match(I97,DraftTracker!F:F,0)-1,0),"undrafted")</f>
        <v>Dan</v>
      </c>
    </row>
    <row r="98">
      <c r="A98" t="str">
        <f>IFERROR(__xludf.DUMMYFUNCTION("""COMPUTED_VALUE"""),"Ohio Bobcats")</f>
        <v>Ohio Bobcats</v>
      </c>
      <c r="B98" s="106" t="str">
        <f>IFERROR(__xludf.DUMMYFUNCTION("""COMPUTED_VALUE"""),"MAC")</f>
        <v>MAC</v>
      </c>
      <c r="C98" s="106">
        <f>IFERROR(__xludf.DUMMYFUNCTION("""COMPUTED_VALUE"""),6.986)</f>
        <v>6.986</v>
      </c>
      <c r="D98" s="23" t="s">
        <v>338</v>
      </c>
      <c r="E98" s="23" t="s">
        <v>325</v>
      </c>
      <c r="F98">
        <f t="shared" si="1"/>
        <v>28</v>
      </c>
      <c r="H98" t="s">
        <v>382</v>
      </c>
      <c r="I98" t="str">
        <f>offset(Translation!$A$5,0,match($H98,Translation!$A$6:$FH$6,0)-1)</f>
        <v>Syracuse</v>
      </c>
      <c r="J98">
        <f t="shared" si="2"/>
        <v>4.796</v>
      </c>
      <c r="K98" t="str">
        <f>iferror(offset(DraftTracker!D$1,match(I98,DraftTracker!F:F,0)-1,0),"undrafted")</f>
        <v>Nick A.</v>
      </c>
    </row>
    <row r="99">
      <c r="A99" t="str">
        <f>IFERROR(__xludf.DUMMYFUNCTION("""COMPUTED_VALUE"""),"Oregon State Beavers")</f>
        <v>Oregon State Beavers</v>
      </c>
      <c r="B99" s="106" t="str">
        <f>IFERROR(__xludf.DUMMYFUNCTION("""COMPUTED_VALUE"""),"Pac-12")</f>
        <v>Pac-12</v>
      </c>
      <c r="C99" s="106">
        <f>IFERROR(__xludf.DUMMYFUNCTION("""COMPUTED_VALUE"""),4.3580000000000005)</f>
        <v>4.358</v>
      </c>
      <c r="D99" s="23" t="s">
        <v>417</v>
      </c>
      <c r="E99" s="23" t="s">
        <v>374</v>
      </c>
      <c r="F99">
        <f t="shared" si="1"/>
        <v>118</v>
      </c>
      <c r="H99" t="s">
        <v>339</v>
      </c>
      <c r="I99" t="str">
        <f>offset(Translation!$A$5,0,match($H99,Translation!$A$6:$FH$6,0)-1)</f>
        <v>TCU</v>
      </c>
      <c r="J99">
        <f t="shared" si="2"/>
        <v>6.76</v>
      </c>
      <c r="K99" t="str">
        <f>iferror(offset(DraftTracker!D$1,match(I99,DraftTracker!F:F,0)-1,0),"undrafted")</f>
        <v>Masa</v>
      </c>
    </row>
    <row r="100">
      <c r="A100" t="str">
        <f>IFERROR(__xludf.DUMMYFUNCTION("""COMPUTED_VALUE"""),"Louisiana Ragin' Cajuns")</f>
        <v>Louisiana Ragin' Cajuns</v>
      </c>
      <c r="B100" s="106" t="str">
        <f>IFERROR(__xludf.DUMMYFUNCTION("""COMPUTED_VALUE"""),"Sun Belt")</f>
        <v>Sun Belt</v>
      </c>
      <c r="C100" s="106">
        <f>IFERROR(__xludf.DUMMYFUNCTION("""COMPUTED_VALUE"""),6.817)</f>
        <v>6.817</v>
      </c>
      <c r="D100" s="23" t="s">
        <v>418</v>
      </c>
      <c r="E100" s="23" t="s">
        <v>355</v>
      </c>
      <c r="F100">
        <f t="shared" si="1"/>
        <v>104</v>
      </c>
      <c r="H100" t="s">
        <v>419</v>
      </c>
      <c r="I100" t="str">
        <f>offset(Translation!$A$5,0,match($H100,Translation!$A$6:$FH$6,0)-1)</f>
        <v>Temple</v>
      </c>
      <c r="J100">
        <f t="shared" si="2"/>
        <v>5.479</v>
      </c>
      <c r="K100" t="str">
        <f>iferror(offset(DraftTracker!D$1,match(I100,DraftTracker!F:F,0)-1,0),"undrafted")</f>
        <v>Nick G.</v>
      </c>
    </row>
    <row r="101">
      <c r="A101" t="str">
        <f>IFERROR(__xludf.DUMMYFUNCTION("""COMPUTED_VALUE"""),"North Dakota State Bison")</f>
        <v>North Dakota State Bison</v>
      </c>
      <c r="B101" s="106" t="str">
        <f>IFERROR(__xludf.DUMMYFUNCTION("""COMPUTED_VALUE"""),"Mountain West")</f>
        <v>Mountain West</v>
      </c>
      <c r="C101" s="106">
        <f>IFERROR(__xludf.DUMMYFUNCTION("""COMPUTED_VALUE"""),6.536)</f>
        <v>6.536</v>
      </c>
      <c r="D101" s="23" t="s">
        <v>357</v>
      </c>
      <c r="E101" s="23" t="s">
        <v>355</v>
      </c>
      <c r="F101">
        <f t="shared" si="1"/>
        <v>37</v>
      </c>
      <c r="H101" t="s">
        <v>318</v>
      </c>
      <c r="I101" t="str">
        <f>offset(Translation!$A$5,0,match($H101,Translation!$A$6:$FH$6,0)-1)</f>
        <v>Tennessee</v>
      </c>
      <c r="J101">
        <f t="shared" si="2"/>
        <v>7.269</v>
      </c>
      <c r="K101" t="str">
        <f>iferror(offset(DraftTracker!D$1,match(I101,DraftTracker!F:F,0)-1,0),"undrafted")</f>
        <v>Justin</v>
      </c>
    </row>
    <row r="102">
      <c r="A102" t="str">
        <f>IFERROR(__xludf.DUMMYFUNCTION("""COMPUTED_VALUE"""),"Jacksonville State Gamecocks")</f>
        <v>Jacksonville State Gamecocks</v>
      </c>
      <c r="B102" s="106" t="str">
        <f>IFERROR(__xludf.DUMMYFUNCTION("""COMPUTED_VALUE"""),"CUSA")</f>
        <v>CUSA</v>
      </c>
      <c r="C102" s="106">
        <f>IFERROR(__xludf.DUMMYFUNCTION("""COMPUTED_VALUE"""),6.875)</f>
        <v>6.875</v>
      </c>
      <c r="D102" s="23" t="s">
        <v>420</v>
      </c>
      <c r="E102" s="23" t="s">
        <v>292</v>
      </c>
      <c r="F102">
        <f t="shared" si="1"/>
        <v>122</v>
      </c>
      <c r="H102" t="s">
        <v>312</v>
      </c>
      <c r="I102" t="str">
        <f>offset(Translation!$A$5,0,match($H102,Translation!$A$6:$FH$6,0)-1)</f>
        <v>Texas A&amp;M</v>
      </c>
      <c r="J102">
        <f t="shared" si="2"/>
        <v>8.316</v>
      </c>
      <c r="K102" t="str">
        <f>iferror(offset(DraftTracker!D$1,match(I102,DraftTracker!F:F,0)-1,0),"undrafted")</f>
        <v>Gary</v>
      </c>
    </row>
    <row r="103">
      <c r="A103" t="str">
        <f>IFERROR(__xludf.DUMMYFUNCTION("""COMPUTED_VALUE"""),"Temple Owls")</f>
        <v>Temple Owls</v>
      </c>
      <c r="B103" s="106" t="str">
        <f>IFERROR(__xludf.DUMMYFUNCTION("""COMPUTED_VALUE"""),"American")</f>
        <v>American</v>
      </c>
      <c r="C103" s="106">
        <f>IFERROR(__xludf.DUMMYFUNCTION("""COMPUTED_VALUE"""),5.479)</f>
        <v>5.479</v>
      </c>
      <c r="D103" s="23" t="s">
        <v>299</v>
      </c>
      <c r="E103" s="23" t="s">
        <v>355</v>
      </c>
      <c r="F103">
        <f t="shared" si="1"/>
        <v>9</v>
      </c>
      <c r="H103" t="s">
        <v>295</v>
      </c>
      <c r="I103" t="str">
        <f>offset(Translation!$A$5,0,match($H103,Translation!$A$6:$FH$6,0)-1)</f>
        <v>Texas</v>
      </c>
      <c r="J103">
        <f t="shared" si="2"/>
        <v>9.503</v>
      </c>
      <c r="K103" t="str">
        <f>iferror(offset(DraftTracker!D$1,match(I103,DraftTracker!F:F,0)-1,0),"undrafted")</f>
        <v>Gary</v>
      </c>
    </row>
    <row r="104">
      <c r="A104" t="str">
        <f>IFERROR(__xludf.DUMMYFUNCTION("""COMPUTED_VALUE"""),"Georgia Southern Eagles")</f>
        <v>Georgia Southern Eagles</v>
      </c>
      <c r="B104" s="106" t="str">
        <f>IFERROR(__xludf.DUMMYFUNCTION("""COMPUTED_VALUE"""),"Sun Belt")</f>
        <v>Sun Belt</v>
      </c>
      <c r="C104" s="106">
        <f>IFERROR(__xludf.DUMMYFUNCTION("""COMPUTED_VALUE"""),5.640000000000001)</f>
        <v>5.64</v>
      </c>
      <c r="D104" s="23" t="s">
        <v>302</v>
      </c>
      <c r="E104" s="23" t="s">
        <v>306</v>
      </c>
      <c r="F104">
        <f t="shared" si="1"/>
        <v>10</v>
      </c>
      <c r="H104" t="s">
        <v>418</v>
      </c>
      <c r="I104" t="str">
        <f>offset(Translation!$A$5,0,match($H104,Translation!$A$6:$FH$6,0)-1)</f>
        <v>Texas State</v>
      </c>
      <c r="J104">
        <f t="shared" si="2"/>
        <v>5.514</v>
      </c>
      <c r="K104" t="str">
        <f>iferror(offset(DraftTracker!D$1,match(I104,DraftTracker!F:F,0)-1,0),"undrafted")</f>
        <v>Nick A.</v>
      </c>
    </row>
    <row r="105">
      <c r="A105" t="str">
        <f>IFERROR(__xludf.DUMMYFUNCTION("""COMPUTED_VALUE"""),"Marshall Thundering Herd")</f>
        <v>Marshall Thundering Herd</v>
      </c>
      <c r="B105" s="106" t="str">
        <f>IFERROR(__xludf.DUMMYFUNCTION("""COMPUTED_VALUE"""),"Sun Belt")</f>
        <v>Sun Belt</v>
      </c>
      <c r="C105" s="106">
        <f>IFERROR(__xludf.DUMMYFUNCTION("""COMPUTED_VALUE"""),6.439)</f>
        <v>6.439</v>
      </c>
      <c r="D105" s="23" t="s">
        <v>408</v>
      </c>
      <c r="E105" s="23" t="s">
        <v>355</v>
      </c>
      <c r="F105">
        <f t="shared" si="1"/>
        <v>81</v>
      </c>
      <c r="H105" t="s">
        <v>365</v>
      </c>
      <c r="I105" t="str">
        <f>offset(Translation!$A$5,0,match($H105,Translation!$A$6:$FH$6,0)-1)</f>
        <v>Texas Tech</v>
      </c>
      <c r="J105">
        <f t="shared" si="2"/>
        <v>10.341</v>
      </c>
      <c r="K105" t="str">
        <f>iferror(offset(DraftTracker!D$1,match(I105,DraftTracker!F:F,0)-1,0),"undrafted")</f>
        <v>Vu</v>
      </c>
    </row>
    <row r="106">
      <c r="A106" t="str">
        <f>IFERROR(__xludf.DUMMYFUNCTION("""COMPUTED_VALUE"""),"Tulsa Golden Hurricane")</f>
        <v>Tulsa Golden Hurricane</v>
      </c>
      <c r="B106" s="106" t="str">
        <f>IFERROR(__xludf.DUMMYFUNCTION("""COMPUTED_VALUE"""),"American")</f>
        <v>American</v>
      </c>
      <c r="C106" s="106">
        <f>IFERROR(__xludf.DUMMYFUNCTION("""COMPUTED_VALUE"""),5.678)</f>
        <v>5.678</v>
      </c>
      <c r="D106" s="23" t="s">
        <v>416</v>
      </c>
      <c r="E106" s="23" t="s">
        <v>287</v>
      </c>
      <c r="F106">
        <f t="shared" si="1"/>
        <v>97</v>
      </c>
      <c r="H106" t="s">
        <v>383</v>
      </c>
      <c r="I106" t="str">
        <f>offset(Translation!$A$5,0,match($H106,Translation!$A$6:$FH$6,0)-1)</f>
        <v>Toledo</v>
      </c>
      <c r="J106">
        <f t="shared" si="2"/>
        <v>8.237</v>
      </c>
      <c r="K106" t="str">
        <f>iferror(offset(DraftTracker!D$1,match(I106,DraftTracker!F:F,0)-1,0),"undrafted")</f>
        <v>Nick A.</v>
      </c>
    </row>
    <row r="107">
      <c r="A107" t="str">
        <f>IFERROR(__xludf.DUMMYFUNCTION("""COMPUTED_VALUE"""),"Kennesaw State Owls")</f>
        <v>Kennesaw State Owls</v>
      </c>
      <c r="B107" s="106" t="str">
        <f>IFERROR(__xludf.DUMMYFUNCTION("""COMPUTED_VALUE"""),"CUSA")</f>
        <v>CUSA</v>
      </c>
      <c r="C107" s="106">
        <f>IFERROR(__xludf.DUMMYFUNCTION("""COMPUTED_VALUE"""),6.387)</f>
        <v>6.387</v>
      </c>
      <c r="D107" s="23" t="s">
        <v>414</v>
      </c>
      <c r="E107" s="23" t="s">
        <v>325</v>
      </c>
      <c r="F107">
        <f t="shared" si="1"/>
        <v>95</v>
      </c>
      <c r="H107" t="s">
        <v>370</v>
      </c>
      <c r="I107" t="str">
        <f>offset(Translation!$A$5,0,match($H107,Translation!$A$6:$FH$6,0)-1)</f>
        <v>Troy</v>
      </c>
      <c r="J107">
        <f t="shared" si="2"/>
        <v>6.518</v>
      </c>
      <c r="K107" t="str">
        <f>iferror(offset(DraftTracker!D$1,match(I107,DraftTracker!F:F,0)-1,0),"undrafted")</f>
        <v>Vu</v>
      </c>
    </row>
    <row r="108">
      <c r="A108" t="str">
        <f>IFERROR(__xludf.DUMMYFUNCTION("""COMPUTED_VALUE"""),"Arkansas State Red Wolves")</f>
        <v>Arkansas State Red Wolves</v>
      </c>
      <c r="B108" s="106" t="str">
        <f>IFERROR(__xludf.DUMMYFUNCTION("""COMPUTED_VALUE"""),"Sun Belt")</f>
        <v>Sun Belt</v>
      </c>
      <c r="C108" s="106">
        <f>IFERROR(__xludf.DUMMYFUNCTION("""COMPUTED_VALUE"""),6.139)</f>
        <v>6.139</v>
      </c>
      <c r="D108" s="23" t="s">
        <v>390</v>
      </c>
      <c r="E108" s="23" t="s">
        <v>351</v>
      </c>
      <c r="F108">
        <f t="shared" si="1"/>
        <v>62</v>
      </c>
      <c r="H108" t="s">
        <v>375</v>
      </c>
      <c r="I108" t="str">
        <f>offset(Translation!$A$5,0,match($H108,Translation!$A$6:$FH$6,0)-1)</f>
        <v>Tulane</v>
      </c>
      <c r="J108">
        <f t="shared" si="2"/>
        <v>7.982</v>
      </c>
      <c r="K108" t="str">
        <f>iferror(offset(DraftTracker!D$1,match(I108,DraftTracker!F:F,0)-1,0),"undrafted")</f>
        <v>Vu</v>
      </c>
    </row>
    <row r="109">
      <c r="A109" t="str">
        <f>IFERROR(__xludf.DUMMYFUNCTION("""COMPUTED_VALUE"""),"Louisiana Tech Bulldogs")</f>
        <v>Louisiana Tech Bulldogs</v>
      </c>
      <c r="B109" s="106" t="str">
        <f>IFERROR(__xludf.DUMMYFUNCTION("""COMPUTED_VALUE"""),"Sun Belt")</f>
        <v>Sun Belt</v>
      </c>
      <c r="C109" s="106">
        <f>IFERROR(__xludf.DUMMYFUNCTION("""COMPUTED_VALUE"""),5.547)</f>
        <v>5.547</v>
      </c>
      <c r="D109" s="23" t="s">
        <v>403</v>
      </c>
      <c r="E109" s="23" t="s">
        <v>325</v>
      </c>
      <c r="F109">
        <f t="shared" si="1"/>
        <v>73</v>
      </c>
      <c r="H109" t="s">
        <v>426</v>
      </c>
      <c r="I109" t="str">
        <f>offset(Translation!$A$5,0,match($H109,Translation!$A$6:$FH$6,0)-1)</f>
        <v>Tulsa</v>
      </c>
      <c r="J109">
        <f t="shared" si="2"/>
        <v>5.678</v>
      </c>
      <c r="K109" t="str">
        <f>iferror(offset(DraftTracker!D$1,match(I109,DraftTracker!F:F,0)-1,0),"undrafted")</f>
        <v>Josh</v>
      </c>
    </row>
    <row r="110">
      <c r="A110" t="str">
        <f>IFERROR(__xludf.DUMMYFUNCTION("""COMPUTED_VALUE"""),"App State Mountaineers")</f>
        <v>App State Mountaineers</v>
      </c>
      <c r="B110" s="106" t="str">
        <f>IFERROR(__xludf.DUMMYFUNCTION("""COMPUTED_VALUE"""),"Sun Belt")</f>
        <v>Sun Belt</v>
      </c>
      <c r="C110" s="106">
        <f>IFERROR(__xludf.DUMMYFUNCTION("""COMPUTED_VALUE"""),6.0489999999999995)</f>
        <v>6.049</v>
      </c>
      <c r="D110" s="23" t="s">
        <v>427</v>
      </c>
      <c r="E110" s="23" t="s">
        <v>325</v>
      </c>
      <c r="F110">
        <f t="shared" si="1"/>
        <v>110</v>
      </c>
      <c r="H110" t="s">
        <v>427</v>
      </c>
      <c r="I110" t="str">
        <f>offset(Translation!$A$5,0,match($H110,Translation!$A$6:$FH$6,0)-1)</f>
        <v>UAB</v>
      </c>
      <c r="J110">
        <f t="shared" si="2"/>
        <v>3.997</v>
      </c>
      <c r="K110" t="str">
        <f>iferror(offset(DraftTracker!D$1,match(I110,DraftTracker!F:F,0)-1,0),"undrafted")</f>
        <v>Justin</v>
      </c>
    </row>
    <row r="111">
      <c r="A111" t="str">
        <f>IFERROR(__xludf.DUMMYFUNCTION("""COMPUTED_VALUE"""),"Missouri State Bears")</f>
        <v>Missouri State Bears</v>
      </c>
      <c r="B111" s="106" t="str">
        <f>IFERROR(__xludf.DUMMYFUNCTION("""COMPUTED_VALUE"""),"CUSA")</f>
        <v>CUSA</v>
      </c>
      <c r="C111" s="106">
        <f>IFERROR(__xludf.DUMMYFUNCTION("""COMPUTED_VALUE"""),5.617)</f>
        <v>5.617</v>
      </c>
      <c r="D111" s="23" t="s">
        <v>413</v>
      </c>
      <c r="E111" s="23" t="s">
        <v>374</v>
      </c>
      <c r="F111">
        <f t="shared" si="1"/>
        <v>90</v>
      </c>
      <c r="H111" t="s">
        <v>337</v>
      </c>
      <c r="I111" t="str">
        <f>offset(Translation!$A$5,0,match($H111,Translation!$A$6:$FH$6,0)-1)</f>
        <v>UCF</v>
      </c>
      <c r="J111">
        <f t="shared" si="2"/>
        <v>6.083</v>
      </c>
      <c r="K111" t="str">
        <f>iferror(offset(DraftTracker!D$1,match(I111,DraftTracker!F:F,0)-1,0),"undrafted")</f>
        <v>Jeannine</v>
      </c>
    </row>
    <row r="112">
      <c r="A112" t="str">
        <f>IFERROR(__xludf.DUMMYFUNCTION("""COMPUTED_VALUE"""),"Sacramento State Hornets")</f>
        <v>Sacramento State Hornets</v>
      </c>
      <c r="B112" s="106" t="str">
        <f>IFERROR(__xludf.DUMMYFUNCTION("""COMPUTED_VALUE"""),"MAC")</f>
        <v>MAC</v>
      </c>
      <c r="C112" s="106">
        <f>IFERROR(__xludf.DUMMYFUNCTION("""COMPUTED_VALUE"""),6.625)</f>
        <v>6.625</v>
      </c>
      <c r="D112" s="23" t="s">
        <v>307</v>
      </c>
      <c r="E112" s="23" t="s">
        <v>352</v>
      </c>
      <c r="F112">
        <f t="shared" si="1"/>
        <v>12</v>
      </c>
      <c r="H112" t="s">
        <v>356</v>
      </c>
      <c r="I112" t="str">
        <f>offset(Translation!$A$5,0,match($H112,Translation!$A$6:$FH$6,0)-1)</f>
        <v>UCLA</v>
      </c>
      <c r="J112">
        <f t="shared" si="2"/>
        <v>5.099</v>
      </c>
      <c r="K112" t="str">
        <f>iferror(offset(DraftTracker!D$1,match(I112,DraftTracker!F:F,0)-1,0),"undrafted")</f>
        <v>Janice/Mike</v>
      </c>
    </row>
    <row r="113">
      <c r="A113" t="str">
        <f>IFERROR(__xludf.DUMMYFUNCTION("""COMPUTED_VALUE"""),"South Alabama Jaguars")</f>
        <v>South Alabama Jaguars</v>
      </c>
      <c r="B113" s="106" t="str">
        <f>IFERROR(__xludf.DUMMYFUNCTION("""COMPUTED_VALUE"""),"Sun Belt")</f>
        <v>Sun Belt</v>
      </c>
      <c r="C113" s="106">
        <f>IFERROR(__xludf.DUMMYFUNCTION("""COMPUTED_VALUE"""),5.355)</f>
        <v>5.355</v>
      </c>
      <c r="D113" s="23" t="s">
        <v>334</v>
      </c>
      <c r="E113" s="23" t="s">
        <v>374</v>
      </c>
      <c r="F113">
        <f t="shared" si="1"/>
        <v>26</v>
      </c>
      <c r="H113" t="s">
        <v>428</v>
      </c>
      <c r="I113" t="str">
        <f>offset(Translation!$A$5,0,match($H113,Translation!$A$6:$FH$6,0)-1)</f>
        <v>UConn</v>
      </c>
      <c r="J113">
        <f t="shared" si="2"/>
        <v>4.8</v>
      </c>
      <c r="K113" t="str">
        <f>iferror(offset(DraftTracker!D$1,match(I113,DraftTracker!F:F,0)-1,0),"undrafted")</f>
        <v>Nico</v>
      </c>
    </row>
    <row r="114">
      <c r="A114" t="str">
        <f>IFERROR(__xludf.DUMMYFUNCTION("""COMPUTED_VALUE"""),"Buffalo Bulls")</f>
        <v>Buffalo Bulls</v>
      </c>
      <c r="B114" s="106" t="str">
        <f>IFERROR(__xludf.DUMMYFUNCTION("""COMPUTED_VALUE"""),"MAC")</f>
        <v>MAC</v>
      </c>
      <c r="C114" s="106">
        <f>IFERROR(__xludf.DUMMYFUNCTION("""COMPUTED_VALUE"""),6.5409999999999995)</f>
        <v>6.541</v>
      </c>
      <c r="D114" s="23" t="s">
        <v>395</v>
      </c>
      <c r="E114" s="23" t="s">
        <v>325</v>
      </c>
      <c r="F114">
        <f t="shared" si="1"/>
        <v>66</v>
      </c>
      <c r="H114" t="s">
        <v>429</v>
      </c>
      <c r="I114" t="str">
        <f>offset(Translation!$A$5,0,match($H114,Translation!$A$6:$FH$6,0)-1)</f>
        <v>UL Monroe</v>
      </c>
      <c r="J114" t="str">
        <f t="shared" si="2"/>
        <v/>
      </c>
      <c r="K114" t="str">
        <f>iferror(offset(DraftTracker!D$1,match(I114,DraftTracker!F:F,0)-1,0),"undrafted")</f>
        <v>Masa</v>
      </c>
    </row>
    <row r="115">
      <c r="A115" t="str">
        <f>IFERROR(__xludf.DUMMYFUNCTION("""COMPUTED_VALUE"""),"UConn Huskies")</f>
        <v>UConn Huskies</v>
      </c>
      <c r="B115" s="106" t="str">
        <f>IFERROR(__xludf.DUMMYFUNCTION("""COMPUTED_VALUE"""),"FBS Indep.")</f>
        <v>FBS Indep.</v>
      </c>
      <c r="C115" s="106">
        <f>IFERROR(__xludf.DUMMYFUNCTION("""COMPUTED_VALUE"""),4.8)</f>
        <v>4.8</v>
      </c>
      <c r="D115" s="23" t="s">
        <v>323</v>
      </c>
      <c r="E115" s="23" t="s">
        <v>352</v>
      </c>
      <c r="F115">
        <f t="shared" si="1"/>
        <v>20</v>
      </c>
      <c r="H115" s="23" t="s">
        <v>430</v>
      </c>
      <c r="I115" t="str">
        <f>offset(Translation!$A$5,0,match($H115,Translation!$A$6:$FH$6,0)-1)</f>
        <v>UMASS</v>
      </c>
      <c r="J115" t="str">
        <f t="shared" si="2"/>
        <v/>
      </c>
      <c r="K115" t="str">
        <f>iferror(offset(DraftTracker!D$1,match(I115,DraftTracker!F:F,0)-1,0),"undrafted")</f>
        <v>DavEmily</v>
      </c>
    </row>
    <row r="116">
      <c r="A116" t="str">
        <f>IFERROR(__xludf.DUMMYFUNCTION("""COMPUTED_VALUE"""),"Florida Atlantic Owls")</f>
        <v>Florida Atlantic Owls</v>
      </c>
      <c r="B116" s="106" t="str">
        <f>IFERROR(__xludf.DUMMYFUNCTION("""COMPUTED_VALUE"""),"American")</f>
        <v>American</v>
      </c>
      <c r="C116" s="106">
        <f>IFERROR(__xludf.DUMMYFUNCTION("""COMPUTED_VALUE"""),5.0889999999999995)</f>
        <v>5.089</v>
      </c>
      <c r="D116" s="23" t="s">
        <v>426</v>
      </c>
      <c r="E116" s="23" t="s">
        <v>325</v>
      </c>
      <c r="F116">
        <f t="shared" si="1"/>
        <v>109</v>
      </c>
      <c r="H116" t="s">
        <v>397</v>
      </c>
      <c r="I116" t="str">
        <f>offset(Translation!$A$5,0,match($H116,Translation!$A$6:$FH$6,0)-1)</f>
        <v>UNLV</v>
      </c>
      <c r="J116">
        <f t="shared" si="2"/>
        <v>8.646</v>
      </c>
      <c r="K116" t="str">
        <f>iferror(offset(DraftTracker!D$1,match(I116,DraftTracker!F:F,0)-1,0),"undrafted")</f>
        <v>Josh</v>
      </c>
    </row>
    <row r="117">
      <c r="A117" t="str">
        <f>IFERROR(__xludf.DUMMYFUNCTION("""COMPUTED_VALUE"""),"Nevada Wolf Pack")</f>
        <v>Nevada Wolf Pack</v>
      </c>
      <c r="B117" s="106" t="str">
        <f>IFERROR(__xludf.DUMMYFUNCTION("""COMPUTED_VALUE"""),"Mountain West")</f>
        <v>Mountain West</v>
      </c>
      <c r="C117" s="106">
        <f>IFERROR(__xludf.DUMMYFUNCTION("""COMPUTED_VALUE"""),4.772)</f>
        <v>4.772</v>
      </c>
      <c r="D117" s="23" t="s">
        <v>431</v>
      </c>
      <c r="E117" s="23" t="s">
        <v>352</v>
      </c>
      <c r="F117">
        <f t="shared" si="1"/>
        <v>130</v>
      </c>
      <c r="H117" t="s">
        <v>327</v>
      </c>
      <c r="I117" t="str">
        <f>offset(Translation!$A$5,0,match($H117,Translation!$A$6:$FH$6,0)-1)</f>
        <v>USC</v>
      </c>
      <c r="J117">
        <f t="shared" si="2"/>
        <v>8.149</v>
      </c>
      <c r="K117" t="str">
        <f>iferror(offset(DraftTracker!D$1,match(I117,DraftTracker!F:F,0)-1,0),"undrafted")</f>
        <v>Josh</v>
      </c>
    </row>
    <row r="118">
      <c r="A118" t="str">
        <f>IFERROR(__xludf.DUMMYFUNCTION("""COMPUTED_VALUE"""),"Coastal Carolina Chanticleers")</f>
        <v>Coastal Carolina Chanticleers</v>
      </c>
      <c r="B118" s="106" t="str">
        <f>IFERROR(__xludf.DUMMYFUNCTION("""COMPUTED_VALUE"""),"Sun Belt")</f>
        <v>Sun Belt</v>
      </c>
      <c r="C118" s="106">
        <f>IFERROR(__xludf.DUMMYFUNCTION("""COMPUTED_VALUE"""),5.176)</f>
        <v>5.176</v>
      </c>
      <c r="D118" s="23" t="s">
        <v>317</v>
      </c>
      <c r="E118" s="23" t="s">
        <v>352</v>
      </c>
      <c r="F118">
        <f t="shared" si="1"/>
        <v>17</v>
      </c>
      <c r="H118" t="s">
        <v>417</v>
      </c>
      <c r="I118" t="str">
        <f>offset(Translation!$A$5,0,match($H118,Translation!$A$6:$FH$6,0)-1)</f>
        <v>Utah State</v>
      </c>
      <c r="J118">
        <f t="shared" si="2"/>
        <v>4.653</v>
      </c>
      <c r="K118" t="str">
        <f>iferror(offset(DraftTracker!D$1,match(I118,DraftTracker!F:F,0)-1,0),"undrafted")</f>
        <v>Justin</v>
      </c>
    </row>
    <row r="119">
      <c r="A119" t="str">
        <f>IFERROR(__xludf.DUMMYFUNCTION("""COMPUTED_VALUE"""),"Colorado State Rams")</f>
        <v>Colorado State Rams</v>
      </c>
      <c r="B119" s="106" t="str">
        <f>IFERROR(__xludf.DUMMYFUNCTION("""COMPUTED_VALUE"""),"Pac-12")</f>
        <v>Pac-12</v>
      </c>
      <c r="C119" s="106">
        <f>IFERROR(__xludf.DUMMYFUNCTION("""COMPUTED_VALUE"""),3.587)</f>
        <v>3.587</v>
      </c>
      <c r="D119" s="23" t="s">
        <v>432</v>
      </c>
      <c r="E119" s="23" t="s">
        <v>351</v>
      </c>
      <c r="F119">
        <f t="shared" si="1"/>
        <v>133</v>
      </c>
      <c r="H119" t="s">
        <v>333</v>
      </c>
      <c r="I119" t="str">
        <f>offset(Translation!$A$5,0,match($H119,Translation!$A$6:$FH$6,0)-1)</f>
        <v>Utah</v>
      </c>
      <c r="J119">
        <f t="shared" si="2"/>
        <v>7.641</v>
      </c>
      <c r="K119" t="str">
        <f>iferror(offset(DraftTracker!D$1,match(I119,DraftTracker!F:F,0)-1,0),"undrafted")</f>
        <v>Nico</v>
      </c>
    </row>
    <row r="120">
      <c r="A120" t="str">
        <f>IFERROR(__xludf.DUMMYFUNCTION("""COMPUTED_VALUE"""),"Florida International Panthers")</f>
        <v>Florida International Panthers</v>
      </c>
      <c r="B120" s="106" t="str">
        <f>IFERROR(__xludf.DUMMYFUNCTION("""COMPUTED_VALUE"""),"CUSA")</f>
        <v>CUSA</v>
      </c>
      <c r="C120" s="106">
        <f>IFERROR(__xludf.DUMMYFUNCTION("""COMPUTED_VALUE"""),5.948)</f>
        <v>5.948</v>
      </c>
      <c r="D120" s="23" t="s">
        <v>415</v>
      </c>
      <c r="E120" s="23" t="s">
        <v>355</v>
      </c>
      <c r="F120">
        <f t="shared" si="1"/>
        <v>96</v>
      </c>
      <c r="H120" t="s">
        <v>433</v>
      </c>
      <c r="I120" t="str">
        <f>offset(Translation!$A$5,0,match($H120,Translation!$A$6:$FH$6,0)-1)</f>
        <v>UTEP</v>
      </c>
      <c r="J120">
        <f t="shared" si="2"/>
        <v>4.091</v>
      </c>
      <c r="K120" t="str">
        <f>iferror(offset(DraftTracker!D$1,match(I120,DraftTracker!F:F,0)-1,0),"undrafted")</f>
        <v>Dan</v>
      </c>
    </row>
    <row r="121">
      <c r="A121" t="str">
        <f>IFERROR(__xludf.DUMMYFUNCTION("""COMPUTED_VALUE"""),"Central Michigan Chippewas")</f>
        <v>Central Michigan Chippewas</v>
      </c>
      <c r="B121" s="106" t="str">
        <f>IFERROR(__xludf.DUMMYFUNCTION("""COMPUTED_VALUE"""),"MAC")</f>
        <v>MAC</v>
      </c>
      <c r="C121" s="106">
        <f>IFERROR(__xludf.DUMMYFUNCTION("""COMPUTED_VALUE"""),5.555)</f>
        <v>5.555</v>
      </c>
      <c r="D121" s="23" t="s">
        <v>399</v>
      </c>
      <c r="E121" s="23" t="s">
        <v>374</v>
      </c>
      <c r="F121">
        <f t="shared" si="1"/>
        <v>70</v>
      </c>
      <c r="H121" t="s">
        <v>385</v>
      </c>
      <c r="I121" t="str">
        <f>offset(Translation!$A$5,0,match($H121,Translation!$A$6:$FH$6,0)-1)</f>
        <v>UTSA</v>
      </c>
      <c r="J121">
        <f t="shared" si="2"/>
        <v>6.341</v>
      </c>
      <c r="K121" t="str">
        <f>iferror(offset(DraftTracker!D$1,match(I121,DraftTracker!F:F,0)-1,0),"undrafted")</f>
        <v>Dan</v>
      </c>
    </row>
    <row r="122">
      <c r="A122" t="str">
        <f>IFERROR(__xludf.DUMMYFUNCTION("""COMPUTED_VALUE"""),"Wyoming Cowboys")</f>
        <v>Wyoming Cowboys</v>
      </c>
      <c r="B122" s="106" t="str">
        <f>IFERROR(__xludf.DUMMYFUNCTION("""COMPUTED_VALUE"""),"Mountain West")</f>
        <v>Mountain West</v>
      </c>
      <c r="C122" s="106">
        <f>IFERROR(__xludf.DUMMYFUNCTION("""COMPUTED_VALUE"""),5.377000000000001)</f>
        <v>5.377</v>
      </c>
      <c r="D122" s="23" t="s">
        <v>433</v>
      </c>
      <c r="E122" s="23" t="s">
        <v>351</v>
      </c>
      <c r="F122">
        <f t="shared" si="1"/>
        <v>120</v>
      </c>
      <c r="H122" t="s">
        <v>420</v>
      </c>
      <c r="I122" t="str">
        <f>offset(Translation!$A$5,0,match($H122,Translation!$A$6:$FH$6,0)-1)</f>
        <v>Vanderbilt</v>
      </c>
      <c r="J122">
        <f t="shared" si="2"/>
        <v>6.193</v>
      </c>
      <c r="K122" t="str">
        <f>iferror(offset(DraftTracker!D$1,match(I122,DraftTracker!F:F,0)-1,0),"undrafted")</f>
        <v>Undrafted</v>
      </c>
    </row>
    <row r="123">
      <c r="A123" t="str">
        <f>IFERROR(__xludf.DUMMYFUNCTION("""COMPUTED_VALUE"""),"Rice Owls")</f>
        <v>Rice Owls</v>
      </c>
      <c r="B123" s="106" t="str">
        <f>IFERROR(__xludf.DUMMYFUNCTION("""COMPUTED_VALUE"""),"American")</f>
        <v>American</v>
      </c>
      <c r="C123" s="106">
        <f>IFERROR(__xludf.DUMMYFUNCTION("""COMPUTED_VALUE"""),3.995)</f>
        <v>3.995</v>
      </c>
      <c r="D123" s="23" t="s">
        <v>340</v>
      </c>
      <c r="E123" s="23" t="s">
        <v>352</v>
      </c>
      <c r="F123">
        <f t="shared" si="1"/>
        <v>29</v>
      </c>
      <c r="H123" t="s">
        <v>411</v>
      </c>
      <c r="I123" t="str">
        <f>offset(Translation!$A$5,0,match($H123,Translation!$A$6:$FH$6,0)-1)</f>
        <v>Virginia</v>
      </c>
      <c r="J123">
        <f t="shared" si="2"/>
        <v>7.662</v>
      </c>
      <c r="K123" t="str">
        <f>iferror(offset(DraftTracker!D$1,match(I123,DraftTracker!F:F,0)-1,0),"undrafted")</f>
        <v>Undrafted</v>
      </c>
    </row>
    <row r="124">
      <c r="A124" t="str">
        <f>IFERROR(__xludf.DUMMYFUNCTION("""COMPUTED_VALUE"""),"Bowling Green Falcons")</f>
        <v>Bowling Green Falcons</v>
      </c>
      <c r="B124" s="106" t="str">
        <f>IFERROR(__xludf.DUMMYFUNCTION("""COMPUTED_VALUE"""),"MAC")</f>
        <v>MAC</v>
      </c>
      <c r="C124" s="106">
        <f>IFERROR(__xludf.DUMMYFUNCTION("""COMPUTED_VALUE"""),4.67)</f>
        <v>4.67</v>
      </c>
      <c r="D124" s="23" t="s">
        <v>361</v>
      </c>
      <c r="E124" s="23" t="s">
        <v>374</v>
      </c>
      <c r="F124">
        <f t="shared" si="1"/>
        <v>39</v>
      </c>
      <c r="H124" t="s">
        <v>371</v>
      </c>
      <c r="I124" t="str">
        <f>offset(Translation!$A$5,0,match($H124,Translation!$A$6:$FH$6,0)-1)</f>
        <v>Virginia Tech</v>
      </c>
      <c r="J124">
        <f t="shared" si="2"/>
        <v>6.972</v>
      </c>
      <c r="K124" t="str">
        <f>iferror(offset(DraftTracker!D$1,match(I124,DraftTracker!F:F,0)-1,0),"undrafted")</f>
        <v>Janice/Mike</v>
      </c>
    </row>
    <row r="125">
      <c r="A125" t="str">
        <f>IFERROR(__xludf.DUMMYFUNCTION("""COMPUTED_VALUE"""),"San José State Spartans")</f>
        <v>San José State Spartans</v>
      </c>
      <c r="B125" s="106" t="str">
        <f>IFERROR(__xludf.DUMMYFUNCTION("""COMPUTED_VALUE"""),"Mountain West")</f>
        <v>Mountain West</v>
      </c>
      <c r="C125" s="106">
        <f>IFERROR(__xludf.DUMMYFUNCTION("""COMPUTED_VALUE"""),4.979)</f>
        <v>4.979</v>
      </c>
      <c r="D125" s="23" t="s">
        <v>326</v>
      </c>
      <c r="E125" s="23" t="s">
        <v>325</v>
      </c>
      <c r="F125">
        <f t="shared" si="1"/>
        <v>21</v>
      </c>
      <c r="H125" t="s">
        <v>402</v>
      </c>
      <c r="I125" t="str">
        <f>offset(Translation!$A$5,0,match($H125,Translation!$A$6:$FH$6,0)-1)</f>
        <v>Wake Forest</v>
      </c>
      <c r="J125">
        <f t="shared" si="2"/>
        <v>6.29</v>
      </c>
      <c r="K125" t="str">
        <f>iferror(offset(DraftTracker!D$1,match(I125,DraftTracker!F:F,0)-1,0),"undrafted")</f>
        <v>Josh</v>
      </c>
    </row>
    <row r="126">
      <c r="A126" t="str">
        <f>IFERROR(__xludf.DUMMYFUNCTION("""COMPUTED_VALUE"""),"Northern Illinois Huskies")</f>
        <v>Northern Illinois Huskies</v>
      </c>
      <c r="B126" s="106" t="str">
        <f>IFERROR(__xludf.DUMMYFUNCTION("""COMPUTED_VALUE"""),"Mountain West")</f>
        <v>Mountain West</v>
      </c>
      <c r="C126" s="106">
        <f>IFERROR(__xludf.DUMMYFUNCTION("""COMPUTED_VALUE"""),4.284)</f>
        <v>4.284</v>
      </c>
      <c r="D126" s="23" t="s">
        <v>377</v>
      </c>
      <c r="E126" s="23" t="s">
        <v>351</v>
      </c>
      <c r="F126">
        <f t="shared" si="1"/>
        <v>52</v>
      </c>
      <c r="H126" t="s">
        <v>310</v>
      </c>
      <c r="I126" t="str">
        <f>offset(Translation!$A$5,0,match($H126,Translation!$A$6:$FH$6,0)-1)</f>
        <v>Washington</v>
      </c>
      <c r="J126">
        <f t="shared" si="2"/>
        <v>6.99</v>
      </c>
      <c r="K126" t="str">
        <f>iferror(offset(DraftTracker!D$1,match(I126,DraftTracker!F:F,0)-1,0),"undrafted")</f>
        <v>Vu</v>
      </c>
    </row>
    <row r="127">
      <c r="A127" t="str">
        <f>IFERROR(__xludf.DUMMYFUNCTION("""COMPUTED_VALUE"""),"Charlotte 49ers")</f>
        <v>Charlotte 49ers</v>
      </c>
      <c r="B127" s="106" t="str">
        <f>IFERROR(__xludf.DUMMYFUNCTION("""COMPUTED_VALUE"""),"American")</f>
        <v>American</v>
      </c>
      <c r="C127" s="106">
        <f>IFERROR(__xludf.DUMMYFUNCTION("""COMPUTED_VALUE"""),3.896)</f>
        <v>3.896</v>
      </c>
      <c r="D127" s="23" t="s">
        <v>428</v>
      </c>
      <c r="E127" s="23" t="s">
        <v>306</v>
      </c>
      <c r="F127">
        <f t="shared" si="1"/>
        <v>113</v>
      </c>
      <c r="H127" t="s">
        <v>378</v>
      </c>
      <c r="I127" t="str">
        <f>offset(Translation!$A$5,0,match($H127,Translation!$A$6:$FH$6,0)-1)</f>
        <v>Washington State</v>
      </c>
      <c r="J127">
        <f t="shared" si="2"/>
        <v>5.017</v>
      </c>
      <c r="K127" t="str">
        <f>iferror(offset(DraftTracker!D$1,match(I127,DraftTracker!F:F,0)-1,0),"undrafted")</f>
        <v>Gary</v>
      </c>
    </row>
    <row r="128">
      <c r="A128" t="str">
        <f>IFERROR(__xludf.DUMMYFUNCTION("""COMPUTED_VALUE"""),"Georgia State Panthers")</f>
        <v>Georgia State Panthers</v>
      </c>
      <c r="B128" s="106" t="str">
        <f>IFERROR(__xludf.DUMMYFUNCTION("""COMPUTED_VALUE"""),"Sun Belt")</f>
        <v>Sun Belt</v>
      </c>
      <c r="C128" s="106">
        <f>IFERROR(__xludf.DUMMYFUNCTION("""COMPUTED_VALUE"""),4.5889999999999995)</f>
        <v>4.589</v>
      </c>
      <c r="D128" s="23" t="s">
        <v>430</v>
      </c>
      <c r="E128" s="23" t="s">
        <v>306</v>
      </c>
      <c r="F128">
        <f t="shared" si="1"/>
        <v>115</v>
      </c>
      <c r="H128" t="s">
        <v>369</v>
      </c>
      <c r="I128" t="str">
        <f>offset(Translation!$A$5,0,match($H128,Translation!$A$6:$FH$6,0)-1)</f>
        <v>West Virginia</v>
      </c>
      <c r="J128">
        <f t="shared" si="2"/>
        <v>5.393</v>
      </c>
      <c r="K128" t="str">
        <f>iferror(offset(DraftTracker!D$1,match(I128,DraftTracker!F:F,0)-1,0),"undrafted")</f>
        <v>Undrafted</v>
      </c>
    </row>
    <row r="129">
      <c r="A129" t="str">
        <f>IFERROR(__xludf.DUMMYFUNCTION("""COMPUTED_VALUE"""),"UAB Blazers")</f>
        <v>UAB Blazers</v>
      </c>
      <c r="B129" s="106" t="str">
        <f>IFERROR(__xludf.DUMMYFUNCTION("""COMPUTED_VALUE"""),"American")</f>
        <v>American</v>
      </c>
      <c r="C129" s="106">
        <f>IFERROR(__xludf.DUMMYFUNCTION("""COMPUTED_VALUE"""),3.997)</f>
        <v>3.997</v>
      </c>
      <c r="D129" s="23" t="s">
        <v>398</v>
      </c>
      <c r="E129" s="23" t="s">
        <v>374</v>
      </c>
      <c r="F129">
        <f t="shared" si="1"/>
        <v>69</v>
      </c>
      <c r="H129" t="s">
        <v>412</v>
      </c>
      <c r="I129" t="str">
        <f>offset(Translation!$A$5,0,match($H129,Translation!$A$6:$FH$6,0)-1)</f>
        <v>Western Kentucky</v>
      </c>
      <c r="J129">
        <f t="shared" si="2"/>
        <v>6.852</v>
      </c>
      <c r="K129" t="str">
        <f>iferror(offset(DraftTracker!D$1,match(I129,DraftTracker!F:F,0)-1,0),"undrafted")</f>
        <v>Brad</v>
      </c>
    </row>
    <row r="130">
      <c r="A130" t="str">
        <f>IFERROR(__xludf.DUMMYFUNCTION("""COMPUTED_VALUE"""),"New Mexico State Aggies")</f>
        <v>New Mexico State Aggies</v>
      </c>
      <c r="B130" s="106" t="str">
        <f>IFERROR(__xludf.DUMMYFUNCTION("""COMPUTED_VALUE"""),"CUSA")</f>
        <v>CUSA</v>
      </c>
      <c r="C130" s="106">
        <f>IFERROR(__xludf.DUMMYFUNCTION("""COMPUTED_VALUE"""),4.372000000000001)</f>
        <v>4.372</v>
      </c>
      <c r="D130" s="23" t="s">
        <v>419</v>
      </c>
      <c r="E130" s="23" t="s">
        <v>325</v>
      </c>
      <c r="F130">
        <f t="shared" si="1"/>
        <v>100</v>
      </c>
      <c r="H130" t="s">
        <v>431</v>
      </c>
      <c r="I130" t="str">
        <f>offset(Translation!$A$5,0,match($H130,Translation!$A$6:$FH$6,0)-1)</f>
        <v>Western Michigan</v>
      </c>
      <c r="J130">
        <f t="shared" si="2"/>
        <v>7.484</v>
      </c>
      <c r="K130" t="str">
        <f>iferror(offset(DraftTracker!D$1,match(I130,DraftTracker!F:F,0)-1,0),"undrafted")</f>
        <v>Justin</v>
      </c>
    </row>
    <row r="131">
      <c r="A131" t="str">
        <f>IFERROR(__xludf.DUMMYFUNCTION("""COMPUTED_VALUE"""),"Middle Tennessee Blue Raiders")</f>
        <v>Middle Tennessee Blue Raiders</v>
      </c>
      <c r="B131" s="106" t="str">
        <f>IFERROR(__xludf.DUMMYFUNCTION("""COMPUTED_VALUE"""),"CUSA")</f>
        <v>CUSA</v>
      </c>
      <c r="C131" s="106">
        <f>IFERROR(__xludf.DUMMYFUNCTION("""COMPUTED_VALUE"""),4.6770000000000005)</f>
        <v>4.677</v>
      </c>
      <c r="D131" s="23" t="s">
        <v>429</v>
      </c>
      <c r="E131" s="23" t="s">
        <v>355</v>
      </c>
      <c r="F131">
        <f t="shared" si="1"/>
        <v>114</v>
      </c>
      <c r="H131" t="s">
        <v>367</v>
      </c>
      <c r="I131" t="str">
        <f>offset(Translation!$A$5,0,match($H131,Translation!$A$6:$FH$6,0)-1)</f>
        <v>Wisconsin</v>
      </c>
      <c r="J131">
        <f t="shared" si="2"/>
        <v>6.494</v>
      </c>
      <c r="K131" t="str">
        <f>iferror(offset(DraftTracker!D$1,match(I131,DraftTracker!F:F,0)-1,0),"undrafted")</f>
        <v>Jeannine</v>
      </c>
    </row>
    <row r="132">
      <c r="A132" t="str">
        <f>IFERROR(__xludf.DUMMYFUNCTION("""COMPUTED_VALUE"""),"Eastern Michigan Eagles")</f>
        <v>Eastern Michigan Eagles</v>
      </c>
      <c r="B132" t="str">
        <f>IFERROR(__xludf.DUMMYFUNCTION("""COMPUTED_VALUE"""),"MAC")</f>
        <v>MAC</v>
      </c>
      <c r="C132" s="106">
        <f>IFERROR(__xludf.DUMMYFUNCTION("""COMPUTED_VALUE"""),4.784)</f>
        <v>4.784</v>
      </c>
      <c r="D132" s="23" t="s">
        <v>285</v>
      </c>
      <c r="E132" s="23" t="s">
        <v>352</v>
      </c>
      <c r="F132">
        <f t="shared" si="1"/>
        <v>3</v>
      </c>
      <c r="H132" t="s">
        <v>406</v>
      </c>
      <c r="I132" t="str">
        <f>offset(Translation!$A$5,0,match($H132,Translation!$A$6:$FH$6,0)-1)</f>
        <v>Wyoming</v>
      </c>
      <c r="J132">
        <f t="shared" si="2"/>
        <v>5.377</v>
      </c>
      <c r="K132" t="str">
        <f>iferror(offset(DraftTracker!D$1,match(I132,DraftTracker!F:F,0)-1,0),"undrafted")</f>
        <v>Vu</v>
      </c>
    </row>
    <row r="133">
      <c r="A133" t="str">
        <f>IFERROR(__xludf.DUMMYFUNCTION("""COMPUTED_VALUE"""),"UTEP Miners")</f>
        <v>UTEP Miners</v>
      </c>
      <c r="B133" t="str">
        <f>IFERROR(__xludf.DUMMYFUNCTION("""COMPUTED_VALUE"""),"Mountain West")</f>
        <v>Mountain West</v>
      </c>
      <c r="C133" s="106">
        <f>IFERROR(__xludf.DUMMYFUNCTION("""COMPUTED_VALUE"""),4.090999999999999)</f>
        <v>4.091</v>
      </c>
      <c r="D133" s="23" t="s">
        <v>344</v>
      </c>
      <c r="E133" s="23" t="s">
        <v>351</v>
      </c>
      <c r="F133">
        <f t="shared" si="1"/>
        <v>32</v>
      </c>
      <c r="H133" s="23" t="s">
        <v>432</v>
      </c>
      <c r="I133" t="str">
        <f>offset(Translation!$A$5,0,match($H133,Translation!$A$6:$FH$6,0)-1)</f>
        <v>Sam Houston</v>
      </c>
      <c r="J133" t="str">
        <f t="shared" si="2"/>
        <v/>
      </c>
      <c r="K133" t="str">
        <f>iferror(offset(DraftTracker!D$1,match(I133,DraftTracker!F:F,0)-1,0),"undrafted")</f>
        <v>Nick G.</v>
      </c>
    </row>
    <row r="134">
      <c r="A134" t="str">
        <f>IFERROR(__xludf.DUMMYFUNCTION("""COMPUTED_VALUE"""),"Akron Zips")</f>
        <v>Akron Zips</v>
      </c>
      <c r="B134" t="str">
        <f>IFERROR(__xludf.DUMMYFUNCTION("""COMPUTED_VALUE"""),"MAC")</f>
        <v>MAC</v>
      </c>
      <c r="C134" s="106">
        <f>IFERROR(__xludf.DUMMYFUNCTION("""COMPUTED_VALUE"""),4.384)</f>
        <v>4.384</v>
      </c>
      <c r="D134" s="23" t="s">
        <v>372</v>
      </c>
      <c r="E134" s="23" t="s">
        <v>352</v>
      </c>
      <c r="F134">
        <f t="shared" si="1"/>
        <v>48</v>
      </c>
      <c r="H134" s="23" t="s">
        <v>409</v>
      </c>
      <c r="I134" t="str">
        <f>offset(Translation!$A$5,0,match($H134,Translation!$A$6:$FH$6,0)-1)</f>
        <v>Jacksonville State</v>
      </c>
      <c r="J134">
        <f t="shared" si="2"/>
        <v>6.875</v>
      </c>
      <c r="K134" t="str">
        <f>iferror(offset(DraftTracker!D$1,match(I134,DraftTracker!F:F,0)-1,0),"undrafted")</f>
        <v>Gary</v>
      </c>
    </row>
    <row r="135">
      <c r="A135" t="str">
        <f>IFERROR(__xludf.DUMMYFUNCTION("""COMPUTED_VALUE"""),"Ball State Cardinals")</f>
        <v>Ball State Cardinals</v>
      </c>
      <c r="B135" t="str">
        <f>IFERROR(__xludf.DUMMYFUNCTION("""COMPUTED_VALUE"""),"MAC")</f>
        <v>MAC</v>
      </c>
      <c r="C135" s="106"/>
      <c r="D135" s="23"/>
      <c r="E135" s="23"/>
      <c r="H135" s="23"/>
    </row>
    <row r="136">
      <c r="A136" t="str">
        <f>IFERROR(__xludf.DUMMYFUNCTION("""COMPUTED_VALUE"""),"Kent State Golden Flashes")</f>
        <v>Kent State Golden Flashes</v>
      </c>
      <c r="B136" t="str">
        <f>IFERROR(__xludf.DUMMYFUNCTION("""COMPUTED_VALUE"""),"MAC")</f>
        <v>MAC</v>
      </c>
      <c r="C136" s="106"/>
      <c r="D136" s="23"/>
      <c r="E136" s="23"/>
      <c r="H136" s="23"/>
    </row>
    <row r="137">
      <c r="A137" t="str">
        <f>IFERROR(__xludf.DUMMYFUNCTION("""COMPUTED_VALUE"""),"Sam Houston Bearkats")</f>
        <v>Sam Houston Bearkats</v>
      </c>
      <c r="B137" t="str">
        <f>IFERROR(__xludf.DUMMYFUNCTION("""COMPUTED_VALUE"""),"CUSA")</f>
        <v>CUSA</v>
      </c>
      <c r="C137" s="106"/>
      <c r="D137" s="23"/>
      <c r="E137" s="23"/>
      <c r="H137" s="23"/>
    </row>
    <row r="138">
      <c r="A138" t="str">
        <f>IFERROR(__xludf.DUMMYFUNCTION("""COMPUTED_VALUE"""),"Massachusetts Minutemen")</f>
        <v>Massachusetts Minutemen</v>
      </c>
      <c r="B138" t="str">
        <f>IFERROR(__xludf.DUMMYFUNCTION("""COMPUTED_VALUE"""),"MAC")</f>
        <v>MAC</v>
      </c>
      <c r="C138" s="106"/>
      <c r="D138" s="23"/>
      <c r="E138" s="23"/>
      <c r="H138" s="23"/>
    </row>
    <row r="139">
      <c r="A139" t="str">
        <f>IFERROR(__xludf.DUMMYFUNCTION("""COMPUTED_VALUE"""),"UL Monroe Warhawks")</f>
        <v>UL Monroe Warhawks</v>
      </c>
      <c r="B139" t="str">
        <f>IFERROR(__xludf.DUMMYFUNCTION("""COMPUTED_VALUE"""),"Sun Belt")</f>
        <v>Sun Belt</v>
      </c>
      <c r="C139" s="106"/>
      <c r="D139" s="23"/>
      <c r="E139" s="23"/>
      <c r="H139" s="23"/>
    </row>
    <row r="140">
      <c r="D140" s="23"/>
      <c r="E140" s="23"/>
      <c r="H140" s="23"/>
    </row>
    <row r="141">
      <c r="D141" s="23"/>
      <c r="E141" s="23"/>
      <c r="H141" s="23"/>
    </row>
    <row r="142">
      <c r="D142" s="23"/>
      <c r="E142" s="23"/>
      <c r="H142" s="23"/>
    </row>
    <row r="143">
      <c r="D143" s="23"/>
      <c r="E143" s="23"/>
      <c r="H143" s="23"/>
    </row>
    <row r="144">
      <c r="D144" s="23"/>
      <c r="E144" s="23"/>
      <c r="H144" s="23"/>
    </row>
    <row r="145">
      <c r="D145" s="23"/>
      <c r="E145" s="23"/>
      <c r="H145" s="23"/>
    </row>
    <row r="146">
      <c r="D146" s="23"/>
      <c r="E146" s="23"/>
      <c r="H146" s="23"/>
    </row>
    <row r="147">
      <c r="D147" s="23"/>
      <c r="E147" s="23"/>
      <c r="H147" s="23"/>
    </row>
    <row r="148">
      <c r="D148" s="23"/>
      <c r="E148" s="23"/>
      <c r="H148" s="23"/>
    </row>
    <row r="149">
      <c r="D149" s="23"/>
      <c r="E149" s="23"/>
      <c r="H149" s="23"/>
    </row>
    <row r="150">
      <c r="D150" s="23"/>
      <c r="E150" s="23"/>
      <c r="H150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4.0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10.25"/>
    <col customWidth="1" min="19" max="19" width="6.38"/>
    <col customWidth="1" min="20" max="20" width="10.25"/>
    <col customWidth="1" min="21" max="21" width="6.13"/>
    <col customWidth="1" min="22" max="22" width="12.63"/>
    <col customWidth="1" min="23" max="23" width="6.63"/>
    <col customWidth="1" min="24" max="26" width="11.38"/>
  </cols>
  <sheetData>
    <row r="1">
      <c r="A1" s="152" t="str">
        <f>DraftTracker!D2</f>
        <v>Nick G.</v>
      </c>
      <c r="B1" s="153"/>
      <c r="C1" s="152" t="str">
        <f>DraftTracker!D3</f>
        <v>Janice/Mike</v>
      </c>
      <c r="D1" s="153"/>
      <c r="E1" s="152" t="str">
        <f>DraftTracker!D4</f>
        <v>Nick A.</v>
      </c>
      <c r="F1" s="153"/>
      <c r="G1" s="152" t="str">
        <f>DraftTracker!D5</f>
        <v>DavEmily</v>
      </c>
      <c r="H1" s="153"/>
      <c r="I1" s="152" t="str">
        <f>DraftTracker!D6</f>
        <v>Vu</v>
      </c>
      <c r="J1" s="153"/>
      <c r="K1" s="152" t="str">
        <f>DraftTracker!D7</f>
        <v>Dan</v>
      </c>
      <c r="L1" s="153"/>
      <c r="M1" s="152" t="str">
        <f>DraftTracker!D8</f>
        <v>Josh</v>
      </c>
      <c r="N1" s="153"/>
      <c r="O1" s="152" t="str">
        <f>DraftTracker!D9</f>
        <v>Masa</v>
      </c>
      <c r="P1" s="153"/>
      <c r="Q1" s="152" t="str">
        <f>DraftTracker!D10</f>
        <v>Nico</v>
      </c>
      <c r="R1" s="153"/>
      <c r="S1" s="152" t="str">
        <f>DraftTracker!D11</f>
        <v>Brad</v>
      </c>
      <c r="T1" s="153"/>
      <c r="U1" s="152" t="str">
        <f>DraftTracker!D12</f>
        <v>Jeannine</v>
      </c>
      <c r="V1" s="153"/>
      <c r="W1" s="152" t="str">
        <f>DraftTracker!D13</f>
        <v>Gary</v>
      </c>
      <c r="X1" s="153"/>
      <c r="Y1" s="156" t="str">
        <f>DraftTracker!D14</f>
        <v>Justin</v>
      </c>
      <c r="Z1" s="153"/>
    </row>
    <row r="2">
      <c r="A2" s="157" t="s">
        <v>31</v>
      </c>
      <c r="B2" s="158" t="s">
        <v>3</v>
      </c>
      <c r="C2" s="157" t="s">
        <v>31</v>
      </c>
      <c r="D2" s="159" t="s">
        <v>3</v>
      </c>
      <c r="E2" s="160" t="s">
        <v>31</v>
      </c>
      <c r="F2" s="159" t="s">
        <v>3</v>
      </c>
      <c r="G2" s="160" t="s">
        <v>31</v>
      </c>
      <c r="H2" s="159" t="s">
        <v>3</v>
      </c>
      <c r="I2" s="160" t="s">
        <v>31</v>
      </c>
      <c r="J2" s="159" t="s">
        <v>3</v>
      </c>
      <c r="K2" s="160" t="s">
        <v>31</v>
      </c>
      <c r="L2" s="159" t="s">
        <v>3</v>
      </c>
      <c r="M2" s="160" t="s">
        <v>31</v>
      </c>
      <c r="N2" s="159" t="s">
        <v>3</v>
      </c>
      <c r="O2" s="160" t="s">
        <v>31</v>
      </c>
      <c r="P2" s="159" t="s">
        <v>3</v>
      </c>
      <c r="Q2" s="160" t="s">
        <v>31</v>
      </c>
      <c r="R2" s="159" t="s">
        <v>3</v>
      </c>
      <c r="S2" s="160" t="s">
        <v>31</v>
      </c>
      <c r="T2" s="159" t="s">
        <v>3</v>
      </c>
      <c r="U2" s="160" t="s">
        <v>31</v>
      </c>
      <c r="V2" s="159" t="s">
        <v>3</v>
      </c>
      <c r="W2" s="160" t="s">
        <v>31</v>
      </c>
      <c r="X2" s="159" t="s">
        <v>3</v>
      </c>
      <c r="Y2" s="160" t="s">
        <v>31</v>
      </c>
      <c r="Z2" s="159" t="s">
        <v>3</v>
      </c>
    </row>
    <row r="3">
      <c r="A3" s="161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Raw'!A:A&lt;&gt;""""))"),"SEC")</f>
        <v>SEC</v>
      </c>
      <c r="B3" s="162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Raw'!B:B&lt;&gt;""""))"),"Georgia")</f>
        <v>Georgia</v>
      </c>
      <c r="C3" s="161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Raw'!C:C&lt;&gt;""""))"),"CUSA")</f>
        <v>CUSA</v>
      </c>
      <c r="D3" s="162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Raw'!D:D&lt;&gt;""""))"),"Liberty")</f>
        <v>Liberty</v>
      </c>
      <c r="E3" s="161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Raw'!E:E&lt;&gt;""""))"),"MAC")</f>
        <v>MAC</v>
      </c>
      <c r="F3" s="162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Raw'!F:F&lt;&gt;""""))"),"Toledo")</f>
        <v>Toledo</v>
      </c>
      <c r="G3" s="161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Raw'!G:G&lt;&gt;""""))"),"SEC")</f>
        <v>SEC</v>
      </c>
      <c r="H3" s="162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Raw'!H:H&lt;&gt;""""))"),"Alabama")</f>
        <v>Alabama</v>
      </c>
      <c r="I3" s="161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Raw'!I:I&lt;&gt;""""))"),"AAC")</f>
        <v>AAC</v>
      </c>
      <c r="J3" s="162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Raw'!J:J&lt;&gt;""""))"),"Tulane")</f>
        <v>Tulane</v>
      </c>
      <c r="K3" s="161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Raw'!K:K&lt;&gt;""""))"),"ACC")</f>
        <v>ACC</v>
      </c>
      <c r="L3" s="162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Raw'!L:L&lt;&gt;""""))"),"Clemson")</f>
        <v>Clemson</v>
      </c>
      <c r="M3" s="161" t="str">
        <f>IFERROR(__xludf.DUMMYFUNCTION("if(iserror(filter('Picks by Player Raw'!M:M,'Picks by Player Raw'!M:M &lt;&gt;M$1,'Picks by Player Raw'!M:M&lt;&gt;"""")),"""",filter('Picks by Player Raw'!M:M,'Picks by Player Raw'!M:M &lt;&gt;M$1,'Picks by Player Raw'!M:M&lt;&gt;""""))"),"Big Ten")</f>
        <v>Big Ten</v>
      </c>
      <c r="N3" s="162" t="str">
        <f>IFERROR(__xludf.DUMMYFUNCTION("if(iserror(filter('Picks by Player Raw'!N:N,'Picks by Player Raw'!N:N &lt;&gt;M$1,'Picks by Player Raw'!N:N&lt;&gt;"""")),"""",filter('Picks by Player Raw'!N:N,'Picks by Player Raw'!N:N &lt;&gt;M$1,'Picks by Player Raw'!N:N&lt;&gt;""""))"),"Ohio State")</f>
        <v>Ohio State</v>
      </c>
      <c r="O3" s="161" t="str">
        <f>IFERROR(__xludf.DUMMYFUNCTION("if(iserror(filter('Picks by Player Raw'!O:O,'Picks by Player Raw'!O:O &lt;&gt;O$1,'Picks by Player Raw'!O:O&lt;&gt;"""")),"""",filter('Picks by Player Raw'!O:O,'Picks by Player Raw'!O:O &lt;&gt;O$1,'Picks by Player Raw'!O:O&lt;&gt;""""))"),"Sun Belt")</f>
        <v>Sun Belt</v>
      </c>
      <c r="P3" s="162" t="str">
        <f>IFERROR(__xludf.DUMMYFUNCTION("if(iserror(filter('Picks by Player Raw'!P:P,'Picks by Player Raw'!P:P &lt;&gt;O$1,'Picks by Player Raw'!P:P&lt;&gt;"""")),"""",filter('Picks by Player Raw'!P:P,'Picks by Player Raw'!P:P &lt;&gt;O$1,'Picks by Player Raw'!P:P&lt;&gt;""""))"),"South Alabama")</f>
        <v>South Alabama</v>
      </c>
      <c r="Q3" s="161" t="str">
        <f>IFERROR(__xludf.DUMMYFUNCTION("if(iserror(filter('Picks by Player Raw'!Q:Q,'Picks by Player Raw'!Q:Q &lt;&gt;Q$1,'Picks by Player Raw'!Q:Q&lt;&gt;"""")),"""",filter('Picks by Player Raw'!Q:Q,'Picks by Player Raw'!Q:Q &lt;&gt;Q$1,'Picks by Player Raw'!Q:Q&lt;&gt;""""))"),"Big Ten")</f>
        <v>Big Ten</v>
      </c>
      <c r="R3" s="162" t="str">
        <f>IFERROR(__xludf.DUMMYFUNCTION("if(iserror(filter('Picks by Player Raw'!R:R,'Picks by Player Raw'!R:R &lt;&gt;Q$1,'Picks by Player Raw'!R:R&lt;&gt;"""")),"""",filter('Picks by Player Raw'!R:R,'Picks by Player Raw'!R:R &lt;&gt;Q$1,'Picks by Player Raw'!R:R&lt;&gt;""""))"),"Michigan")</f>
        <v>Michigan</v>
      </c>
      <c r="S3" s="161" t="str">
        <f>IFERROR(__xludf.DUMMYFUNCTION("if(iserror(filter('Picks by Player Raw'!S:S,'Picks by Player Raw'!S:S &lt;&gt;S$1,'Picks by Player Raw'!S:S&lt;&gt;"""")),"""",filter('Picks by Player Raw'!S:S,'Picks by Player Raw'!S:S &lt;&gt;S$1,'Picks by Player Raw'!S:S&lt;&gt;""""))"),"CUSA")</f>
        <v>CUSA</v>
      </c>
      <c r="T3" s="162" t="str">
        <f>IFERROR(__xludf.DUMMYFUNCTION("if(iserror(filter('Picks by Player Raw'!T:T,'Picks by Player Raw'!T:T &lt;&gt;S$1,'Picks by Player Raw'!T:T&lt;&gt;"""")),"""",filter('Picks by Player Raw'!T:T,'Picks by Player Raw'!T:T &lt;&gt;S$1,'Picks by Player Raw'!T:T&lt;&gt;""""))"),"Western Kentucky")</f>
        <v>Western Kentucky</v>
      </c>
      <c r="U3" s="161" t="str">
        <f>IFERROR(__xludf.DUMMYFUNCTION("if(iserror(filter('Picks by Player Raw'!U:U,'Picks by Player Raw'!U:U &lt;&gt;U$1,'Picks by Player Raw'!U:U&lt;&gt;"""")),"""",filter('Picks by Player Raw'!U:U,'Picks by Player Raw'!U:U &lt;&gt;U$1,'Picks by Player Raw'!U:U&lt;&gt;""""))"),"SEC")</f>
        <v>SEC</v>
      </c>
      <c r="V3" s="162" t="str">
        <f>IFERROR(__xludf.DUMMYFUNCTION("if(iserror(filter('Picks by Player Raw'!V:V,'Picks by Player Raw'!V:V &lt;&gt;U$1,'Picks by Player Raw'!V:V&lt;&gt;"""")),"""",filter('Picks by Player Raw'!V:V,'Picks by Player Raw'!V:V &lt;&gt;U$1,'Picks by Player Raw'!V:V&lt;&gt;""""))"),"LSU")</f>
        <v>LSU</v>
      </c>
      <c r="W3" s="161" t="str">
        <f>IFERROR(__xludf.DUMMYFUNCTION("if(iserror(filter('Picks by Player Raw'!W:W,'Picks by Player Raw'!W:W &lt;&gt;W$1,'Picks by Player Raw'!W:W&lt;&gt;"""")),"""",filter('Picks by Player Raw'!W:W,'Picks by Player Raw'!W:W &lt;&gt;W$1,'Picks by Player Raw'!W:W&lt;&gt;""""))"),"ACC")</f>
        <v>ACC</v>
      </c>
      <c r="X3" s="162" t="str">
        <f>IFERROR(__xludf.DUMMYFUNCTION("if(iserror(filter('Picks by Player Raw'!X:X,'Picks by Player Raw'!X:X &lt;&gt;W$1,'Picks by Player Raw'!X:X&lt;&gt;"""")),"""",filter('Picks by Player Raw'!X:X,'Picks by Player Raw'!X:X &lt;&gt;W$1,'Picks by Player Raw'!X:X&lt;&gt;""""))"),"Florida State")</f>
        <v>Florida State</v>
      </c>
      <c r="Y3" s="161" t="str">
        <f>IFERROR(__xludf.DUMMYFUNCTION("if(iserror(filter('Picks by Player Raw'!Y:Y,'Picks by Player Raw'!Y:Y &lt;&gt;Y$1,'Picks by Player Raw'!Y:Y&lt;&gt;"""")),"""",filter('Picks by Player Raw'!Y:Y,'Picks by Player Raw'!Y:Y &lt;&gt;Y$1,'Picks by Player Raw'!Y:Y&lt;&gt;""""))"),"CUSA")</f>
        <v>CUSA</v>
      </c>
      <c r="Z3" s="162" t="str">
        <f>IFERROR(__xludf.DUMMYFUNCTION("if(iserror(filter('Picks by Player Raw'!Z:Z,'Picks by Player Raw'!Z:Z &lt;&gt;Y$1,'Picks by Player Raw'!Z:Z&lt;&gt;"""")),"""",filter('Picks by Player Raw'!Z:Z,'Picks by Player Raw'!Z:Z &lt;&gt;Y$1,'Picks by Player Raw'!Z:Z&lt;&gt;""""))"),"Middle Tennessee")</f>
        <v>Middle Tennessee</v>
      </c>
    </row>
    <row r="4">
      <c r="A4" s="164" t="str">
        <f>IFERROR(__xludf.DUMMYFUNCTION("""COMPUTED_VALUE"""),"Pac12")</f>
        <v>Pac12</v>
      </c>
      <c r="B4" s="165" t="str">
        <f>IFERROR(__xludf.DUMMYFUNCTION("""COMPUTED_VALUE"""),"Oregon")</f>
        <v>Oregon</v>
      </c>
      <c r="C4" s="164" t="str">
        <f>IFERROR(__xludf.DUMMYFUNCTION("""COMPUTED_VALUE"""),"AAC")</f>
        <v>AAC</v>
      </c>
      <c r="D4" s="165" t="str">
        <f>IFERROR(__xludf.DUMMYFUNCTION("""COMPUTED_VALUE"""),"Memphis")</f>
        <v>Memphis</v>
      </c>
      <c r="E4" s="164" t="str">
        <f>IFERROR(__xludf.DUMMYFUNCTION("""COMPUTED_VALUE"""),"Big Ten")</f>
        <v>Big Ten</v>
      </c>
      <c r="F4" s="165" t="str">
        <f>IFERROR(__xludf.DUMMYFUNCTION("""COMPUTED_VALUE"""),"Penn State")</f>
        <v>Penn State</v>
      </c>
      <c r="G4" s="164" t="str">
        <f>IFERROR(__xludf.DUMMYFUNCTION("""COMPUTED_VALUE"""),"Big 12")</f>
        <v>Big 12</v>
      </c>
      <c r="H4" s="165" t="str">
        <f>IFERROR(__xludf.DUMMYFUNCTION("""COMPUTED_VALUE"""),"Oklahoma")</f>
        <v>Oklahoma</v>
      </c>
      <c r="I4" s="164" t="str">
        <f>IFERROR(__xludf.DUMMYFUNCTION("""COMPUTED_VALUE"""),"Sun Belt")</f>
        <v>Sun Belt</v>
      </c>
      <c r="J4" s="165" t="str">
        <f>IFERROR(__xludf.DUMMYFUNCTION("""COMPUTED_VALUE"""),"Troy")</f>
        <v>Troy</v>
      </c>
      <c r="K4" s="164" t="str">
        <f>IFERROR(__xludf.DUMMYFUNCTION("""COMPUTED_VALUE"""),"MWC")</f>
        <v>MWC</v>
      </c>
      <c r="L4" s="165" t="str">
        <f>IFERROR(__xludf.DUMMYFUNCTION("""COMPUTED_VALUE"""),"San Diego State")</f>
        <v>San Diego State</v>
      </c>
      <c r="M4" s="164" t="str">
        <f>IFERROR(__xludf.DUMMYFUNCTION("""COMPUTED_VALUE"""),"Pac12")</f>
        <v>Pac12</v>
      </c>
      <c r="N4" s="165" t="str">
        <f>IFERROR(__xludf.DUMMYFUNCTION("""COMPUTED_VALUE"""),"USC")</f>
        <v>USC</v>
      </c>
      <c r="O4" s="164" t="str">
        <f>IFERROR(__xludf.DUMMYFUNCTION("""COMPUTED_VALUE"""),"ACC")</f>
        <v>ACC</v>
      </c>
      <c r="P4" s="165" t="str">
        <f>IFERROR(__xludf.DUMMYFUNCTION("""COMPUTED_VALUE"""),"North Carolina")</f>
        <v>North Carolina</v>
      </c>
      <c r="Q4" s="164" t="str">
        <f>IFERROR(__xludf.DUMMYFUNCTION("""COMPUTED_VALUE"""),"MWC")</f>
        <v>MWC</v>
      </c>
      <c r="R4" s="165" t="str">
        <f>IFERROR(__xludf.DUMMYFUNCTION("""COMPUTED_VALUE"""),"Boise State")</f>
        <v>Boise State</v>
      </c>
      <c r="S4" s="164" t="str">
        <f>IFERROR(__xludf.DUMMYFUNCTION("""COMPUTED_VALUE"""),"MWC")</f>
        <v>MWC</v>
      </c>
      <c r="T4" s="165" t="str">
        <f>IFERROR(__xludf.DUMMYFUNCTION("""COMPUTED_VALUE"""),"Fresno State")</f>
        <v>Fresno State</v>
      </c>
      <c r="U4" s="164" t="str">
        <f>IFERROR(__xludf.DUMMYFUNCTION("""COMPUTED_VALUE"""),"MWC")</f>
        <v>MWC</v>
      </c>
      <c r="V4" s="165" t="str">
        <f>IFERROR(__xludf.DUMMYFUNCTION("""COMPUTED_VALUE"""),"Air Force")</f>
        <v>Air Force</v>
      </c>
      <c r="W4" s="164" t="str">
        <f>IFERROR(__xludf.DUMMYFUNCTION("""COMPUTED_VALUE"""),"Big 12")</f>
        <v>Big 12</v>
      </c>
      <c r="X4" s="165" t="str">
        <f>IFERROR(__xludf.DUMMYFUNCTION("""COMPUTED_VALUE"""),"Texas")</f>
        <v>Texas</v>
      </c>
      <c r="Y4" s="164" t="str">
        <f>IFERROR(__xludf.DUMMYFUNCTION("""COMPUTED_VALUE"""),"SEC")</f>
        <v>SEC</v>
      </c>
      <c r="Z4" s="165" t="str">
        <f>IFERROR(__xludf.DUMMYFUNCTION("""COMPUTED_VALUE"""),"Tennessee")</f>
        <v>Tennessee</v>
      </c>
    </row>
    <row r="5">
      <c r="A5" s="164" t="str">
        <f>IFERROR(__xludf.DUMMYFUNCTION("""COMPUTED_VALUE"""),"Big 12")</f>
        <v>Big 12</v>
      </c>
      <c r="B5" s="165" t="str">
        <f>IFERROR(__xludf.DUMMYFUNCTION("""COMPUTED_VALUE"""),"Kansas State")</f>
        <v>Kansas State</v>
      </c>
      <c r="C5" s="164" t="str">
        <f>IFERROR(__xludf.DUMMYFUNCTION("""COMPUTED_VALUE"""),"Pac12")</f>
        <v>Pac12</v>
      </c>
      <c r="D5" s="165" t="str">
        <f>IFERROR(__xludf.DUMMYFUNCTION("""COMPUTED_VALUE"""),"UCLA")</f>
        <v>UCLA</v>
      </c>
      <c r="E5" s="164" t="str">
        <f>IFERROR(__xludf.DUMMYFUNCTION("""COMPUTED_VALUE"""),"Pac12")</f>
        <v>Pac12</v>
      </c>
      <c r="F5" s="165" t="str">
        <f>IFERROR(__xludf.DUMMYFUNCTION("""COMPUTED_VALUE"""),"Notre Dame")</f>
        <v>Notre Dame</v>
      </c>
      <c r="G5" s="164" t="str">
        <f>IFERROR(__xludf.DUMMYFUNCTION("""COMPUTED_VALUE"""),"AAC")</f>
        <v>AAC</v>
      </c>
      <c r="H5" s="165" t="str">
        <f>IFERROR(__xludf.DUMMYFUNCTION("""COMPUTED_VALUE"""),"SMU")</f>
        <v>SMU</v>
      </c>
      <c r="I5" s="164" t="str">
        <f>IFERROR(__xludf.DUMMYFUNCTION("""COMPUTED_VALUE"""),"Pac12")</f>
        <v>Pac12</v>
      </c>
      <c r="J5" s="165" t="str">
        <f>IFERROR(__xludf.DUMMYFUNCTION("""COMPUTED_VALUE"""),"Washington")</f>
        <v>Washington</v>
      </c>
      <c r="K5" s="164" t="str">
        <f>IFERROR(__xludf.DUMMYFUNCTION("""COMPUTED_VALUE"""),"AAC")</f>
        <v>AAC</v>
      </c>
      <c r="L5" s="165" t="str">
        <f>IFERROR(__xludf.DUMMYFUNCTION("""COMPUTED_VALUE"""),"UTSA")</f>
        <v>UTSA</v>
      </c>
      <c r="M5" s="164" t="str">
        <f>IFERROR(__xludf.DUMMYFUNCTION("""COMPUTED_VALUE"""),"MAC")</f>
        <v>MAC</v>
      </c>
      <c r="N5" s="165" t="str">
        <f>IFERROR(__xludf.DUMMYFUNCTION("""COMPUTED_VALUE"""),"Ohio")</f>
        <v>Ohio</v>
      </c>
      <c r="O5" s="164" t="str">
        <f>IFERROR(__xludf.DUMMYFUNCTION("""COMPUTED_VALUE"""),"Big 12")</f>
        <v>Big 12</v>
      </c>
      <c r="P5" s="165" t="str">
        <f>IFERROR(__xludf.DUMMYFUNCTION("""COMPUTED_VALUE"""),"TCU")</f>
        <v>TCU</v>
      </c>
      <c r="Q5" s="164" t="str">
        <f>IFERROR(__xludf.DUMMYFUNCTION("""COMPUTED_VALUE"""),"Pac12")</f>
        <v>Pac12</v>
      </c>
      <c r="R5" s="165" t="str">
        <f>IFERROR(__xludf.DUMMYFUNCTION("""COMPUTED_VALUE"""),"Utah")</f>
        <v>Utah</v>
      </c>
      <c r="S5" s="164" t="str">
        <f>IFERROR(__xludf.DUMMYFUNCTION("""COMPUTED_VALUE"""),"Pac12")</f>
        <v>Pac12</v>
      </c>
      <c r="T5" s="165" t="str">
        <f>IFERROR(__xludf.DUMMYFUNCTION("""COMPUTED_VALUE"""),"Oregon State")</f>
        <v>Oregon State</v>
      </c>
      <c r="U5" s="164" t="str">
        <f>IFERROR(__xludf.DUMMYFUNCTION("""COMPUTED_VALUE"""),"Big Ten")</f>
        <v>Big Ten</v>
      </c>
      <c r="V5" s="165" t="str">
        <f>IFERROR(__xludf.DUMMYFUNCTION("""COMPUTED_VALUE"""),"Wisconsin")</f>
        <v>Wisconsin</v>
      </c>
      <c r="W5" s="164" t="str">
        <f>IFERROR(__xludf.DUMMYFUNCTION("""COMPUTED_VALUE"""),"Pac12")</f>
        <v>Pac12</v>
      </c>
      <c r="X5" s="165" t="str">
        <f>IFERROR(__xludf.DUMMYFUNCTION("""COMPUTED_VALUE"""),"Washington State")</f>
        <v>Washington State</v>
      </c>
      <c r="Y5" s="164" t="str">
        <f>IFERROR(__xludf.DUMMYFUNCTION("""COMPUTED_VALUE"""),"Big 12")</f>
        <v>Big 12</v>
      </c>
      <c r="Z5" s="165" t="str">
        <f>IFERROR(__xludf.DUMMYFUNCTION("""COMPUTED_VALUE"""),"Oklahoma State")</f>
        <v>Oklahoma State</v>
      </c>
    </row>
    <row r="6">
      <c r="A6" s="164" t="str">
        <f>IFERROR(__xludf.DUMMYFUNCTION("""COMPUTED_VALUE"""),"ACC")</f>
        <v>ACC</v>
      </c>
      <c r="B6" s="165" t="str">
        <f>IFERROR(__xludf.DUMMYFUNCTION("""COMPUTED_VALUE"""),"Miami")</f>
        <v>Miami</v>
      </c>
      <c r="C6" s="164" t="str">
        <f>IFERROR(__xludf.DUMMYFUNCTION("""COMPUTED_VALUE"""),"Sun Belt")</f>
        <v>Sun Belt</v>
      </c>
      <c r="D6" s="165" t="str">
        <f>IFERROR(__xludf.DUMMYFUNCTION("""COMPUTED_VALUE"""),"Marshall")</f>
        <v>Marshall</v>
      </c>
      <c r="E6" s="164" t="str">
        <f>IFERROR(__xludf.DUMMYFUNCTION("""COMPUTED_VALUE"""),"AAC")</f>
        <v>AAC</v>
      </c>
      <c r="F6" s="165" t="str">
        <f>IFERROR(__xludf.DUMMYFUNCTION("""COMPUTED_VALUE"""),"Florida Atlantic")</f>
        <v>Florida Atlantic</v>
      </c>
      <c r="G6" s="164" t="str">
        <f>IFERROR(__xludf.DUMMYFUNCTION("""COMPUTED_VALUE"""),"ACC")</f>
        <v>ACC</v>
      </c>
      <c r="H6" s="165" t="str">
        <f>IFERROR(__xludf.DUMMYFUNCTION("""COMPUTED_VALUE"""),"Louisville")</f>
        <v>Louisville</v>
      </c>
      <c r="I6" s="164" t="str">
        <f>IFERROR(__xludf.DUMMYFUNCTION("""COMPUTED_VALUE"""),"Big 12")</f>
        <v>Big 12</v>
      </c>
      <c r="J6" s="165" t="str">
        <f>IFERROR(__xludf.DUMMYFUNCTION("""COMPUTED_VALUE"""),"Texas Tech")</f>
        <v>Texas Tech</v>
      </c>
      <c r="K6" s="164" t="str">
        <f>IFERROR(__xludf.DUMMYFUNCTION("""COMPUTED_VALUE"""),"MAC")</f>
        <v>MAC</v>
      </c>
      <c r="L6" s="165" t="str">
        <f>IFERROR(__xludf.DUMMYFUNCTION("""COMPUTED_VALUE"""),"Buffalo")</f>
        <v>Buffalo</v>
      </c>
      <c r="M6" s="164" t="str">
        <f>IFERROR(__xludf.DUMMYFUNCTION("""COMPUTED_VALUE"""),"Sun Belt")</f>
        <v>Sun Belt</v>
      </c>
      <c r="N6" s="165" t="str">
        <f>IFERROR(__xludf.DUMMYFUNCTION("""COMPUTED_VALUE"""),"Coastal Carolina")</f>
        <v>Coastal Carolina</v>
      </c>
      <c r="O6" s="164" t="str">
        <f>IFERROR(__xludf.DUMMYFUNCTION("""COMPUTED_VALUE"""),"SEC")</f>
        <v>SEC</v>
      </c>
      <c r="P6" s="165" t="str">
        <f>IFERROR(__xludf.DUMMYFUNCTION("""COMPUTED_VALUE"""),"Ole Miss")</f>
        <v>Ole Miss</v>
      </c>
      <c r="Q6" s="164" t="str">
        <f>IFERROR(__xludf.DUMMYFUNCTION("""COMPUTED_VALUE"""),"MAC")</f>
        <v>MAC</v>
      </c>
      <c r="R6" s="165" t="str">
        <f>IFERROR(__xludf.DUMMYFUNCTION("""COMPUTED_VALUE"""),"EMU")</f>
        <v>EMU</v>
      </c>
      <c r="S6" s="164" t="str">
        <f>IFERROR(__xludf.DUMMYFUNCTION("""COMPUTED_VALUE"""),"MAC")</f>
        <v>MAC</v>
      </c>
      <c r="T6" s="165" t="str">
        <f>IFERROR(__xludf.DUMMYFUNCTION("""COMPUTED_VALUE"""),"Miami-OH")</f>
        <v>Miami-OH</v>
      </c>
      <c r="U6" s="164" t="str">
        <f>IFERROR(__xludf.DUMMYFUNCTION("""COMPUTED_VALUE"""),"CUSA")</f>
        <v>CUSA</v>
      </c>
      <c r="V6" s="165" t="str">
        <f>IFERROR(__xludf.DUMMYFUNCTION("""COMPUTED_VALUE"""),"Louisiana Tech")</f>
        <v>Louisiana Tech</v>
      </c>
      <c r="W6" s="164" t="str">
        <f>IFERROR(__xludf.DUMMYFUNCTION("""COMPUTED_VALUE"""),"Sun Belt")</f>
        <v>Sun Belt</v>
      </c>
      <c r="X6" s="165" t="str">
        <f>IFERROR(__xludf.DUMMYFUNCTION("""COMPUTED_VALUE"""),"James Madison")</f>
        <v>James Madison</v>
      </c>
      <c r="Y6" s="164" t="str">
        <f>IFERROR(__xludf.DUMMYFUNCTION("""COMPUTED_VALUE"""),"Big Ten")</f>
        <v>Big Ten</v>
      </c>
      <c r="Z6" s="165" t="str">
        <f>IFERROR(__xludf.DUMMYFUNCTION("""COMPUTED_VALUE"""),"Iowa")</f>
        <v>Iowa</v>
      </c>
    </row>
    <row r="7">
      <c r="A7" s="164" t="str">
        <f>IFERROR(__xludf.DUMMYFUNCTION("""COMPUTED_VALUE"""),"Sun Belt")</f>
        <v>Sun Belt</v>
      </c>
      <c r="B7" s="165" t="str">
        <f>IFERROR(__xludf.DUMMYFUNCTION("""COMPUTED_VALUE"""),"Appalachian State")</f>
        <v>Appalachian State</v>
      </c>
      <c r="C7" s="164" t="str">
        <f>IFERROR(__xludf.DUMMYFUNCTION("""COMPUTED_VALUE"""),"MAC")</f>
        <v>MAC</v>
      </c>
      <c r="D7" s="165" t="str">
        <f>IFERROR(__xludf.DUMMYFUNCTION("""COMPUTED_VALUE"""),"Northern Illinois")</f>
        <v>Northern Illinois</v>
      </c>
      <c r="E7" s="164" t="str">
        <f>IFERROR(__xludf.DUMMYFUNCTION("""COMPUTED_VALUE"""),"CUSA")</f>
        <v>CUSA</v>
      </c>
      <c r="F7" s="165" t="str">
        <f>IFERROR(__xludf.DUMMYFUNCTION("""COMPUTED_VALUE"""),"Army")</f>
        <v>Army</v>
      </c>
      <c r="G7" s="164" t="str">
        <f>IFERROR(__xludf.DUMMYFUNCTION("""COMPUTED_VALUE"""),"Sun Belt")</f>
        <v>Sun Belt</v>
      </c>
      <c r="H7" s="165" t="str">
        <f>IFERROR(__xludf.DUMMYFUNCTION("""COMPUTED_VALUE"""),"UL Lafayette")</f>
        <v>UL Lafayette</v>
      </c>
      <c r="I7" s="164" t="str">
        <f>IFERROR(__xludf.DUMMYFUNCTION("""COMPUTED_VALUE"""),"MWC")</f>
        <v>MWC</v>
      </c>
      <c r="J7" s="165" t="str">
        <f>IFERROR(__xludf.DUMMYFUNCTION("""COMPUTED_VALUE"""),"Wyoming")</f>
        <v>Wyoming</v>
      </c>
      <c r="K7" s="164" t="str">
        <f>IFERROR(__xludf.DUMMYFUNCTION("""COMPUTED_VALUE"""),"CUSA")</f>
        <v>CUSA</v>
      </c>
      <c r="L7" s="165" t="str">
        <f>IFERROR(__xludf.DUMMYFUNCTION("""COMPUTED_VALUE"""),"UTEP")</f>
        <v>UTEP</v>
      </c>
      <c r="M7" s="164" t="str">
        <f>IFERROR(__xludf.DUMMYFUNCTION("""COMPUTED_VALUE"""),"CUSA")</f>
        <v>CUSA</v>
      </c>
      <c r="N7" s="165" t="str">
        <f>IFERROR(__xludf.DUMMYFUNCTION("""COMPUTED_VALUE"""),"New Mexico State")</f>
        <v>New Mexico State</v>
      </c>
      <c r="O7" s="164" t="str">
        <f>IFERROR(__xludf.DUMMYFUNCTION("""COMPUTED_VALUE"""),"AAC")</f>
        <v>AAC</v>
      </c>
      <c r="P7" s="165" t="str">
        <f>IFERROR(__xludf.DUMMYFUNCTION("""COMPUTED_VALUE"""),"North Texas")</f>
        <v>North Texas</v>
      </c>
      <c r="Q7" s="164" t="str">
        <f>IFERROR(__xludf.DUMMYFUNCTION("""COMPUTED_VALUE"""),"Big 12")</f>
        <v>Big 12</v>
      </c>
      <c r="R7" s="165" t="str">
        <f>IFERROR(__xludf.DUMMYFUNCTION("""COMPUTED_VALUE"""),"Baylor")</f>
        <v>Baylor</v>
      </c>
      <c r="S7" s="164" t="str">
        <f>IFERROR(__xludf.DUMMYFUNCTION("""COMPUTED_VALUE"""),"Big Ten")</f>
        <v>Big Ten</v>
      </c>
      <c r="T7" s="165" t="str">
        <f>IFERROR(__xludf.DUMMYFUNCTION("""COMPUTED_VALUE"""),"Maryland")</f>
        <v>Maryland</v>
      </c>
      <c r="U7" s="164" t="str">
        <f>IFERROR(__xludf.DUMMYFUNCTION("""COMPUTED_VALUE"""),"ACC")</f>
        <v>ACC</v>
      </c>
      <c r="V7" s="165" t="str">
        <f>IFERROR(__xludf.DUMMYFUNCTION("""COMPUTED_VALUE"""),"Pittsburgh")</f>
        <v>Pittsburgh</v>
      </c>
      <c r="W7" s="164" t="str">
        <f>IFERROR(__xludf.DUMMYFUNCTION("""COMPUTED_VALUE"""),"MAC")</f>
        <v>MAC</v>
      </c>
      <c r="X7" s="165" t="str">
        <f>IFERROR(__xludf.DUMMYFUNCTION("""COMPUTED_VALUE"""),"Central Michigan")</f>
        <v>Central Michigan</v>
      </c>
      <c r="Y7" s="164" t="str">
        <f>IFERROR(__xludf.DUMMYFUNCTION("""COMPUTED_VALUE"""),"MWC")</f>
        <v>MWC</v>
      </c>
      <c r="Z7" s="165" t="str">
        <f>IFERROR(__xludf.DUMMYFUNCTION("""COMPUTED_VALUE"""),"Utah State")</f>
        <v>Utah State</v>
      </c>
    </row>
    <row r="8">
      <c r="A8" s="164" t="str">
        <f>IFERROR(__xludf.DUMMYFUNCTION("""COMPUTED_VALUE"""),"AAC")</f>
        <v>AAC</v>
      </c>
      <c r="B8" s="165" t="str">
        <f>IFERROR(__xludf.DUMMYFUNCTION("""COMPUTED_VALUE"""),"Temple")</f>
        <v>Temple</v>
      </c>
      <c r="C8" s="164" t="str">
        <f>IFERROR(__xludf.DUMMYFUNCTION("""COMPUTED_VALUE"""),"Big Ten")</f>
        <v>Big Ten</v>
      </c>
      <c r="D8" s="165" t="str">
        <f>IFERROR(__xludf.DUMMYFUNCTION("""COMPUTED_VALUE"""),"Minnesota")</f>
        <v>Minnesota</v>
      </c>
      <c r="E8" s="164" t="str">
        <f>IFERROR(__xludf.DUMMYFUNCTION("""COMPUTED_VALUE"""),"MWC")</f>
        <v>MWC</v>
      </c>
      <c r="F8" s="165" t="str">
        <f>IFERROR(__xludf.DUMMYFUNCTION("""COMPUTED_VALUE"""),"San José State")</f>
        <v>San José State</v>
      </c>
      <c r="G8" s="164" t="str">
        <f>IFERROR(__xludf.DUMMYFUNCTION("""COMPUTED_VALUE"""),"MAC")</f>
        <v>MAC</v>
      </c>
      <c r="H8" s="165" t="str">
        <f>IFERROR(__xludf.DUMMYFUNCTION("""COMPUTED_VALUE"""),"Ball State")</f>
        <v>Ball State</v>
      </c>
      <c r="I8" s="164" t="str">
        <f>IFERROR(__xludf.DUMMYFUNCTION("""COMPUTED_VALUE"""),"Big Ten")</f>
        <v>Big Ten</v>
      </c>
      <c r="J8" s="165" t="str">
        <f>IFERROR(__xludf.DUMMYFUNCTION("""COMPUTED_VALUE"""),"Illinois")</f>
        <v>Illinois</v>
      </c>
      <c r="K8" s="164" t="str">
        <f>IFERROR(__xludf.DUMMYFUNCTION("""COMPUTED_VALUE"""),"Sun Belt")</f>
        <v>Sun Belt</v>
      </c>
      <c r="L8" s="165" t="str">
        <f>IFERROR(__xludf.DUMMYFUNCTION("""COMPUTED_VALUE"""),"Southern Mississippi")</f>
        <v>Southern Mississippi</v>
      </c>
      <c r="M8" s="164" t="str">
        <f>IFERROR(__xludf.DUMMYFUNCTION("""COMPUTED_VALUE"""),"MWC")</f>
        <v>MWC</v>
      </c>
      <c r="N8" s="165" t="str">
        <f>IFERROR(__xludf.DUMMYFUNCTION("""COMPUTED_VALUE"""),"UNLV")</f>
        <v>UNLV</v>
      </c>
      <c r="O8" s="164" t="str">
        <f>IFERROR(__xludf.DUMMYFUNCTION("""COMPUTED_VALUE"""),"Big Ten")</f>
        <v>Big Ten</v>
      </c>
      <c r="P8" s="165" t="str">
        <f>IFERROR(__xludf.DUMMYFUNCTION("""COMPUTED_VALUE"""),"Purdue")</f>
        <v>Purdue</v>
      </c>
      <c r="Q8" s="164" t="str">
        <f>IFERROR(__xludf.DUMMYFUNCTION("""COMPUTED_VALUE"""),"Sun Belt")</f>
        <v>Sun Belt</v>
      </c>
      <c r="R8" s="165" t="str">
        <f>IFERROR(__xludf.DUMMYFUNCTION("""COMPUTED_VALUE"""),"Georgia State")</f>
        <v>Georgia State</v>
      </c>
      <c r="S8" s="164" t="str">
        <f>IFERROR(__xludf.DUMMYFUNCTION("""COMPUTED_VALUE"""),"Sun Belt")</f>
        <v>Sun Belt</v>
      </c>
      <c r="T8" s="165" t="str">
        <f>IFERROR(__xludf.DUMMYFUNCTION("""COMPUTED_VALUE"""),"Georgia Southern")</f>
        <v>Georgia Southern</v>
      </c>
      <c r="U8" s="164" t="str">
        <f>IFERROR(__xludf.DUMMYFUNCTION("""COMPUTED_VALUE"""),"Big 12")</f>
        <v>Big 12</v>
      </c>
      <c r="V8" s="165" t="str">
        <f>IFERROR(__xludf.DUMMYFUNCTION("""COMPUTED_VALUE"""),"UCF")</f>
        <v>UCF</v>
      </c>
      <c r="W8" s="164" t="str">
        <f>IFERROR(__xludf.DUMMYFUNCTION("""COMPUTED_VALUE"""),"CUSA")</f>
        <v>CUSA</v>
      </c>
      <c r="X8" s="165" t="str">
        <f>IFERROR(__xludf.DUMMYFUNCTION("""COMPUTED_VALUE"""),"Jacksonville State")</f>
        <v>Jacksonville State</v>
      </c>
      <c r="Y8" s="164" t="str">
        <f>IFERROR(__xludf.DUMMYFUNCTION("""COMPUTED_VALUE"""),"ACC")</f>
        <v>ACC</v>
      </c>
      <c r="Z8" s="165" t="str">
        <f>IFERROR(__xludf.DUMMYFUNCTION("""COMPUTED_VALUE"""),"NC State")</f>
        <v>NC State</v>
      </c>
    </row>
    <row r="9">
      <c r="A9" s="164" t="str">
        <f>IFERROR(__xludf.DUMMYFUNCTION("""COMPUTED_VALUE"""),"Big Ten")</f>
        <v>Big Ten</v>
      </c>
      <c r="B9" s="165" t="str">
        <f>IFERROR(__xludf.DUMMYFUNCTION("""COMPUTED_VALUE"""),"Nebraska")</f>
        <v>Nebraska</v>
      </c>
      <c r="C9" s="164" t="str">
        <f>IFERROR(__xludf.DUMMYFUNCTION("""COMPUTED_VALUE"""),"MWC")</f>
        <v>MWC</v>
      </c>
      <c r="D9" s="165" t="str">
        <f>IFERROR(__xludf.DUMMYFUNCTION("""COMPUTED_VALUE"""),"Colorado State")</f>
        <v>Colorado State</v>
      </c>
      <c r="E9" s="164" t="str">
        <f>IFERROR(__xludf.DUMMYFUNCTION("""COMPUTED_VALUE"""),"ACC")</f>
        <v>ACC</v>
      </c>
      <c r="F9" s="165" t="str">
        <f>IFERROR(__xludf.DUMMYFUNCTION("""COMPUTED_VALUE"""),"Syracuse")</f>
        <v>Syracuse</v>
      </c>
      <c r="G9" s="164" t="str">
        <f>IFERROR(__xludf.DUMMYFUNCTION("""COMPUTED_VALUE"""),"Big Ten")</f>
        <v>Big Ten</v>
      </c>
      <c r="H9" s="165" t="str">
        <f>IFERROR(__xludf.DUMMYFUNCTION("""COMPUTED_VALUE"""),"Michigan State")</f>
        <v>Michigan State</v>
      </c>
      <c r="I9" s="164" t="str">
        <f>IFERROR(__xludf.DUMMYFUNCTION("""COMPUTED_VALUE"""),"ACC")</f>
        <v>ACC</v>
      </c>
      <c r="J9" s="165" t="str">
        <f>IFERROR(__xludf.DUMMYFUNCTION("""COMPUTED_VALUE"""),"Duke")</f>
        <v>Duke</v>
      </c>
      <c r="K9" s="164" t="str">
        <f>IFERROR(__xludf.DUMMYFUNCTION("""COMPUTED_VALUE"""),"Big 12")</f>
        <v>Big 12</v>
      </c>
      <c r="L9" s="165" t="str">
        <f>IFERROR(__xludf.DUMMYFUNCTION("""COMPUTED_VALUE"""),"Kansas")</f>
        <v>Kansas</v>
      </c>
      <c r="M9" s="164" t="str">
        <f>IFERROR(__xludf.DUMMYFUNCTION("""COMPUTED_VALUE"""),"ACC")</f>
        <v>ACC</v>
      </c>
      <c r="N9" s="165" t="str">
        <f>IFERROR(__xludf.DUMMYFUNCTION("""COMPUTED_VALUE"""),"Wake Forest")</f>
        <v>Wake Forest</v>
      </c>
      <c r="O9" s="164" t="str">
        <f>IFERROR(__xludf.DUMMYFUNCTION("""COMPUTED_VALUE"""),"MAC")</f>
        <v>MAC</v>
      </c>
      <c r="P9" s="165" t="str">
        <f>IFERROR(__xludf.DUMMYFUNCTION("""COMPUTED_VALUE"""),"Bowling Green")</f>
        <v>Bowling Green</v>
      </c>
      <c r="Q9" s="164" t="str">
        <f>IFERROR(__xludf.DUMMYFUNCTION("""COMPUTED_VALUE"""),"AAC")</f>
        <v>AAC</v>
      </c>
      <c r="R9" s="165" t="str">
        <f>IFERROR(__xludf.DUMMYFUNCTION("""COMPUTED_VALUE"""),"Navy")</f>
        <v>Navy</v>
      </c>
      <c r="S9" s="164" t="str">
        <f>IFERROR(__xludf.DUMMYFUNCTION("""COMPUTED_VALUE"""),"AAC")</f>
        <v>AAC</v>
      </c>
      <c r="T9" s="165" t="str">
        <f>IFERROR(__xludf.DUMMYFUNCTION("""COMPUTED_VALUE"""),"East Carolina")</f>
        <v>East Carolina</v>
      </c>
      <c r="U9" s="164" t="str">
        <f>IFERROR(__xludf.DUMMYFUNCTION("""COMPUTED_VALUE"""),"Sun Belt")</f>
        <v>Sun Belt</v>
      </c>
      <c r="V9" s="165" t="str">
        <f>IFERROR(__xludf.DUMMYFUNCTION("""COMPUTED_VALUE"""),"Arkansas State")</f>
        <v>Arkansas State</v>
      </c>
      <c r="W9" s="164" t="str">
        <f>IFERROR(__xludf.DUMMYFUNCTION("""COMPUTED_VALUE"""),"SEC")</f>
        <v>SEC</v>
      </c>
      <c r="X9" s="165" t="str">
        <f>IFERROR(__xludf.DUMMYFUNCTION("""COMPUTED_VALUE"""),"Texas A&amp;M")</f>
        <v>Texas A&amp;M</v>
      </c>
      <c r="Y9" s="164" t="str">
        <f>IFERROR(__xludf.DUMMYFUNCTION("""COMPUTED_VALUE"""),"AAC")</f>
        <v>AAC</v>
      </c>
      <c r="Z9" s="165" t="str">
        <f>IFERROR(__xludf.DUMMYFUNCTION("""COMPUTED_VALUE"""),"UAB")</f>
        <v>UAB</v>
      </c>
    </row>
    <row r="10">
      <c r="A10" s="164" t="str">
        <f>IFERROR(__xludf.DUMMYFUNCTION("""COMPUTED_VALUE"""),"CUSA")</f>
        <v>CUSA</v>
      </c>
      <c r="B10" s="165" t="str">
        <f>IFERROR(__xludf.DUMMYFUNCTION("""COMPUTED_VALUE"""),"Sam Houston")</f>
        <v>Sam Houston</v>
      </c>
      <c r="C10" s="164" t="str">
        <f>IFERROR(__xludf.DUMMYFUNCTION("""COMPUTED_VALUE"""),"Big 12")</f>
        <v>Big 12</v>
      </c>
      <c r="D10" s="165" t="str">
        <f>IFERROR(__xludf.DUMMYFUNCTION("""COMPUTED_VALUE"""),"BYU")</f>
        <v>BYU</v>
      </c>
      <c r="E10" s="164" t="str">
        <f>IFERROR(__xludf.DUMMYFUNCTION("""COMPUTED_VALUE"""),"Big 12")</f>
        <v>Big 12</v>
      </c>
      <c r="F10" s="165" t="str">
        <f>IFERROR(__xludf.DUMMYFUNCTION("""COMPUTED_VALUE"""),"Iowa State")</f>
        <v>Iowa State</v>
      </c>
      <c r="G10" s="164" t="str">
        <f>IFERROR(__xludf.DUMMYFUNCTION("""COMPUTED_VALUE"""),"MWC")</f>
        <v>MWC</v>
      </c>
      <c r="H10" s="165" t="str">
        <f>IFERROR(__xludf.DUMMYFUNCTION("""COMPUTED_VALUE"""),"Hawaii")</f>
        <v>Hawaii</v>
      </c>
      <c r="I10" s="164" t="str">
        <f>IFERROR(__xludf.DUMMYFUNCTION("""COMPUTED_VALUE"""),"SEC")</f>
        <v>SEC</v>
      </c>
      <c r="J10" s="165" t="str">
        <f>IFERROR(__xludf.DUMMYFUNCTION("""COMPUTED_VALUE"""),"South Carolina")</f>
        <v>South Carolina</v>
      </c>
      <c r="K10" s="164" t="str">
        <f>IFERROR(__xludf.DUMMYFUNCTION("""COMPUTED_VALUE"""),"SEC")</f>
        <v>SEC</v>
      </c>
      <c r="L10" s="165" t="str">
        <f>IFERROR(__xludf.DUMMYFUNCTION("""COMPUTED_VALUE"""),"Kentucky")</f>
        <v>Kentucky</v>
      </c>
      <c r="M10" s="164" t="str">
        <f>IFERROR(__xludf.DUMMYFUNCTION("""COMPUTED_VALUE"""),"SEC")</f>
        <v>SEC</v>
      </c>
      <c r="N10" s="165" t="str">
        <f>IFERROR(__xludf.DUMMYFUNCTION("""COMPUTED_VALUE"""),"Arkansas")</f>
        <v>Arkansas</v>
      </c>
      <c r="O10" s="164" t="str">
        <f>IFERROR(__xludf.DUMMYFUNCTION("""COMPUTED_VALUE"""),"Pac12")</f>
        <v>Pac12</v>
      </c>
      <c r="P10" s="165" t="str">
        <f>IFERROR(__xludf.DUMMYFUNCTION("""COMPUTED_VALUE"""),"Arizona")</f>
        <v>Arizona</v>
      </c>
      <c r="Q10" s="164" t="str">
        <f>IFERROR(__xludf.DUMMYFUNCTION("""COMPUTED_VALUE"""),"CUSA")</f>
        <v>CUSA</v>
      </c>
      <c r="R10" s="165" t="str">
        <f>IFERROR(__xludf.DUMMYFUNCTION("""COMPUTED_VALUE"""),"UConn")</f>
        <v>UConn</v>
      </c>
      <c r="S10" s="164" t="str">
        <f>IFERROR(__xludf.DUMMYFUNCTION("""COMPUTED_VALUE"""),"Big 12")</f>
        <v>Big 12</v>
      </c>
      <c r="T10" s="165" t="str">
        <f>IFERROR(__xludf.DUMMYFUNCTION("""COMPUTED_VALUE"""),"Cincinnati")</f>
        <v>Cincinnati</v>
      </c>
      <c r="U10" s="164" t="str">
        <f>IFERROR(__xludf.DUMMYFUNCTION("""COMPUTED_VALUE"""),"Pac12")</f>
        <v>Pac12</v>
      </c>
      <c r="V10" s="165" t="str">
        <f>IFERROR(__xludf.DUMMYFUNCTION("""COMPUTED_VALUE"""),"California")</f>
        <v>California</v>
      </c>
      <c r="W10" s="164" t="str">
        <f>IFERROR(__xludf.DUMMYFUNCTION("""COMPUTED_VALUE"""),"MWC")</f>
        <v>MWC</v>
      </c>
      <c r="X10" s="165" t="str">
        <f>IFERROR(__xludf.DUMMYFUNCTION("""COMPUTED_VALUE"""),"Nevada")</f>
        <v>Nevada</v>
      </c>
      <c r="Y10" s="164" t="str">
        <f>IFERROR(__xludf.DUMMYFUNCTION("""COMPUTED_VALUE"""),"MAC")</f>
        <v>MAC</v>
      </c>
      <c r="Z10" s="165" t="str">
        <f>IFERROR(__xludf.DUMMYFUNCTION("""COMPUTED_VALUE"""),"Western Michigan")</f>
        <v>Western Michigan</v>
      </c>
    </row>
    <row r="11">
      <c r="A11" s="166" t="str">
        <f>IFERROR(__xludf.DUMMYFUNCTION("""COMPUTED_VALUE"""),"MWC")</f>
        <v>MWC</v>
      </c>
      <c r="B11" s="166" t="str">
        <f>IFERROR(__xludf.DUMMYFUNCTION("""COMPUTED_VALUE"""),"New Mexico")</f>
        <v>New Mexico</v>
      </c>
      <c r="C11" s="164" t="str">
        <f>IFERROR(__xludf.DUMMYFUNCTION("""COMPUTED_VALUE"""),"SEC")</f>
        <v>SEC</v>
      </c>
      <c r="D11" s="165" t="str">
        <f>IFERROR(__xludf.DUMMYFUNCTION("""COMPUTED_VALUE"""),"Auburn")</f>
        <v>Auburn</v>
      </c>
      <c r="E11" s="166" t="str">
        <f>IFERROR(__xludf.DUMMYFUNCTION("""COMPUTED_VALUE"""),"Sun Belt")</f>
        <v>Sun Belt</v>
      </c>
      <c r="F11" s="166" t="str">
        <f>IFERROR(__xludf.DUMMYFUNCTION("""COMPUTED_VALUE"""),"Texas State")</f>
        <v>Texas State</v>
      </c>
      <c r="G11" s="164" t="str">
        <f>IFERROR(__xludf.DUMMYFUNCTION("""COMPUTED_VALUE"""),"Pac12")</f>
        <v>Pac12</v>
      </c>
      <c r="H11" s="165" t="str">
        <f>IFERROR(__xludf.DUMMYFUNCTION("""COMPUTED_VALUE"""),"Arizona State")</f>
        <v>Arizona State</v>
      </c>
      <c r="I11" s="166" t="str">
        <f>IFERROR(__xludf.DUMMYFUNCTION("""COMPUTED_VALUE"""),"CUSA")</f>
        <v>CUSA</v>
      </c>
      <c r="J11" s="166" t="str">
        <f>IFERROR(__xludf.DUMMYFUNCTION("""COMPUTED_VALUE"""),"Rutgers")</f>
        <v>Rutgers</v>
      </c>
      <c r="K11" s="164" t="str">
        <f>IFERROR(__xludf.DUMMYFUNCTION("""COMPUTED_VALUE"""),"Big Ten")</f>
        <v>Big Ten</v>
      </c>
      <c r="L11" s="165" t="str">
        <f>IFERROR(__xludf.DUMMYFUNCTION("""COMPUTED_VALUE"""),"Indiana")</f>
        <v>Indiana</v>
      </c>
      <c r="M11" s="164" t="str">
        <f>IFERROR(__xludf.DUMMYFUNCTION("""COMPUTED_VALUE"""),"AAC")</f>
        <v>AAC</v>
      </c>
      <c r="N11" s="165" t="str">
        <f>IFERROR(__xludf.DUMMYFUNCTION("""COMPUTED_VALUE"""),"Tulsa")</f>
        <v>Tulsa</v>
      </c>
      <c r="O11" s="166" t="str">
        <f>IFERROR(__xludf.DUMMYFUNCTION("""COMPUTED_VALUE"""),"CUSA")</f>
        <v>CUSA</v>
      </c>
      <c r="P11" s="165" t="str">
        <f>IFERROR(__xludf.DUMMYFUNCTION("""COMPUTED_VALUE"""),"Florida Intl")</f>
        <v>Florida Intl</v>
      </c>
      <c r="Q11" s="164" t="str">
        <f>IFERROR(__xludf.DUMMYFUNCTION("""COMPUTED_VALUE"""),"SEC")</f>
        <v>SEC</v>
      </c>
      <c r="R11" s="165" t="str">
        <f>IFERROR(__xludf.DUMMYFUNCTION("""COMPUTED_VALUE"""),"Missouri")</f>
        <v>Missouri</v>
      </c>
      <c r="S11" s="164" t="str">
        <f>IFERROR(__xludf.DUMMYFUNCTION("""COMPUTED_VALUE"""),"ACC")</f>
        <v>ACC</v>
      </c>
      <c r="T11" s="165" t="str">
        <f>IFERROR(__xludf.DUMMYFUNCTION("""COMPUTED_VALUE"""),"Boston College")</f>
        <v>Boston College</v>
      </c>
      <c r="U11" s="164" t="str">
        <f>IFERROR(__xludf.DUMMYFUNCTION("""COMPUTED_VALUE"""),"AAC")</f>
        <v>AAC</v>
      </c>
      <c r="V11" s="165" t="str">
        <f>IFERROR(__xludf.DUMMYFUNCTION("""COMPUTED_VALUE"""),"South Florida")</f>
        <v>South Florida</v>
      </c>
      <c r="W11" s="164" t="str">
        <f>IFERROR(__xludf.DUMMYFUNCTION("""COMPUTED_VALUE"""),"Big Ten")</f>
        <v>Big Ten</v>
      </c>
      <c r="X11" s="165" t="str">
        <f>IFERROR(__xludf.DUMMYFUNCTION("""COMPUTED_VALUE"""),"Northwestern")</f>
        <v>Northwestern</v>
      </c>
      <c r="Y11" s="164" t="str">
        <f>IFERROR(__xludf.DUMMYFUNCTION("""COMPUTED_VALUE"""),"Pac12")</f>
        <v>Pac12</v>
      </c>
      <c r="Z11" s="165" t="str">
        <f>IFERROR(__xludf.DUMMYFUNCTION("""COMPUTED_VALUE"""),"Colorado")</f>
        <v>Colorado</v>
      </c>
    </row>
    <row r="12">
      <c r="A12" s="166" t="str">
        <f>IFERROR(__xludf.DUMMYFUNCTION("""COMPUTED_VALUE"""),"MAC")</f>
        <v>MAC</v>
      </c>
      <c r="B12" s="166" t="str">
        <f>IFERROR(__xludf.DUMMYFUNCTION("""COMPUTED_VALUE"""),"Kent State")</f>
        <v>Kent State</v>
      </c>
      <c r="C12" s="164" t="str">
        <f>IFERROR(__xludf.DUMMYFUNCTION("""COMPUTED_VALUE"""),"ACC")</f>
        <v>ACC</v>
      </c>
      <c r="D12" s="165" t="str">
        <f>IFERROR(__xludf.DUMMYFUNCTION("""COMPUTED_VALUE"""),"Virginia Tech")</f>
        <v>Virginia Tech</v>
      </c>
      <c r="E12" s="166" t="str">
        <f>IFERROR(__xludf.DUMMYFUNCTION("""COMPUTED_VALUE"""),"SEC")</f>
        <v>SEC</v>
      </c>
      <c r="F12" s="166" t="str">
        <f>IFERROR(__xludf.DUMMYFUNCTION("""COMPUTED_VALUE"""),"Florida")</f>
        <v>Florida</v>
      </c>
      <c r="G12" s="164" t="str">
        <f>IFERROR(__xludf.DUMMYFUNCTION("""COMPUTED_VALUE"""),"CUSA")</f>
        <v>CUSA</v>
      </c>
      <c r="H12" s="165" t="str">
        <f>IFERROR(__xludf.DUMMYFUNCTION("""COMPUTED_VALUE"""),"UMASS")</f>
        <v>UMASS</v>
      </c>
      <c r="I12" s="166" t="str">
        <f>IFERROR(__xludf.DUMMYFUNCTION("""COMPUTED_VALUE"""),"MAC")</f>
        <v>MAC</v>
      </c>
      <c r="J12" s="166" t="str">
        <f>IFERROR(__xludf.DUMMYFUNCTION("""COMPUTED_VALUE"""),"Akron")</f>
        <v>Akron</v>
      </c>
      <c r="K12" s="164" t="str">
        <f>IFERROR(__xludf.DUMMYFUNCTION("""COMPUTED_VALUE"""),"Pac12")</f>
        <v>Pac12</v>
      </c>
      <c r="L12" s="165" t="str">
        <f>IFERROR(__xludf.DUMMYFUNCTION("""COMPUTED_VALUE"""),"Stanford")</f>
        <v>Stanford</v>
      </c>
      <c r="M12" s="164" t="str">
        <f>IFERROR(__xludf.DUMMYFUNCTION("""COMPUTED_VALUE"""),"Big 12")</f>
        <v>Big 12</v>
      </c>
      <c r="N12" s="165" t="str">
        <f>IFERROR(__xludf.DUMMYFUNCTION("""COMPUTED_VALUE"""),"Houston")</f>
        <v>Houston</v>
      </c>
      <c r="O12" s="166" t="str">
        <f>IFERROR(__xludf.DUMMYFUNCTION("""COMPUTED_VALUE"""),"MWC")</f>
        <v>MWC</v>
      </c>
      <c r="P12" s="165" t="str">
        <f>IFERROR(__xludf.DUMMYFUNCTION("""COMPUTED_VALUE"""),"UL Monroe")</f>
        <v>UL Monroe</v>
      </c>
      <c r="Q12" s="164" t="str">
        <f>IFERROR(__xludf.DUMMYFUNCTION("""COMPUTED_VALUE"""),"ACC")</f>
        <v>ACC</v>
      </c>
      <c r="R12" s="165" t="str">
        <f>IFERROR(__xludf.DUMMYFUNCTION("""COMPUTED_VALUE"""),"Georgia Tech")</f>
        <v>Georgia Tech</v>
      </c>
      <c r="S12" s="164" t="str">
        <f>IFERROR(__xludf.DUMMYFUNCTION("""COMPUTED_VALUE"""),"SEC")</f>
        <v>SEC</v>
      </c>
      <c r="T12" s="165" t="str">
        <f>IFERROR(__xludf.DUMMYFUNCTION("""COMPUTED_VALUE"""),"Mississippi State")</f>
        <v>Mississippi State</v>
      </c>
      <c r="U12" s="164" t="str">
        <f>IFERROR(__xludf.DUMMYFUNCTION("""COMPUTED_VALUE"""),"MAC")</f>
        <v>MAC</v>
      </c>
      <c r="V12" s="165" t="str">
        <f>IFERROR(__xludf.DUMMYFUNCTION("""COMPUTED_VALUE"""),"Charlotte")</f>
        <v>Charlotte</v>
      </c>
      <c r="W12" s="164" t="str">
        <f>IFERROR(__xludf.DUMMYFUNCTION("""COMPUTED_VALUE"""),"AAC")</f>
        <v>AAC</v>
      </c>
      <c r="X12" s="165" t="str">
        <f>IFERROR(__xludf.DUMMYFUNCTION("""COMPUTED_VALUE"""),"Rice")</f>
        <v>Rice</v>
      </c>
      <c r="Y12" s="164" t="str">
        <f>IFERROR(__xludf.DUMMYFUNCTION("""COMPUTED_VALUE"""),"Sun Belt")</f>
        <v>Sun Belt</v>
      </c>
      <c r="Z12" s="165" t="str">
        <f>IFERROR(__xludf.DUMMYFUNCTION("""COMPUTED_VALUE"""),"Old Dominion")</f>
        <v>Old Dominion</v>
      </c>
    </row>
  </sheetData>
  <mergeCells count="13">
    <mergeCell ref="O1:P1"/>
    <mergeCell ref="Q1:R1"/>
    <mergeCell ref="S1:T1"/>
    <mergeCell ref="U1:V1"/>
    <mergeCell ref="W1:X1"/>
    <mergeCell ref="Y1:Z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  <col customWidth="1" hidden="1" min="11" max="32" width="14.13"/>
  </cols>
  <sheetData>
    <row r="1">
      <c r="A1" s="154" t="str">
        <f t="array" ref="A1:J1">transpose(unique(offset('Teams-Conference'!B3:B516,0,(counta('Draft Order'!B2:B516)-10)*2)))</f>
        <v>AAC</v>
      </c>
      <c r="B1" s="154" t="s">
        <v>301</v>
      </c>
      <c r="C1" s="154" t="s">
        <v>296</v>
      </c>
      <c r="D1" s="154" t="s">
        <v>282</v>
      </c>
      <c r="E1" s="154" t="s">
        <v>351</v>
      </c>
      <c r="F1" s="154" t="s">
        <v>352</v>
      </c>
      <c r="G1" s="154" t="s">
        <v>353</v>
      </c>
      <c r="H1" s="154" t="s">
        <v>354</v>
      </c>
      <c r="I1" s="154" t="s">
        <v>292</v>
      </c>
      <c r="J1" s="154" t="s">
        <v>355</v>
      </c>
      <c r="K1" s="154"/>
      <c r="L1" s="154" t="str">
        <f t="array" ref="L1:U1">transpose(unique(offset('Teams-Conference'!B3:B516,0,(counta('Draft Order'!B2:B516)-10)*2)))</f>
        <v>AAC</v>
      </c>
      <c r="M1" s="155" t="s">
        <v>301</v>
      </c>
      <c r="N1" s="155" t="s">
        <v>296</v>
      </c>
      <c r="O1" s="155" t="s">
        <v>282</v>
      </c>
      <c r="P1" s="155" t="s">
        <v>351</v>
      </c>
      <c r="Q1" s="155" t="s">
        <v>352</v>
      </c>
      <c r="R1" s="155" t="s">
        <v>353</v>
      </c>
      <c r="S1" s="155" t="s">
        <v>354</v>
      </c>
      <c r="T1" s="155" t="s">
        <v>292</v>
      </c>
      <c r="U1" s="155" t="s">
        <v>355</v>
      </c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</row>
    <row r="2">
      <c r="A2" t="str">
        <f>IFERROR(__xludf.DUMMYFUNCTION("filter(offset('Teams-Conference'!$A:$A,0,(counta('Draft Order'!$B2:$B516)-10)*2),offset('Teams-Conference'!$B:$B,0,(counta('Draft Order'!$B2:$B516)-10)*2)=A1)"),"East Carolina")</f>
        <v>East Carolina</v>
      </c>
      <c r="B2" t="str">
        <f>IFERROR(__xludf.DUMMYFUNCTION("filter(offset('Teams-Conference'!$A:$A,0,(counta('Draft Order'!$B2:$B516)-10)*2),offset('Teams-Conference'!$B:$B,0,(counta('Draft Order'!$B2:$B516)-10)*2)=B1)"),"Boston College")</f>
        <v>Boston College</v>
      </c>
      <c r="C2" t="str">
        <f>IFERROR(__xludf.DUMMYFUNCTION("filter(offset('Teams-Conference'!$A:$A,0,(counta('Draft Order'!$B2:$B516)-10)*2),offset('Teams-Conference'!$B:$B,0,(counta('Draft Order'!$B2:$B516)-10)*2)=C1)"),"Cincinnati")</f>
        <v>Cincinnati</v>
      </c>
      <c r="D2" t="str">
        <f>IFERROR(__xludf.DUMMYFUNCTION("filter(offset('Teams-Conference'!$A:$A,0,(counta('Draft Order'!$B2:$B516)-10)*2),offset('Teams-Conference'!$B:$B,0,(counta('Draft Order'!$B2:$B516)-10)*2)=D1)"),"Illinois")</f>
        <v>Illinois</v>
      </c>
      <c r="E2" t="str">
        <f>IFERROR(__xludf.DUMMYFUNCTION("filter(offset('Teams-Conference'!$A:$A,0,(counta('Draft Order'!$B2:$B516)-10)*2),offset('Teams-Conference'!$B:$B,0,(counta('Draft Order'!$B2:$B516)-10)*2)=E1)"),"Rutgers")</f>
        <v>Rutgers</v>
      </c>
      <c r="F2" t="str">
        <f>IFERROR(__xludf.DUMMYFUNCTION("filter(offset('Teams-Conference'!$A:$A,0,(counta('Draft Order'!$B2:$B516)-10)*2),offset('Teams-Conference'!$B:$B,0,(counta('Draft Order'!$B2:$B516)-10)*2)=F1)"),"Charlotte")</f>
        <v>Charlotte</v>
      </c>
      <c r="G2" t="str">
        <f>IFERROR(__xludf.DUMMYFUNCTION("filter(offset('Teams-Conference'!$A:$A,0,(counta('Draft Order'!$B2:$B516)-10)*2),offset('Teams-Conference'!$B:$B,0,(counta('Draft Order'!$B2:$B516)-10)*2)=G1)"),"Air Force")</f>
        <v>Air Force</v>
      </c>
      <c r="H2" t="str">
        <f>IFERROR(__xludf.DUMMYFUNCTION("filter(offset('Teams-Conference'!$A:$A,0,(counta('Draft Order'!$B2:$B516)-10)*2),offset('Teams-Conference'!$B:$B,0,(counta('Draft Order'!$B2:$B516)-10)*2)=H1)"),"Arizona")</f>
        <v>Arizona</v>
      </c>
      <c r="I2" t="str">
        <f>IFERROR(__xludf.DUMMYFUNCTION("filter(offset('Teams-Conference'!$A:$A,0,(counta('Draft Order'!$B2:$B516)-10)*2),offset('Teams-Conference'!$B:$B,0,(counta('Draft Order'!$B2:$B516)-10)*2)=I1)"),"Alabama")</f>
        <v>Alabama</v>
      </c>
      <c r="J2" t="str">
        <f>IFERROR(__xludf.DUMMYFUNCTION("filter(offset('Teams-Conference'!$A:$A,0,(counta('Draft Order'!$B2:$B516)-10)*2),offset('Teams-Conference'!$B:$B,0,(counta('Draft Order'!$B2:$B516)-10)*2)=J1)"),"Appalachian State")</f>
        <v>Appalachian State</v>
      </c>
      <c r="K2" t="str">
        <f>IFERROR(__xludf.DUMMYFUNCTION("filter(offset('Teams-Conference'!$A:$A,0,(counta('Draft Order'!$B2:$B516)-10)*2),offset('Teams-Conference'!$B:$B,0,(counta('Draft Order'!$B2:$B516)-10)*2)=K1)"),"#N/A")</f>
        <v>#N/A</v>
      </c>
      <c r="L2" s="163" t="str">
        <f>IFERROR(__xludf.DUMMYFUNCTION("filter(offset('Teams-Conference'!$A:$A,0,(10-10)*2),offset('Teams-Conference'!$B:$B,0,(10-10)*2)=A1)"),"East Carolina")</f>
        <v>East Carolina</v>
      </c>
      <c r="M2" s="163" t="str">
        <f>IFERROR(__xludf.DUMMYFUNCTION("filter(offset('Teams-Conference'!$A:$A,0,(10-10)*2),offset('Teams-Conference'!$B:$B,0,(10-10)*2)=B1)"),"Boston College")</f>
        <v>Boston College</v>
      </c>
      <c r="N2" s="163" t="str">
        <f>IFERROR(__xludf.DUMMYFUNCTION("filter(offset('Teams-Conference'!$A:$A,0,(10-10)*2),offset('Teams-Conference'!$B:$B,0,(10-10)*2)=C1)"),"Cincinnati")</f>
        <v>Cincinnati</v>
      </c>
      <c r="O2" s="163" t="str">
        <f>IFERROR(__xludf.DUMMYFUNCTION("filter(offset('Teams-Conference'!$A:$A,0,(10-10)*2),offset('Teams-Conference'!$B:$B,0,(10-10)*2)=D1)"),"Illinois")</f>
        <v>Illinois</v>
      </c>
      <c r="P2" s="163" t="str">
        <f>IFERROR(__xludf.DUMMYFUNCTION("filter(offset('Teams-Conference'!$A:$A,0,(10-10)*2),offset('Teams-Conference'!$B:$B,0,(10-10)*2)=E1)"),"Florida Intl")</f>
        <v>Florida Intl</v>
      </c>
      <c r="Q2" s="163" t="str">
        <f>IFERROR(__xludf.DUMMYFUNCTION("filter(offset('Teams-Conference'!$A:$A,0,(10-10)*2),offset('Teams-Conference'!$B:$B,0,(10-10)*2)=F1)"),"Akron")</f>
        <v>Akron</v>
      </c>
      <c r="R2" s="163" t="str">
        <f>IFERROR(__xludf.DUMMYFUNCTION("filter(offset('Teams-Conference'!$A:$A,0,(10-10)*2),offset('Teams-Conference'!$B:$B,0,(10-10)*2)=G1)"),"Air Force")</f>
        <v>Air Force</v>
      </c>
      <c r="S2" s="163" t="str">
        <f>IFERROR(__xludf.DUMMYFUNCTION("filter(offset('Teams-Conference'!$A:$A,0,(10-10)*2),offset('Teams-Conference'!$B:$B,0,(10-10)*2)=H1)"),"Arizona")</f>
        <v>Arizona</v>
      </c>
      <c r="T2" s="163" t="str">
        <f>IFERROR(__xludf.DUMMYFUNCTION("filter(offset('Teams-Conference'!$A:$A,0,(10-10)*2),offset('Teams-Conference'!$B:$B,0,(10-10)*2)=I1)"),"Alabama")</f>
        <v>Alabama</v>
      </c>
      <c r="U2" s="163" t="str">
        <f>IFERROR(__xludf.DUMMYFUNCTION("filter(offset('Teams-Conference'!$A:$A,0,(10-10)*2),offset('Teams-Conference'!$B:$B,0,(10-10)*2)=J1)"),"UL Monroe")</f>
        <v>UL Monroe</v>
      </c>
      <c r="V2" s="163" t="str">
        <f>IFERROR(__xludf.DUMMYFUNCTION("filter(offset('Teams-Conference'!$A:$A,0,(10-10)*2),offset('Teams-Conference'!$B:$B,0,(10-10)*2)=K1)"),"#N/A")</f>
        <v>#N/A</v>
      </c>
      <c r="W2" s="163"/>
      <c r="X2" s="163"/>
      <c r="Y2" s="163"/>
      <c r="Z2" s="163"/>
      <c r="AA2" s="163"/>
      <c r="AB2" s="163"/>
      <c r="AC2" s="163"/>
      <c r="AD2" s="163"/>
      <c r="AE2" s="163"/>
      <c r="AF2" s="163"/>
    </row>
    <row r="3">
      <c r="A3" t="str">
        <f>IFERROR(__xludf.DUMMYFUNCTION("""COMPUTED_VALUE"""),"Florida Atlantic")</f>
        <v>Florida Atlantic</v>
      </c>
      <c r="B3" t="str">
        <f>IFERROR(__xludf.DUMMYFUNCTION("""COMPUTED_VALUE"""),"Clemson")</f>
        <v>Clemson</v>
      </c>
      <c r="C3" t="str">
        <f>IFERROR(__xludf.DUMMYFUNCTION("""COMPUTED_VALUE"""),"Baylor")</f>
        <v>Baylor</v>
      </c>
      <c r="D3" t="str">
        <f>IFERROR(__xludf.DUMMYFUNCTION("""COMPUTED_VALUE"""),"Indiana")</f>
        <v>Indiana</v>
      </c>
      <c r="E3" t="str">
        <f>IFERROR(__xludf.DUMMYFUNCTION("""COMPUTED_VALUE"""),"Florida Intl")</f>
        <v>Florida Intl</v>
      </c>
      <c r="F3" t="str">
        <f>IFERROR(__xludf.DUMMYFUNCTION("""COMPUTED_VALUE"""),"Akron")</f>
        <v>Akron</v>
      </c>
      <c r="G3" t="str">
        <f>IFERROR(__xludf.DUMMYFUNCTION("""COMPUTED_VALUE"""),"Boise State")</f>
        <v>Boise State</v>
      </c>
      <c r="H3" t="str">
        <f>IFERROR(__xludf.DUMMYFUNCTION("""COMPUTED_VALUE"""),"Arizona State")</f>
        <v>Arizona State</v>
      </c>
      <c r="I3" t="str">
        <f>IFERROR(__xludf.DUMMYFUNCTION("""COMPUTED_VALUE"""),"Arkansas")</f>
        <v>Arkansas</v>
      </c>
      <c r="J3" t="str">
        <f>IFERROR(__xludf.DUMMYFUNCTION("""COMPUTED_VALUE"""),"Arkansas State")</f>
        <v>Arkansas State</v>
      </c>
      <c r="L3" t="str">
        <f>IFERROR(__xludf.DUMMYFUNCTION("""COMPUTED_VALUE"""),"Florida Atlantic")</f>
        <v>Florida Atlantic</v>
      </c>
      <c r="M3" t="str">
        <f>IFERROR(__xludf.DUMMYFUNCTION("""COMPUTED_VALUE"""),"Clemson")</f>
        <v>Clemson</v>
      </c>
      <c r="N3" t="str">
        <f>IFERROR(__xludf.DUMMYFUNCTION("""COMPUTED_VALUE"""),"Baylor")</f>
        <v>Baylor</v>
      </c>
      <c r="O3" t="str">
        <f>IFERROR(__xludf.DUMMYFUNCTION("""COMPUTED_VALUE"""),"Indiana")</f>
        <v>Indiana</v>
      </c>
      <c r="P3" t="str">
        <f>IFERROR(__xludf.DUMMYFUNCTION("""COMPUTED_VALUE"""),"Jacksonville State")</f>
        <v>Jacksonville State</v>
      </c>
      <c r="Q3" t="str">
        <f>IFERROR(__xludf.DUMMYFUNCTION("""COMPUTED_VALUE"""),"Ball State")</f>
        <v>Ball State</v>
      </c>
      <c r="R3" t="str">
        <f>IFERROR(__xludf.DUMMYFUNCTION("""COMPUTED_VALUE"""),"Boise State")</f>
        <v>Boise State</v>
      </c>
      <c r="S3" t="str">
        <f>IFERROR(__xludf.DUMMYFUNCTION("""COMPUTED_VALUE"""),"Arizona State")</f>
        <v>Arizona State</v>
      </c>
      <c r="T3" t="str">
        <f>IFERROR(__xludf.DUMMYFUNCTION("""COMPUTED_VALUE"""),"Arkansas")</f>
        <v>Arkansas</v>
      </c>
      <c r="U3" t="str">
        <f>IFERROR(__xludf.DUMMYFUNCTION("""COMPUTED_VALUE"""),"Appalachian State")</f>
        <v>Appalachian State</v>
      </c>
    </row>
    <row r="4">
      <c r="A4" t="str">
        <f>IFERROR(__xludf.DUMMYFUNCTION("""COMPUTED_VALUE"""),"Memphis")</f>
        <v>Memphis</v>
      </c>
      <c r="B4" t="str">
        <f>IFERROR(__xludf.DUMMYFUNCTION("""COMPUTED_VALUE"""),"Duke")</f>
        <v>Duke</v>
      </c>
      <c r="C4" t="str">
        <f>IFERROR(__xludf.DUMMYFUNCTION("""COMPUTED_VALUE"""),"BYU")</f>
        <v>BYU</v>
      </c>
      <c r="D4" t="str">
        <f>IFERROR(__xludf.DUMMYFUNCTION("""COMPUTED_VALUE"""),"Iowa")</f>
        <v>Iowa</v>
      </c>
      <c r="E4" t="str">
        <f>IFERROR(__xludf.DUMMYFUNCTION("""COMPUTED_VALUE"""),"Jacksonville State")</f>
        <v>Jacksonville State</v>
      </c>
      <c r="F4" t="str">
        <f>IFERROR(__xludf.DUMMYFUNCTION("""COMPUTED_VALUE"""),"Ball State")</f>
        <v>Ball State</v>
      </c>
      <c r="G4" t="str">
        <f>IFERROR(__xludf.DUMMYFUNCTION("""COMPUTED_VALUE"""),"Colorado State")</f>
        <v>Colorado State</v>
      </c>
      <c r="H4" t="str">
        <f>IFERROR(__xludf.DUMMYFUNCTION("""COMPUTED_VALUE"""),"California")</f>
        <v>California</v>
      </c>
      <c r="I4" t="str">
        <f>IFERROR(__xludf.DUMMYFUNCTION("""COMPUTED_VALUE"""),"Auburn")</f>
        <v>Auburn</v>
      </c>
      <c r="J4" t="str">
        <f>IFERROR(__xludf.DUMMYFUNCTION("""COMPUTED_VALUE"""),"Coastal Carolina")</f>
        <v>Coastal Carolina</v>
      </c>
      <c r="L4" t="str">
        <f>IFERROR(__xludf.DUMMYFUNCTION("""COMPUTED_VALUE"""),"Memphis")</f>
        <v>Memphis</v>
      </c>
      <c r="M4" t="str">
        <f>IFERROR(__xludf.DUMMYFUNCTION("""COMPUTED_VALUE"""),"Duke")</f>
        <v>Duke</v>
      </c>
      <c r="N4" t="str">
        <f>IFERROR(__xludf.DUMMYFUNCTION("""COMPUTED_VALUE"""),"BYU")</f>
        <v>BYU</v>
      </c>
      <c r="O4" t="str">
        <f>IFERROR(__xludf.DUMMYFUNCTION("""COMPUTED_VALUE"""),"Iowa")</f>
        <v>Iowa</v>
      </c>
      <c r="P4" t="str">
        <f>IFERROR(__xludf.DUMMYFUNCTION("""COMPUTED_VALUE"""),"Liberty")</f>
        <v>Liberty</v>
      </c>
      <c r="Q4" t="str">
        <f>IFERROR(__xludf.DUMMYFUNCTION("""COMPUTED_VALUE"""),"Bowling Green")</f>
        <v>Bowling Green</v>
      </c>
      <c r="R4" t="str">
        <f>IFERROR(__xludf.DUMMYFUNCTION("""COMPUTED_VALUE"""),"Colorado State")</f>
        <v>Colorado State</v>
      </c>
      <c r="S4" t="str">
        <f>IFERROR(__xludf.DUMMYFUNCTION("""COMPUTED_VALUE"""),"California")</f>
        <v>California</v>
      </c>
      <c r="T4" t="str">
        <f>IFERROR(__xludf.DUMMYFUNCTION("""COMPUTED_VALUE"""),"Auburn")</f>
        <v>Auburn</v>
      </c>
      <c r="U4" t="str">
        <f>IFERROR(__xludf.DUMMYFUNCTION("""COMPUTED_VALUE"""),"Arkansas State")</f>
        <v>Arkansas State</v>
      </c>
    </row>
    <row r="5">
      <c r="A5" t="str">
        <f>IFERROR(__xludf.DUMMYFUNCTION("""COMPUTED_VALUE"""),"Navy")</f>
        <v>Navy</v>
      </c>
      <c r="B5" t="str">
        <f>IFERROR(__xludf.DUMMYFUNCTION("""COMPUTED_VALUE"""),"Florida State")</f>
        <v>Florida State</v>
      </c>
      <c r="C5" t="str">
        <f>IFERROR(__xludf.DUMMYFUNCTION("""COMPUTED_VALUE"""),"Houston")</f>
        <v>Houston</v>
      </c>
      <c r="D5" t="str">
        <f>IFERROR(__xludf.DUMMYFUNCTION("""COMPUTED_VALUE"""),"Maryland")</f>
        <v>Maryland</v>
      </c>
      <c r="E5" t="str">
        <f>IFERROR(__xludf.DUMMYFUNCTION("""COMPUTED_VALUE"""),"Liberty")</f>
        <v>Liberty</v>
      </c>
      <c r="F5" t="str">
        <f>IFERROR(__xludf.DUMMYFUNCTION("""COMPUTED_VALUE"""),"Bowling Green")</f>
        <v>Bowling Green</v>
      </c>
      <c r="G5" t="str">
        <f>IFERROR(__xludf.DUMMYFUNCTION("""COMPUTED_VALUE"""),"Fresno State")</f>
        <v>Fresno State</v>
      </c>
      <c r="H5" t="str">
        <f>IFERROR(__xludf.DUMMYFUNCTION("""COMPUTED_VALUE"""),"Colorado")</f>
        <v>Colorado</v>
      </c>
      <c r="I5" t="str">
        <f>IFERROR(__xludf.DUMMYFUNCTION("""COMPUTED_VALUE"""),"Florida")</f>
        <v>Florida</v>
      </c>
      <c r="J5" t="str">
        <f>IFERROR(__xludf.DUMMYFUNCTION("""COMPUTED_VALUE"""),"Georgia Southern")</f>
        <v>Georgia Southern</v>
      </c>
      <c r="L5" t="str">
        <f>IFERROR(__xludf.DUMMYFUNCTION("""COMPUTED_VALUE"""),"Navy")</f>
        <v>Navy</v>
      </c>
      <c r="M5" t="str">
        <f>IFERROR(__xludf.DUMMYFUNCTION("""COMPUTED_VALUE"""),"Florida State")</f>
        <v>Florida State</v>
      </c>
      <c r="N5" t="str">
        <f>IFERROR(__xludf.DUMMYFUNCTION("""COMPUTED_VALUE"""),"Houston")</f>
        <v>Houston</v>
      </c>
      <c r="O5" t="str">
        <f>IFERROR(__xludf.DUMMYFUNCTION("""COMPUTED_VALUE"""),"Maryland")</f>
        <v>Maryland</v>
      </c>
      <c r="P5" t="str">
        <f>IFERROR(__xludf.DUMMYFUNCTION("""COMPUTED_VALUE"""),"Louisiana Tech")</f>
        <v>Louisiana Tech</v>
      </c>
      <c r="Q5" t="str">
        <f>IFERROR(__xludf.DUMMYFUNCTION("""COMPUTED_VALUE"""),"Buffalo")</f>
        <v>Buffalo</v>
      </c>
      <c r="R5" t="str">
        <f>IFERROR(__xludf.DUMMYFUNCTION("""COMPUTED_VALUE"""),"Fresno State")</f>
        <v>Fresno State</v>
      </c>
      <c r="S5" t="str">
        <f>IFERROR(__xludf.DUMMYFUNCTION("""COMPUTED_VALUE"""),"Colorado")</f>
        <v>Colorado</v>
      </c>
      <c r="T5" t="str">
        <f>IFERROR(__xludf.DUMMYFUNCTION("""COMPUTED_VALUE"""),"Florida")</f>
        <v>Florida</v>
      </c>
      <c r="U5" t="str">
        <f>IFERROR(__xludf.DUMMYFUNCTION("""COMPUTED_VALUE"""),"Coastal Carolina")</f>
        <v>Coastal Carolina</v>
      </c>
    </row>
    <row r="6">
      <c r="A6" t="str">
        <f>IFERROR(__xludf.DUMMYFUNCTION("""COMPUTED_VALUE"""),"North Texas")</f>
        <v>North Texas</v>
      </c>
      <c r="B6" t="str">
        <f>IFERROR(__xludf.DUMMYFUNCTION("""COMPUTED_VALUE"""),"Georgia Tech")</f>
        <v>Georgia Tech</v>
      </c>
      <c r="C6" t="str">
        <f>IFERROR(__xludf.DUMMYFUNCTION("""COMPUTED_VALUE"""),"Iowa State")</f>
        <v>Iowa State</v>
      </c>
      <c r="D6" t="str">
        <f>IFERROR(__xludf.DUMMYFUNCTION("""COMPUTED_VALUE"""),"Michigan")</f>
        <v>Michigan</v>
      </c>
      <c r="E6" t="str">
        <f>IFERROR(__xludf.DUMMYFUNCTION("""COMPUTED_VALUE"""),"Louisiana Tech")</f>
        <v>Louisiana Tech</v>
      </c>
      <c r="F6" t="str">
        <f>IFERROR(__xludf.DUMMYFUNCTION("""COMPUTED_VALUE"""),"Buffalo")</f>
        <v>Buffalo</v>
      </c>
      <c r="G6" t="str">
        <f>IFERROR(__xludf.DUMMYFUNCTION("""COMPUTED_VALUE"""),"Hawaii")</f>
        <v>Hawaii</v>
      </c>
      <c r="H6" t="str">
        <f>IFERROR(__xludf.DUMMYFUNCTION("""COMPUTED_VALUE"""),"Oregon")</f>
        <v>Oregon</v>
      </c>
      <c r="I6" t="str">
        <f>IFERROR(__xludf.DUMMYFUNCTION("""COMPUTED_VALUE"""),"Georgia")</f>
        <v>Georgia</v>
      </c>
      <c r="J6" t="str">
        <f>IFERROR(__xludf.DUMMYFUNCTION("""COMPUTED_VALUE"""),"Georgia State")</f>
        <v>Georgia State</v>
      </c>
      <c r="L6" t="str">
        <f>IFERROR(__xludf.DUMMYFUNCTION("""COMPUTED_VALUE"""),"North Texas")</f>
        <v>North Texas</v>
      </c>
      <c r="M6" t="str">
        <f>IFERROR(__xludf.DUMMYFUNCTION("""COMPUTED_VALUE"""),"Georgia Tech")</f>
        <v>Georgia Tech</v>
      </c>
      <c r="N6" t="str">
        <f>IFERROR(__xludf.DUMMYFUNCTION("""COMPUTED_VALUE"""),"Iowa State")</f>
        <v>Iowa State</v>
      </c>
      <c r="O6" t="str">
        <f>IFERROR(__xludf.DUMMYFUNCTION("""COMPUTED_VALUE"""),"Michigan")</f>
        <v>Michigan</v>
      </c>
      <c r="P6" t="str">
        <f>IFERROR(__xludf.DUMMYFUNCTION("""COMPUTED_VALUE"""),"Middle Tennessee")</f>
        <v>Middle Tennessee</v>
      </c>
      <c r="Q6" t="str">
        <f>IFERROR(__xludf.DUMMYFUNCTION("""COMPUTED_VALUE"""),"Central Michigan")</f>
        <v>Central Michigan</v>
      </c>
      <c r="R6" t="str">
        <f>IFERROR(__xludf.DUMMYFUNCTION("""COMPUTED_VALUE"""),"Hawaii")</f>
        <v>Hawaii</v>
      </c>
      <c r="S6" t="str">
        <f>IFERROR(__xludf.DUMMYFUNCTION("""COMPUTED_VALUE"""),"Oregon")</f>
        <v>Oregon</v>
      </c>
      <c r="T6" t="str">
        <f>IFERROR(__xludf.DUMMYFUNCTION("""COMPUTED_VALUE"""),"Georgia")</f>
        <v>Georgia</v>
      </c>
      <c r="U6" t="str">
        <f>IFERROR(__xludf.DUMMYFUNCTION("""COMPUTED_VALUE"""),"Georgia Southern")</f>
        <v>Georgia Southern</v>
      </c>
    </row>
    <row r="7">
      <c r="A7" t="str">
        <f>IFERROR(__xludf.DUMMYFUNCTION("""COMPUTED_VALUE"""),"Rice")</f>
        <v>Rice</v>
      </c>
      <c r="B7" t="str">
        <f>IFERROR(__xludf.DUMMYFUNCTION("""COMPUTED_VALUE"""),"Louisville")</f>
        <v>Louisville</v>
      </c>
      <c r="C7" t="str">
        <f>IFERROR(__xludf.DUMMYFUNCTION("""COMPUTED_VALUE"""),"Kansas")</f>
        <v>Kansas</v>
      </c>
      <c r="D7" t="str">
        <f>IFERROR(__xludf.DUMMYFUNCTION("""COMPUTED_VALUE"""),"Michigan State")</f>
        <v>Michigan State</v>
      </c>
      <c r="E7" t="str">
        <f>IFERROR(__xludf.DUMMYFUNCTION("""COMPUTED_VALUE"""),"Middle Tennessee")</f>
        <v>Middle Tennessee</v>
      </c>
      <c r="F7" t="str">
        <f>IFERROR(__xludf.DUMMYFUNCTION("""COMPUTED_VALUE"""),"Central Michigan")</f>
        <v>Central Michigan</v>
      </c>
      <c r="G7" t="str">
        <f>IFERROR(__xludf.DUMMYFUNCTION("""COMPUTED_VALUE"""),"Nevada")</f>
        <v>Nevada</v>
      </c>
      <c r="H7" t="str">
        <f>IFERROR(__xludf.DUMMYFUNCTION("""COMPUTED_VALUE"""),"Oregon State")</f>
        <v>Oregon State</v>
      </c>
      <c r="I7" t="str">
        <f>IFERROR(__xludf.DUMMYFUNCTION("""COMPUTED_VALUE"""),"Kentucky")</f>
        <v>Kentucky</v>
      </c>
      <c r="J7" t="str">
        <f>IFERROR(__xludf.DUMMYFUNCTION("""COMPUTED_VALUE"""),"James Madison")</f>
        <v>James Madison</v>
      </c>
      <c r="L7" t="str">
        <f>IFERROR(__xludf.DUMMYFUNCTION("""COMPUTED_VALUE"""),"Rice")</f>
        <v>Rice</v>
      </c>
      <c r="M7" t="str">
        <f>IFERROR(__xludf.DUMMYFUNCTION("""COMPUTED_VALUE"""),"Louisville")</f>
        <v>Louisville</v>
      </c>
      <c r="N7" t="str">
        <f>IFERROR(__xludf.DUMMYFUNCTION("""COMPUTED_VALUE"""),"Kansas")</f>
        <v>Kansas</v>
      </c>
      <c r="O7" t="str">
        <f>IFERROR(__xludf.DUMMYFUNCTION("""COMPUTED_VALUE"""),"Michigan State")</f>
        <v>Michigan State</v>
      </c>
      <c r="P7" t="str">
        <f>IFERROR(__xludf.DUMMYFUNCTION("""COMPUTED_VALUE"""),"New Mexico State")</f>
        <v>New Mexico State</v>
      </c>
      <c r="Q7" t="str">
        <f>IFERROR(__xludf.DUMMYFUNCTION("""COMPUTED_VALUE"""),"EMU")</f>
        <v>EMU</v>
      </c>
      <c r="R7" t="str">
        <f>IFERROR(__xludf.DUMMYFUNCTION("""COMPUTED_VALUE"""),"Nevada")</f>
        <v>Nevada</v>
      </c>
      <c r="S7" t="str">
        <f>IFERROR(__xludf.DUMMYFUNCTION("""COMPUTED_VALUE"""),"Oregon State")</f>
        <v>Oregon State</v>
      </c>
      <c r="T7" t="str">
        <f>IFERROR(__xludf.DUMMYFUNCTION("""COMPUTED_VALUE"""),"Kentucky")</f>
        <v>Kentucky</v>
      </c>
      <c r="U7" t="str">
        <f>IFERROR(__xludf.DUMMYFUNCTION("""COMPUTED_VALUE"""),"Georgia State")</f>
        <v>Georgia State</v>
      </c>
    </row>
    <row r="8">
      <c r="A8" t="str">
        <f>IFERROR(__xludf.DUMMYFUNCTION("""COMPUTED_VALUE"""),"SMU")</f>
        <v>SMU</v>
      </c>
      <c r="B8" t="str">
        <f>IFERROR(__xludf.DUMMYFUNCTION("""COMPUTED_VALUE"""),"Miami")</f>
        <v>Miami</v>
      </c>
      <c r="C8" t="str">
        <f>IFERROR(__xludf.DUMMYFUNCTION("""COMPUTED_VALUE"""),"Kansas State")</f>
        <v>Kansas State</v>
      </c>
      <c r="D8" t="str">
        <f>IFERROR(__xludf.DUMMYFUNCTION("""COMPUTED_VALUE"""),"Minnesota")</f>
        <v>Minnesota</v>
      </c>
      <c r="E8" t="str">
        <f>IFERROR(__xludf.DUMMYFUNCTION("""COMPUTED_VALUE"""),"New Mexico State")</f>
        <v>New Mexico State</v>
      </c>
      <c r="F8" t="str">
        <f>IFERROR(__xludf.DUMMYFUNCTION("""COMPUTED_VALUE"""),"EMU")</f>
        <v>EMU</v>
      </c>
      <c r="G8" t="str">
        <f>IFERROR(__xludf.DUMMYFUNCTION("""COMPUTED_VALUE"""),"New Mexico")</f>
        <v>New Mexico</v>
      </c>
      <c r="H8" t="str">
        <f>IFERROR(__xludf.DUMMYFUNCTION("""COMPUTED_VALUE"""),"Stanford")</f>
        <v>Stanford</v>
      </c>
      <c r="I8" t="str">
        <f>IFERROR(__xludf.DUMMYFUNCTION("""COMPUTED_VALUE"""),"LSU")</f>
        <v>LSU</v>
      </c>
      <c r="J8" t="str">
        <f>IFERROR(__xludf.DUMMYFUNCTION("""COMPUTED_VALUE"""),"Marshall")</f>
        <v>Marshall</v>
      </c>
      <c r="L8" t="str">
        <f>IFERROR(__xludf.DUMMYFUNCTION("""COMPUTED_VALUE"""),"SMU")</f>
        <v>SMU</v>
      </c>
      <c r="M8" t="str">
        <f>IFERROR(__xludf.DUMMYFUNCTION("""COMPUTED_VALUE"""),"Miami")</f>
        <v>Miami</v>
      </c>
      <c r="N8" t="str">
        <f>IFERROR(__xludf.DUMMYFUNCTION("""COMPUTED_VALUE"""),"Kansas State")</f>
        <v>Kansas State</v>
      </c>
      <c r="O8" t="str">
        <f>IFERROR(__xludf.DUMMYFUNCTION("""COMPUTED_VALUE"""),"Minnesota")</f>
        <v>Minnesota</v>
      </c>
      <c r="P8" t="str">
        <f>IFERROR(__xludf.DUMMYFUNCTION("""COMPUTED_VALUE"""),"Sam Houston")</f>
        <v>Sam Houston</v>
      </c>
      <c r="Q8" t="str">
        <f>IFERROR(__xludf.DUMMYFUNCTION("""COMPUTED_VALUE"""),"Kent State")</f>
        <v>Kent State</v>
      </c>
      <c r="R8" t="str">
        <f>IFERROR(__xludf.DUMMYFUNCTION("""COMPUTED_VALUE"""),"New Mexico")</f>
        <v>New Mexico</v>
      </c>
      <c r="S8" t="str">
        <f>IFERROR(__xludf.DUMMYFUNCTION("""COMPUTED_VALUE"""),"Stanford")</f>
        <v>Stanford</v>
      </c>
      <c r="T8" t="str">
        <f>IFERROR(__xludf.DUMMYFUNCTION("""COMPUTED_VALUE"""),"LSU")</f>
        <v>LSU</v>
      </c>
      <c r="U8" t="str">
        <f>IFERROR(__xludf.DUMMYFUNCTION("""COMPUTED_VALUE"""),"James Madison")</f>
        <v>James Madison</v>
      </c>
    </row>
    <row r="9">
      <c r="A9" t="str">
        <f>IFERROR(__xludf.DUMMYFUNCTION("""COMPUTED_VALUE"""),"Temple")</f>
        <v>Temple</v>
      </c>
      <c r="B9" t="str">
        <f>IFERROR(__xludf.DUMMYFUNCTION("""COMPUTED_VALUE"""),"NC State")</f>
        <v>NC State</v>
      </c>
      <c r="C9" t="str">
        <f>IFERROR(__xludf.DUMMYFUNCTION("""COMPUTED_VALUE"""),"Oklahoma")</f>
        <v>Oklahoma</v>
      </c>
      <c r="D9" t="str">
        <f>IFERROR(__xludf.DUMMYFUNCTION("""COMPUTED_VALUE"""),"Nebraska")</f>
        <v>Nebraska</v>
      </c>
      <c r="E9" t="str">
        <f>IFERROR(__xludf.DUMMYFUNCTION("""COMPUTED_VALUE"""),"Sam Houston")</f>
        <v>Sam Houston</v>
      </c>
      <c r="F9" t="str">
        <f>IFERROR(__xludf.DUMMYFUNCTION("""COMPUTED_VALUE"""),"Kent State")</f>
        <v>Kent State</v>
      </c>
      <c r="G9" t="str">
        <f>IFERROR(__xludf.DUMMYFUNCTION("""COMPUTED_VALUE"""),"San Diego State")</f>
        <v>San Diego State</v>
      </c>
      <c r="H9" t="str">
        <f>IFERROR(__xludf.DUMMYFUNCTION("""COMPUTED_VALUE"""),"UCLA")</f>
        <v>UCLA</v>
      </c>
      <c r="I9" t="str">
        <f>IFERROR(__xludf.DUMMYFUNCTION("""COMPUTED_VALUE"""),"Mississippi State")</f>
        <v>Mississippi State</v>
      </c>
      <c r="J9" t="str">
        <f>IFERROR(__xludf.DUMMYFUNCTION("""COMPUTED_VALUE"""),"Old Dominion")</f>
        <v>Old Dominion</v>
      </c>
      <c r="L9" t="str">
        <f>IFERROR(__xludf.DUMMYFUNCTION("""COMPUTED_VALUE"""),"Temple")</f>
        <v>Temple</v>
      </c>
      <c r="M9" t="str">
        <f>IFERROR(__xludf.DUMMYFUNCTION("""COMPUTED_VALUE"""),"NC State")</f>
        <v>NC State</v>
      </c>
      <c r="N9" t="str">
        <f>IFERROR(__xludf.DUMMYFUNCTION("""COMPUTED_VALUE"""),"Oklahoma")</f>
        <v>Oklahoma</v>
      </c>
      <c r="O9" t="str">
        <f>IFERROR(__xludf.DUMMYFUNCTION("""COMPUTED_VALUE"""),"Nebraska")</f>
        <v>Nebraska</v>
      </c>
      <c r="P9" t="str">
        <f>IFERROR(__xludf.DUMMYFUNCTION("""COMPUTED_VALUE"""),"UTEP")</f>
        <v>UTEP</v>
      </c>
      <c r="Q9" t="str">
        <f>IFERROR(__xludf.DUMMYFUNCTION("""COMPUTED_VALUE"""),"Miami-OH")</f>
        <v>Miami-OH</v>
      </c>
      <c r="R9" t="str">
        <f>IFERROR(__xludf.DUMMYFUNCTION("""COMPUTED_VALUE"""),"San Diego State")</f>
        <v>San Diego State</v>
      </c>
      <c r="S9" t="str">
        <f>IFERROR(__xludf.DUMMYFUNCTION("""COMPUTED_VALUE"""),"UCLA")</f>
        <v>UCLA</v>
      </c>
      <c r="T9" t="str">
        <f>IFERROR(__xludf.DUMMYFUNCTION("""COMPUTED_VALUE"""),"Mississippi State")</f>
        <v>Mississippi State</v>
      </c>
      <c r="U9" t="str">
        <f>IFERROR(__xludf.DUMMYFUNCTION("""COMPUTED_VALUE"""),"Marshall")</f>
        <v>Marshall</v>
      </c>
    </row>
    <row r="10">
      <c r="A10" t="str">
        <f>IFERROR(__xludf.DUMMYFUNCTION("""COMPUTED_VALUE"""),"Tulane")</f>
        <v>Tulane</v>
      </c>
      <c r="B10" t="str">
        <f>IFERROR(__xludf.DUMMYFUNCTION("""COMPUTED_VALUE"""),"North Carolina")</f>
        <v>North Carolina</v>
      </c>
      <c r="C10" t="str">
        <f>IFERROR(__xludf.DUMMYFUNCTION("""COMPUTED_VALUE"""),"Oklahoma State")</f>
        <v>Oklahoma State</v>
      </c>
      <c r="D10" t="str">
        <f>IFERROR(__xludf.DUMMYFUNCTION("""COMPUTED_VALUE"""),"Northwestern")</f>
        <v>Northwestern</v>
      </c>
      <c r="E10" t="str">
        <f>IFERROR(__xludf.DUMMYFUNCTION("""COMPUTED_VALUE"""),"UTEP")</f>
        <v>UTEP</v>
      </c>
      <c r="F10" t="str">
        <f>IFERROR(__xludf.DUMMYFUNCTION("""COMPUTED_VALUE"""),"Miami-OH")</f>
        <v>Miami-OH</v>
      </c>
      <c r="G10" t="str">
        <f>IFERROR(__xludf.DUMMYFUNCTION("""COMPUTED_VALUE"""),"San José State")</f>
        <v>San José State</v>
      </c>
      <c r="H10" t="str">
        <f>IFERROR(__xludf.DUMMYFUNCTION("""COMPUTED_VALUE"""),"USC")</f>
        <v>USC</v>
      </c>
      <c r="I10" t="str">
        <f>IFERROR(__xludf.DUMMYFUNCTION("""COMPUTED_VALUE"""),"Missouri")</f>
        <v>Missouri</v>
      </c>
      <c r="J10" t="str">
        <f>IFERROR(__xludf.DUMMYFUNCTION("""COMPUTED_VALUE"""),"South Alabama")</f>
        <v>South Alabama</v>
      </c>
      <c r="L10" t="str">
        <f>IFERROR(__xludf.DUMMYFUNCTION("""COMPUTED_VALUE"""),"Tulane")</f>
        <v>Tulane</v>
      </c>
      <c r="M10" t="str">
        <f>IFERROR(__xludf.DUMMYFUNCTION("""COMPUTED_VALUE"""),"North Carolina")</f>
        <v>North Carolina</v>
      </c>
      <c r="N10" t="str">
        <f>IFERROR(__xludf.DUMMYFUNCTION("""COMPUTED_VALUE"""),"Oklahoma State")</f>
        <v>Oklahoma State</v>
      </c>
      <c r="O10" t="str">
        <f>IFERROR(__xludf.DUMMYFUNCTION("""COMPUTED_VALUE"""),"Northwestern")</f>
        <v>Northwestern</v>
      </c>
      <c r="P10" t="str">
        <f>IFERROR(__xludf.DUMMYFUNCTION("""COMPUTED_VALUE"""),"Western Kentucky")</f>
        <v>Western Kentucky</v>
      </c>
      <c r="Q10" t="str">
        <f>IFERROR(__xludf.DUMMYFUNCTION("""COMPUTED_VALUE"""),"Northern Illinois")</f>
        <v>Northern Illinois</v>
      </c>
      <c r="R10" t="str">
        <f>IFERROR(__xludf.DUMMYFUNCTION("""COMPUTED_VALUE"""),"San José State")</f>
        <v>San José State</v>
      </c>
      <c r="S10" t="str">
        <f>IFERROR(__xludf.DUMMYFUNCTION("""COMPUTED_VALUE"""),"USC")</f>
        <v>USC</v>
      </c>
      <c r="T10" t="str">
        <f>IFERROR(__xludf.DUMMYFUNCTION("""COMPUTED_VALUE"""),"Missouri")</f>
        <v>Missouri</v>
      </c>
      <c r="U10" t="str">
        <f>IFERROR(__xludf.DUMMYFUNCTION("""COMPUTED_VALUE"""),"Old Dominion")</f>
        <v>Old Dominion</v>
      </c>
    </row>
    <row r="11">
      <c r="A11" t="str">
        <f>IFERROR(__xludf.DUMMYFUNCTION("""COMPUTED_VALUE"""),"Tulsa")</f>
        <v>Tulsa</v>
      </c>
      <c r="B11" t="str">
        <f>IFERROR(__xludf.DUMMYFUNCTION("""COMPUTED_VALUE"""),"Pittsburgh")</f>
        <v>Pittsburgh</v>
      </c>
      <c r="C11" t="str">
        <f>IFERROR(__xludf.DUMMYFUNCTION("""COMPUTED_VALUE"""),"TCU")</f>
        <v>TCU</v>
      </c>
      <c r="D11" t="str">
        <f>IFERROR(__xludf.DUMMYFUNCTION("""COMPUTED_VALUE"""),"Ohio State")</f>
        <v>Ohio State</v>
      </c>
      <c r="E11" t="str">
        <f>IFERROR(__xludf.DUMMYFUNCTION("""COMPUTED_VALUE"""),"Western Kentucky")</f>
        <v>Western Kentucky</v>
      </c>
      <c r="F11" t="str">
        <f>IFERROR(__xludf.DUMMYFUNCTION("""COMPUTED_VALUE"""),"Northern Illinois")</f>
        <v>Northern Illinois</v>
      </c>
      <c r="G11" t="str">
        <f>IFERROR(__xludf.DUMMYFUNCTION("""COMPUTED_VALUE"""),"UNLV")</f>
        <v>UNLV</v>
      </c>
      <c r="H11" t="str">
        <f>IFERROR(__xludf.DUMMYFUNCTION("""COMPUTED_VALUE"""),"Utah")</f>
        <v>Utah</v>
      </c>
      <c r="I11" t="str">
        <f>IFERROR(__xludf.DUMMYFUNCTION("""COMPUTED_VALUE"""),"Ole Miss")</f>
        <v>Ole Miss</v>
      </c>
      <c r="J11" t="str">
        <f>IFERROR(__xludf.DUMMYFUNCTION("""COMPUTED_VALUE"""),"Southern Mississippi")</f>
        <v>Southern Mississippi</v>
      </c>
      <c r="L11" t="str">
        <f>IFERROR(__xludf.DUMMYFUNCTION("""COMPUTED_VALUE"""),"Tulsa")</f>
        <v>Tulsa</v>
      </c>
      <c r="M11" t="str">
        <f>IFERROR(__xludf.DUMMYFUNCTION("""COMPUTED_VALUE"""),"Pittsburgh")</f>
        <v>Pittsburgh</v>
      </c>
      <c r="N11" t="str">
        <f>IFERROR(__xludf.DUMMYFUNCTION("""COMPUTED_VALUE"""),"TCU")</f>
        <v>TCU</v>
      </c>
      <c r="O11" t="str">
        <f>IFERROR(__xludf.DUMMYFUNCTION("""COMPUTED_VALUE"""),"Ohio State")</f>
        <v>Ohio State</v>
      </c>
      <c r="P11" t="str">
        <f>IFERROR(__xludf.DUMMYFUNCTION("""COMPUTED_VALUE"""),"Army")</f>
        <v>Army</v>
      </c>
      <c r="Q11" t="str">
        <f>IFERROR(__xludf.DUMMYFUNCTION("""COMPUTED_VALUE"""),"Ohio")</f>
        <v>Ohio</v>
      </c>
      <c r="R11" t="str">
        <f>IFERROR(__xludf.DUMMYFUNCTION("""COMPUTED_VALUE"""),"UNLV")</f>
        <v>UNLV</v>
      </c>
      <c r="S11" t="str">
        <f>IFERROR(__xludf.DUMMYFUNCTION("""COMPUTED_VALUE"""),"Utah")</f>
        <v>Utah</v>
      </c>
      <c r="T11" t="str">
        <f>IFERROR(__xludf.DUMMYFUNCTION("""COMPUTED_VALUE"""),"Ole Miss")</f>
        <v>Ole Miss</v>
      </c>
      <c r="U11" t="str">
        <f>IFERROR(__xludf.DUMMYFUNCTION("""COMPUTED_VALUE"""),"South Alabama")</f>
        <v>South Alabama</v>
      </c>
    </row>
    <row r="12">
      <c r="A12" t="str">
        <f>IFERROR(__xludf.DUMMYFUNCTION("""COMPUTED_VALUE"""),"UAB")</f>
        <v>UAB</v>
      </c>
      <c r="B12" t="str">
        <f>IFERROR(__xludf.DUMMYFUNCTION("""COMPUTED_VALUE"""),"Syracuse")</f>
        <v>Syracuse</v>
      </c>
      <c r="C12" t="str">
        <f>IFERROR(__xludf.DUMMYFUNCTION("""COMPUTED_VALUE"""),"Texas")</f>
        <v>Texas</v>
      </c>
      <c r="D12" t="str">
        <f>IFERROR(__xludf.DUMMYFUNCTION("""COMPUTED_VALUE"""),"Penn State")</f>
        <v>Penn State</v>
      </c>
      <c r="E12" t="str">
        <f>IFERROR(__xludf.DUMMYFUNCTION("""COMPUTED_VALUE"""),"Army")</f>
        <v>Army</v>
      </c>
      <c r="F12" t="str">
        <f>IFERROR(__xludf.DUMMYFUNCTION("""COMPUTED_VALUE"""),"Ohio")</f>
        <v>Ohio</v>
      </c>
      <c r="G12" t="str">
        <f>IFERROR(__xludf.DUMMYFUNCTION("""COMPUTED_VALUE"""),"Utah State")</f>
        <v>Utah State</v>
      </c>
      <c r="H12" t="str">
        <f>IFERROR(__xludf.DUMMYFUNCTION("""COMPUTED_VALUE"""),"Washington")</f>
        <v>Washington</v>
      </c>
      <c r="I12" t="str">
        <f>IFERROR(__xludf.DUMMYFUNCTION("""COMPUTED_VALUE"""),"South Carolina")</f>
        <v>South Carolina</v>
      </c>
      <c r="J12" t="str">
        <f>IFERROR(__xludf.DUMMYFUNCTION("""COMPUTED_VALUE"""),"Texas State")</f>
        <v>Texas State</v>
      </c>
      <c r="L12" t="str">
        <f>IFERROR(__xludf.DUMMYFUNCTION("""COMPUTED_VALUE"""),"UAB")</f>
        <v>UAB</v>
      </c>
      <c r="M12" t="str">
        <f>IFERROR(__xludf.DUMMYFUNCTION("""COMPUTED_VALUE"""),"Syracuse")</f>
        <v>Syracuse</v>
      </c>
      <c r="N12" t="str">
        <f>IFERROR(__xludf.DUMMYFUNCTION("""COMPUTED_VALUE"""),"Texas")</f>
        <v>Texas</v>
      </c>
      <c r="O12" t="str">
        <f>IFERROR(__xludf.DUMMYFUNCTION("""COMPUTED_VALUE"""),"Penn State")</f>
        <v>Penn State</v>
      </c>
      <c r="Q12" t="str">
        <f>IFERROR(__xludf.DUMMYFUNCTION("""COMPUTED_VALUE"""),"Toledo")</f>
        <v>Toledo</v>
      </c>
      <c r="R12" t="str">
        <f>IFERROR(__xludf.DUMMYFUNCTION("""COMPUTED_VALUE"""),"Utah State")</f>
        <v>Utah State</v>
      </c>
      <c r="S12" t="str">
        <f>IFERROR(__xludf.DUMMYFUNCTION("""COMPUTED_VALUE"""),"Washington")</f>
        <v>Washington</v>
      </c>
      <c r="T12" t="str">
        <f>IFERROR(__xludf.DUMMYFUNCTION("""COMPUTED_VALUE"""),"South Carolina")</f>
        <v>South Carolina</v>
      </c>
      <c r="U12" t="str">
        <f>IFERROR(__xludf.DUMMYFUNCTION("""COMPUTED_VALUE"""),"Southern Mississippi")</f>
        <v>Southern Mississippi</v>
      </c>
    </row>
    <row r="13">
      <c r="A13" t="str">
        <f>IFERROR(__xludf.DUMMYFUNCTION("""COMPUTED_VALUE"""),"UTSA")</f>
        <v>UTSA</v>
      </c>
      <c r="B13" t="str">
        <f>IFERROR(__xludf.DUMMYFUNCTION("""COMPUTED_VALUE"""),"Virginia")</f>
        <v>Virginia</v>
      </c>
      <c r="C13" t="str">
        <f>IFERROR(__xludf.DUMMYFUNCTION("""COMPUTED_VALUE"""),"Texas Tech")</f>
        <v>Texas Tech</v>
      </c>
      <c r="D13" t="str">
        <f>IFERROR(__xludf.DUMMYFUNCTION("""COMPUTED_VALUE"""),"Purdue")</f>
        <v>Purdue</v>
      </c>
      <c r="E13" t="str">
        <f>IFERROR(__xludf.DUMMYFUNCTION("""COMPUTED_VALUE"""),"UConn")</f>
        <v>UConn</v>
      </c>
      <c r="F13" t="str">
        <f>IFERROR(__xludf.DUMMYFUNCTION("""COMPUTED_VALUE"""),"Toledo")</f>
        <v>Toledo</v>
      </c>
      <c r="G13" t="str">
        <f>IFERROR(__xludf.DUMMYFUNCTION("""COMPUTED_VALUE"""),"Wyoming")</f>
        <v>Wyoming</v>
      </c>
      <c r="H13" t="str">
        <f>IFERROR(__xludf.DUMMYFUNCTION("""COMPUTED_VALUE"""),"Washington State")</f>
        <v>Washington State</v>
      </c>
      <c r="I13" t="str">
        <f>IFERROR(__xludf.DUMMYFUNCTION("""COMPUTED_VALUE"""),"Tennessee")</f>
        <v>Tennessee</v>
      </c>
      <c r="J13" t="str">
        <f>IFERROR(__xludf.DUMMYFUNCTION("""COMPUTED_VALUE"""),"Troy")</f>
        <v>Troy</v>
      </c>
      <c r="L13" t="str">
        <f>IFERROR(__xludf.DUMMYFUNCTION("""COMPUTED_VALUE"""),"UTSA")</f>
        <v>UTSA</v>
      </c>
      <c r="M13" t="str">
        <f>IFERROR(__xludf.DUMMYFUNCTION("""COMPUTED_VALUE"""),"Virginia")</f>
        <v>Virginia</v>
      </c>
      <c r="N13" t="str">
        <f>IFERROR(__xludf.DUMMYFUNCTION("""COMPUTED_VALUE"""),"Texas Tech")</f>
        <v>Texas Tech</v>
      </c>
      <c r="O13" t="str">
        <f>IFERROR(__xludf.DUMMYFUNCTION("""COMPUTED_VALUE"""),"Purdue")</f>
        <v>Purdue</v>
      </c>
      <c r="Q13" t="str">
        <f>IFERROR(__xludf.DUMMYFUNCTION("""COMPUTED_VALUE"""),"Western Michigan")</f>
        <v>Western Michigan</v>
      </c>
      <c r="R13" t="str">
        <f>IFERROR(__xludf.DUMMYFUNCTION("""COMPUTED_VALUE"""),"Wyoming")</f>
        <v>Wyoming</v>
      </c>
      <c r="S13" t="str">
        <f>IFERROR(__xludf.DUMMYFUNCTION("""COMPUTED_VALUE"""),"Washington State")</f>
        <v>Washington State</v>
      </c>
      <c r="T13" t="str">
        <f>IFERROR(__xludf.DUMMYFUNCTION("""COMPUTED_VALUE"""),"Tennessee")</f>
        <v>Tennessee</v>
      </c>
      <c r="U13" t="str">
        <f>IFERROR(__xludf.DUMMYFUNCTION("""COMPUTED_VALUE"""),"Texas State")</f>
        <v>Texas State</v>
      </c>
    </row>
    <row r="14">
      <c r="A14" t="str">
        <f>IFERROR(__xludf.DUMMYFUNCTION("""COMPUTED_VALUE"""),"South Florida")</f>
        <v>South Florida</v>
      </c>
      <c r="B14" t="str">
        <f>IFERROR(__xludf.DUMMYFUNCTION("""COMPUTED_VALUE"""),"Virginia Tech")</f>
        <v>Virginia Tech</v>
      </c>
      <c r="C14" t="str">
        <f>IFERROR(__xludf.DUMMYFUNCTION("""COMPUTED_VALUE"""),"UCF")</f>
        <v>UCF</v>
      </c>
      <c r="D14" t="str">
        <f>IFERROR(__xludf.DUMMYFUNCTION("""COMPUTED_VALUE"""),"Wisconsin")</f>
        <v>Wisconsin</v>
      </c>
      <c r="E14" t="str">
        <f>IFERROR(__xludf.DUMMYFUNCTION("""COMPUTED_VALUE"""),"UMASS")</f>
        <v>UMASS</v>
      </c>
      <c r="F14" t="str">
        <f>IFERROR(__xludf.DUMMYFUNCTION("""COMPUTED_VALUE"""),"Western Michigan")</f>
        <v>Western Michigan</v>
      </c>
      <c r="G14" t="str">
        <f>IFERROR(__xludf.DUMMYFUNCTION("""COMPUTED_VALUE"""),"UL Monroe")</f>
        <v>UL Monroe</v>
      </c>
      <c r="H14" t="str">
        <f>IFERROR(__xludf.DUMMYFUNCTION("""COMPUTED_VALUE"""),"Notre Dame")</f>
        <v>Notre Dame</v>
      </c>
      <c r="I14" t="str">
        <f>IFERROR(__xludf.DUMMYFUNCTION("""COMPUTED_VALUE"""),"Texas A&amp;M")</f>
        <v>Texas A&amp;M</v>
      </c>
      <c r="J14" t="str">
        <f>IFERROR(__xludf.DUMMYFUNCTION("""COMPUTED_VALUE"""),"UL Lafayette")</f>
        <v>UL Lafayette</v>
      </c>
      <c r="L14" t="str">
        <f>IFERROR(__xludf.DUMMYFUNCTION("""COMPUTED_VALUE"""),"South Florida")</f>
        <v>South Florida</v>
      </c>
      <c r="M14" t="str">
        <f>IFERROR(__xludf.DUMMYFUNCTION("""COMPUTED_VALUE"""),"Virginia Tech")</f>
        <v>Virginia Tech</v>
      </c>
      <c r="N14" t="str">
        <f>IFERROR(__xludf.DUMMYFUNCTION("""COMPUTED_VALUE"""),"UCF")</f>
        <v>UCF</v>
      </c>
      <c r="O14" t="str">
        <f>IFERROR(__xludf.DUMMYFUNCTION("""COMPUTED_VALUE"""),"Wisconsin")</f>
        <v>Wisconsin</v>
      </c>
      <c r="T14" t="str">
        <f>IFERROR(__xludf.DUMMYFUNCTION("""COMPUTED_VALUE"""),"Texas A&amp;M")</f>
        <v>Texas A&amp;M</v>
      </c>
      <c r="U14" t="str">
        <f>IFERROR(__xludf.DUMMYFUNCTION("""COMPUTED_VALUE"""),"Troy")</f>
        <v>Troy</v>
      </c>
    </row>
    <row r="15">
      <c r="B15" t="str">
        <f>IFERROR(__xludf.DUMMYFUNCTION("""COMPUTED_VALUE"""),"Wake Forest")</f>
        <v>Wake Forest</v>
      </c>
      <c r="C15" t="str">
        <f>IFERROR(__xludf.DUMMYFUNCTION("""COMPUTED_VALUE"""),"West Virginia")</f>
        <v>West Virginia</v>
      </c>
      <c r="I15" t="str">
        <f>IFERROR(__xludf.DUMMYFUNCTION("""COMPUTED_VALUE"""),"Vanderbilt")</f>
        <v>Vanderbilt</v>
      </c>
      <c r="L15" t="str">
        <f>IFERROR(__xludf.DUMMYFUNCTION("""COMPUTED_VALUE"""),"Charlotte")</f>
        <v>Charlotte</v>
      </c>
      <c r="M15" t="str">
        <f>IFERROR(__xludf.DUMMYFUNCTION("""COMPUTED_VALUE"""),"Wake Forest")</f>
        <v>Wake Forest</v>
      </c>
      <c r="N15" t="str">
        <f>IFERROR(__xludf.DUMMYFUNCTION("""COMPUTED_VALUE"""),"West Virginia")</f>
        <v>West Virginia</v>
      </c>
      <c r="O15" t="str">
        <f>IFERROR(__xludf.DUMMYFUNCTION("""COMPUTED_VALUE"""),"Rutgers")</f>
        <v>Rutgers</v>
      </c>
      <c r="T15" t="str">
        <f>IFERROR(__xludf.DUMMYFUNCTION("""COMPUTED_VALUE"""),"Vanderbilt")</f>
        <v>Vanderbilt</v>
      </c>
      <c r="U15" t="str">
        <f>IFERROR(__xludf.DUMMYFUNCTION("""COMPUTED_VALUE"""),"UL Lafayette")</f>
        <v>UL Lafayette</v>
      </c>
    </row>
    <row r="16">
      <c r="M16" t="str">
        <f>IFERROR(__xludf.DUMMYFUNCTION("""COMPUTED_VALUE"""),"Notre Dame")</f>
        <v>Notre Dame</v>
      </c>
    </row>
  </sheetData>
  <conditionalFormatting sqref="A2:J516 K2:K15">
    <cfRule type="containsBlanks" dxfId="7" priority="1">
      <formula>LEN(TRIM(A2))=0</formula>
    </cfRule>
  </conditionalFormatting>
  <conditionalFormatting sqref="A2:J516 K2:K15">
    <cfRule type="expression" dxfId="8" priority="2">
      <formula>iserror(match(A2,L:L,0))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0" width="12.88"/>
    <col customWidth="1" min="11" max="11" width="11.0"/>
    <col customWidth="1" min="12" max="12" width="12.25"/>
    <col customWidth="1" min="13" max="13" width="13.0"/>
    <col customWidth="1" min="14" max="14" width="12.0"/>
    <col customWidth="1" min="15" max="15" width="16.25"/>
    <col customWidth="1" min="16" max="16" width="14.25"/>
    <col customWidth="1" min="17" max="17" width="14.38"/>
    <col customWidth="1" min="18" max="18" width="14.13"/>
    <col customWidth="1" min="19" max="19" width="13.38"/>
    <col customWidth="1" min="20" max="20" width="14.5"/>
    <col hidden="1" min="21" max="51" width="12.63"/>
  </cols>
  <sheetData>
    <row r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 t="str">
        <f t="array" ref="K1:T15">U1:AD15</f>
        <v>#REF!</v>
      </c>
      <c r="L1" s="167"/>
      <c r="M1" s="167"/>
      <c r="N1" s="167"/>
      <c r="O1" s="167"/>
      <c r="P1" s="167"/>
      <c r="Q1" s="167"/>
      <c r="R1" s="167"/>
      <c r="S1" s="167"/>
      <c r="T1" s="167"/>
      <c r="U1" s="167" t="str">
        <f>IFERROR(__xludf.DUMMYFUNCTION("filter(AF:AO,AE:AE=offset(DraftTracker!D1,counta(DraftTracker!F2:F15)+1,0))"),"#REF!")</f>
        <v>#REF!</v>
      </c>
      <c r="V1" s="167"/>
      <c r="W1" s="167"/>
      <c r="X1" s="167"/>
      <c r="Y1" s="167"/>
      <c r="Z1" s="167"/>
      <c r="AA1" s="167"/>
      <c r="AB1" s="167"/>
      <c r="AC1" s="167"/>
      <c r="AD1" s="167"/>
      <c r="AE1" s="168" t="str">
        <f t="array" ref="AE1:AO13">TRANSPOSE('Conferences Needed'!C1:O12)</f>
        <v>Nick G.</v>
      </c>
      <c r="AF1" s="169" t="e">
        <v>#N/A</v>
      </c>
      <c r="AG1" s="169"/>
      <c r="AH1" s="169"/>
      <c r="AI1" s="169"/>
      <c r="AJ1" s="169"/>
      <c r="AK1" s="169"/>
      <c r="AL1" s="169"/>
      <c r="AM1" s="169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</row>
    <row r="2">
      <c r="A2" s="170" t="str">
        <f>iferror(VLOOKUP(K2,'Teams-Conference'!$A:$B,2,0),"")</f>
        <v/>
      </c>
      <c r="B2" s="170" t="str">
        <f>iferror(VLOOKUP(L2,'Teams-Conference'!$A:$B,2,0),"")</f>
        <v/>
      </c>
      <c r="C2" s="170" t="str">
        <f>iferror(VLOOKUP(M2,'Teams-Conference'!$A:$B,2,0),"")</f>
        <v/>
      </c>
      <c r="D2" s="170" t="str">
        <f>iferror(VLOOKUP(N2,'Teams-Conference'!$A:$B,2,0),"")</f>
        <v/>
      </c>
      <c r="E2" s="170" t="str">
        <f>iferror(VLOOKUP(O2,'Teams-Conference'!$A:$B,2,0),"")</f>
        <v/>
      </c>
      <c r="F2" s="170" t="str">
        <f>iferror(VLOOKUP(P2,'Teams-Conference'!$A:$B,2,0),"")</f>
        <v/>
      </c>
      <c r="G2" s="170" t="str">
        <f>iferror(VLOOKUP(Q2,'Teams-Conference'!$A:$B,2,0),"")</f>
        <v/>
      </c>
      <c r="H2" s="170" t="str">
        <f>iferror(VLOOKUP(R2,'Teams-Conference'!$A:$B,2,0),"")</f>
        <v/>
      </c>
      <c r="I2" s="170" t="str">
        <f>iferror(VLOOKUP(S2,'Teams-Conference'!$A:$B,2,0),"")</f>
        <v/>
      </c>
      <c r="J2" s="170" t="str">
        <f>iferror(VLOOKUP(T2,'Teams-Conference'!$A:$B,2,0),"")</f>
        <v/>
      </c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 t="str">
        <f>iferror(offset('ALL Teams Available'!$A1,1,match(U1,'ALL Teams Available'!1:1,0)-1,14,1),"")</f>
        <v/>
      </c>
      <c r="V2" s="170" t="str">
        <f>iferror(offset('ALL Teams Available'!$A1,1,match(V1,'ALL Teams Available'!1:1,0)-1,14,1),"")</f>
        <v/>
      </c>
      <c r="W2" s="170" t="str">
        <f>iferror(offset('ALL Teams Available'!$A1,1,match(W1,'ALL Teams Available'!1:1,0)-1,14,1),"")</f>
        <v/>
      </c>
      <c r="X2" s="170" t="str">
        <f>iferror(offset('ALL Teams Available'!$A1,1,match(X1,'ALL Teams Available'!1:1,0)-1,14,1),"")</f>
        <v/>
      </c>
      <c r="Y2" s="170" t="str">
        <f>iferror(offset('ALL Teams Available'!$A1,1,match(Y1,'ALL Teams Available'!1:1,0)-1,14,1),"")</f>
        <v/>
      </c>
      <c r="Z2" s="170" t="str">
        <f>iferror(offset('ALL Teams Available'!$A1,1,match(Z1,'ALL Teams Available'!1:1,0)-1,14,1),"")</f>
        <v/>
      </c>
      <c r="AA2" s="170" t="str">
        <f>iferror(offset('ALL Teams Available'!$A1,1,match(AA1,'ALL Teams Available'!1:1,0)-1,14,1),"")</f>
        <v/>
      </c>
      <c r="AB2" s="170" t="str">
        <f>iferror(offset('ALL Teams Available'!$A1,1,match(AB1,'ALL Teams Available'!1:1,0)-1,14,1),"")</f>
        <v/>
      </c>
      <c r="AC2" s="170" t="str">
        <f>iferror(offset('ALL Teams Available'!$A1,1,match(AC1,'ALL Teams Available'!1:1,0)-1,14,1),"")</f>
        <v/>
      </c>
      <c r="AD2" s="170" t="str">
        <f>iferror(offset('ALL Teams Available'!$A1,1,match(AD1,'ALL Teams Available'!1:1,0)-1,14,1),"")</f>
        <v/>
      </c>
      <c r="AE2" s="171" t="s">
        <v>58</v>
      </c>
      <c r="AF2" t="e">
        <v>#N/A</v>
      </c>
    </row>
    <row r="3">
      <c r="A3" s="170" t="str">
        <f>iferror(VLOOKUP(K3,'Teams-Conference'!$A:$B,2,0),"")</f>
        <v/>
      </c>
      <c r="B3" s="170" t="str">
        <f>iferror(VLOOKUP(L3,'Teams-Conference'!$A:$B,2,0),"")</f>
        <v/>
      </c>
      <c r="C3" s="170" t="str">
        <f>iferror(VLOOKUP(M3,'Teams-Conference'!$A:$B,2,0),"")</f>
        <v/>
      </c>
      <c r="D3" s="170" t="str">
        <f>iferror(VLOOKUP(N3,'Teams-Conference'!$A:$B,2,0),"")</f>
        <v/>
      </c>
      <c r="E3" s="170" t="str">
        <f>iferror(VLOOKUP(O3,'Teams-Conference'!$A:$B,2,0),"")</f>
        <v/>
      </c>
      <c r="F3" s="170" t="str">
        <f>iferror(VLOOKUP(P3,'Teams-Conference'!$A:$B,2,0),"")</f>
        <v/>
      </c>
      <c r="G3" s="170" t="str">
        <f>iferror(VLOOKUP(Q3,'Teams-Conference'!$A:$B,2,0),"")</f>
        <v/>
      </c>
      <c r="H3" s="170" t="str">
        <f>iferror(VLOOKUP(R3,'Teams-Conference'!$A:$B,2,0),"")</f>
        <v/>
      </c>
      <c r="I3" s="170" t="str">
        <f>iferror(VLOOKUP(S3,'Teams-Conference'!$A:$B,2,0),"")</f>
        <v/>
      </c>
      <c r="J3" s="170" t="str">
        <f>iferror(VLOOKUP(T3,'Teams-Conference'!$A:$B,2,0),"")</f>
        <v/>
      </c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2" t="s">
        <v>56</v>
      </c>
      <c r="AF3" t="e">
        <v>#N/A</v>
      </c>
    </row>
    <row r="4">
      <c r="A4" s="170" t="str">
        <f>iferror(VLOOKUP(K4,'Teams-Conference'!$A:$B,2,0),"")</f>
        <v/>
      </c>
      <c r="B4" s="170" t="str">
        <f>iferror(VLOOKUP(L4,'Teams-Conference'!$A:$B,2,0),"")</f>
        <v/>
      </c>
      <c r="C4" s="170" t="str">
        <f>iferror(VLOOKUP(M4,'Teams-Conference'!$A:$B,2,0),"")</f>
        <v/>
      </c>
      <c r="D4" s="170" t="str">
        <f>iferror(VLOOKUP(N4,'Teams-Conference'!$A:$B,2,0),"")</f>
        <v/>
      </c>
      <c r="E4" s="170" t="str">
        <f>iferror(VLOOKUP(O4,'Teams-Conference'!$A:$B,2,0),"")</f>
        <v/>
      </c>
      <c r="F4" s="170" t="str">
        <f>iferror(VLOOKUP(P4,'Teams-Conference'!$A:$B,2,0),"")</f>
        <v/>
      </c>
      <c r="G4" s="170" t="str">
        <f>iferror(VLOOKUP(Q4,'Teams-Conference'!$A:$B,2,0),"")</f>
        <v/>
      </c>
      <c r="H4" s="170" t="str">
        <f>iferror(VLOOKUP(R4,'Teams-Conference'!$A:$B,2,0),"")</f>
        <v/>
      </c>
      <c r="I4" s="170" t="str">
        <f>iferror(VLOOKUP(S4,'Teams-Conference'!$A:$B,2,0),"")</f>
        <v/>
      </c>
      <c r="J4" s="170" t="str">
        <f>iferror(VLOOKUP(T4,'Teams-Conference'!$A:$B,2,0),"")</f>
        <v/>
      </c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2" t="s">
        <v>60</v>
      </c>
      <c r="AF4" t="e">
        <v>#N/A</v>
      </c>
    </row>
    <row r="5">
      <c r="A5" s="170" t="str">
        <f>iferror(VLOOKUP(K5,'Teams-Conference'!$A:$B,2,0),"")</f>
        <v/>
      </c>
      <c r="B5" s="170" t="str">
        <f>iferror(VLOOKUP(L5,'Teams-Conference'!$A:$B,2,0),"")</f>
        <v/>
      </c>
      <c r="C5" s="170" t="str">
        <f>iferror(VLOOKUP(M5,'Teams-Conference'!$A:$B,2,0),"")</f>
        <v/>
      </c>
      <c r="D5" s="170" t="str">
        <f>iferror(VLOOKUP(N5,'Teams-Conference'!$A:$B,2,0),"")</f>
        <v/>
      </c>
      <c r="E5" s="170" t="str">
        <f>iferror(VLOOKUP(O5,'Teams-Conference'!$A:$B,2,0),"")</f>
        <v/>
      </c>
      <c r="F5" s="170" t="str">
        <f>iferror(VLOOKUP(P5,'Teams-Conference'!$A:$B,2,0),"")</f>
        <v/>
      </c>
      <c r="G5" s="170" t="str">
        <f>iferror(VLOOKUP(Q5,'Teams-Conference'!$A:$B,2,0),"")</f>
        <v/>
      </c>
      <c r="H5" s="170" t="str">
        <f>iferror(VLOOKUP(R5,'Teams-Conference'!$A:$B,2,0),"")</f>
        <v/>
      </c>
      <c r="I5" s="170" t="str">
        <f>iferror(VLOOKUP(S5,'Teams-Conference'!$A:$B,2,0),"")</f>
        <v/>
      </c>
      <c r="J5" s="170" t="str">
        <f>iferror(VLOOKUP(T5,'Teams-Conference'!$A:$B,2,0),"")</f>
        <v/>
      </c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  <c r="AC5" s="170"/>
      <c r="AD5" s="170"/>
      <c r="AE5" s="172" t="s">
        <v>46</v>
      </c>
      <c r="AF5" t="e">
        <v>#N/A</v>
      </c>
    </row>
    <row r="6">
      <c r="A6" s="170" t="str">
        <f>iferror(VLOOKUP(K6,'Teams-Conference'!$A:$B,2,0),"")</f>
        <v/>
      </c>
      <c r="B6" s="170" t="str">
        <f>iferror(VLOOKUP(L6,'Teams-Conference'!$A:$B,2,0),"")</f>
        <v/>
      </c>
      <c r="C6" s="170" t="str">
        <f>iferror(VLOOKUP(M6,'Teams-Conference'!$A:$B,2,0),"")</f>
        <v/>
      </c>
      <c r="D6" s="170" t="str">
        <f>iferror(VLOOKUP(N6,'Teams-Conference'!$A:$B,2,0),"")</f>
        <v/>
      </c>
      <c r="E6" s="170" t="str">
        <f>iferror(VLOOKUP(O6,'Teams-Conference'!$A:$B,2,0),"")</f>
        <v/>
      </c>
      <c r="F6" s="170" t="str">
        <f>iferror(VLOOKUP(P6,'Teams-Conference'!$A:$B,2,0),"")</f>
        <v/>
      </c>
      <c r="G6" s="170" t="str">
        <f>iferror(VLOOKUP(Q6,'Teams-Conference'!$A:$B,2,0),"")</f>
        <v/>
      </c>
      <c r="H6" s="170" t="str">
        <f>iferror(VLOOKUP(R6,'Teams-Conference'!$A:$B,2,0),"")</f>
        <v/>
      </c>
      <c r="I6" s="170" t="str">
        <f>iferror(VLOOKUP(S6,'Teams-Conference'!$A:$B,2,0),"")</f>
        <v/>
      </c>
      <c r="J6" s="170" t="str">
        <f>iferror(VLOOKUP(T6,'Teams-Conference'!$A:$B,2,0),"")</f>
        <v/>
      </c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2" t="s">
        <v>70</v>
      </c>
      <c r="AF6" t="e">
        <v>#N/A</v>
      </c>
    </row>
    <row r="7">
      <c r="A7" s="170" t="str">
        <f>iferror(VLOOKUP(K7,'Teams-Conference'!$A:$B,2,0),"")</f>
        <v/>
      </c>
      <c r="B7" s="170" t="str">
        <f>iferror(VLOOKUP(L7,'Teams-Conference'!$A:$B,2,0),"")</f>
        <v/>
      </c>
      <c r="C7" s="170" t="str">
        <f>iferror(VLOOKUP(M7,'Teams-Conference'!$A:$B,2,0),"")</f>
        <v/>
      </c>
      <c r="D7" s="170" t="str">
        <f>iferror(VLOOKUP(N7,'Teams-Conference'!$A:$B,2,0),"")</f>
        <v/>
      </c>
      <c r="E7" s="170" t="str">
        <f>iferror(VLOOKUP(O7,'Teams-Conference'!$A:$B,2,0),"")</f>
        <v/>
      </c>
      <c r="F7" s="170" t="str">
        <f>iferror(VLOOKUP(P7,'Teams-Conference'!$A:$B,2,0),"")</f>
        <v/>
      </c>
      <c r="G7" s="170" t="str">
        <f>iferror(VLOOKUP(Q7,'Teams-Conference'!$A:$B,2,0),"")</f>
        <v/>
      </c>
      <c r="H7" s="170" t="str">
        <f>iferror(VLOOKUP(R7,'Teams-Conference'!$A:$B,2,0),"")</f>
        <v/>
      </c>
      <c r="I7" s="170" t="str">
        <f>iferror(VLOOKUP(S7,'Teams-Conference'!$A:$B,2,0),"")</f>
        <v/>
      </c>
      <c r="J7" s="170" t="str">
        <f>iferror(VLOOKUP(T7,'Teams-Conference'!$A:$B,2,0),"")</f>
        <v/>
      </c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2" t="s">
        <v>57</v>
      </c>
      <c r="AF7" t="e">
        <v>#N/A</v>
      </c>
    </row>
    <row r="8">
      <c r="A8" s="170" t="str">
        <f>iferror(VLOOKUP(K8,'Teams-Conference'!$A:$B,2,0),"")</f>
        <v/>
      </c>
      <c r="B8" s="170" t="str">
        <f>iferror(VLOOKUP(L8,'Teams-Conference'!$A:$B,2,0),"")</f>
        <v/>
      </c>
      <c r="C8" s="170" t="str">
        <f>iferror(VLOOKUP(M8,'Teams-Conference'!$A:$B,2,0),"")</f>
        <v/>
      </c>
      <c r="D8" s="170" t="str">
        <f>iferror(VLOOKUP(N8,'Teams-Conference'!$A:$B,2,0),"")</f>
        <v/>
      </c>
      <c r="E8" s="170" t="str">
        <f>iferror(VLOOKUP(O8,'Teams-Conference'!$A:$B,2,0),"")</f>
        <v/>
      </c>
      <c r="F8" s="170" t="str">
        <f>iferror(VLOOKUP(P8,'Teams-Conference'!$A:$B,2,0),"")</f>
        <v/>
      </c>
      <c r="G8" s="170" t="str">
        <f>iferror(VLOOKUP(Q8,'Teams-Conference'!$A:$B,2,0),"")</f>
        <v/>
      </c>
      <c r="H8" s="170" t="str">
        <f>iferror(VLOOKUP(R8,'Teams-Conference'!$A:$B,2,0),"")</f>
        <v/>
      </c>
      <c r="I8" s="170" t="str">
        <f>iferror(VLOOKUP(S8,'Teams-Conference'!$A:$B,2,0),"")</f>
        <v/>
      </c>
      <c r="J8" s="170" t="str">
        <f>iferror(VLOOKUP(T8,'Teams-Conference'!$A:$B,2,0),"")</f>
        <v/>
      </c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2" t="s">
        <v>67</v>
      </c>
      <c r="AF8" t="e">
        <v>#N/A</v>
      </c>
    </row>
    <row r="9">
      <c r="A9" s="170" t="str">
        <f>iferror(VLOOKUP(K9,'Teams-Conference'!$A:$B,2,0),"")</f>
        <v/>
      </c>
      <c r="B9" s="170" t="str">
        <f>iferror(VLOOKUP(L9,'Teams-Conference'!$A:$B,2,0),"")</f>
        <v/>
      </c>
      <c r="C9" s="170" t="str">
        <f>iferror(VLOOKUP(M9,'Teams-Conference'!$A:$B,2,0),"")</f>
        <v/>
      </c>
      <c r="D9" s="170" t="str">
        <f>iferror(VLOOKUP(N9,'Teams-Conference'!$A:$B,2,0),"")</f>
        <v/>
      </c>
      <c r="E9" s="170" t="str">
        <f>iferror(VLOOKUP(O9,'Teams-Conference'!$A:$B,2,0),"")</f>
        <v/>
      </c>
      <c r="F9" s="170" t="str">
        <f>iferror(VLOOKUP(P9,'Teams-Conference'!$A:$B,2,0),"")</f>
        <v/>
      </c>
      <c r="G9" s="170" t="str">
        <f>iferror(VLOOKUP(Q9,'Teams-Conference'!$A:$B,2,0),"")</f>
        <v/>
      </c>
      <c r="H9" s="170" t="str">
        <f>iferror(VLOOKUP(R9,'Teams-Conference'!$A:$B,2,0),"")</f>
        <v/>
      </c>
      <c r="I9" s="170" t="str">
        <f>iferror(VLOOKUP(S9,'Teams-Conference'!$A:$B,2,0),"")</f>
        <v/>
      </c>
      <c r="J9" s="170" t="str">
        <f>iferror(VLOOKUP(T9,'Teams-Conference'!$A:$B,2,0),"")</f>
        <v/>
      </c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2" t="s">
        <v>59</v>
      </c>
      <c r="AF9" t="e">
        <v>#N/A</v>
      </c>
    </row>
    <row r="10">
      <c r="A10" s="170" t="str">
        <f>iferror(VLOOKUP(K10,'Teams-Conference'!$A:$B,2,0),"")</f>
        <v/>
      </c>
      <c r="B10" s="170" t="str">
        <f>iferror(VLOOKUP(L10,'Teams-Conference'!$A:$B,2,0),"")</f>
        <v/>
      </c>
      <c r="C10" s="170" t="str">
        <f>iferror(VLOOKUP(M10,'Teams-Conference'!$A:$B,2,0),"")</f>
        <v/>
      </c>
      <c r="D10" s="170" t="str">
        <f>iferror(VLOOKUP(N10,'Teams-Conference'!$A:$B,2,0),"")</f>
        <v/>
      </c>
      <c r="E10" s="170" t="str">
        <f>iferror(VLOOKUP(O10,'Teams-Conference'!$A:$B,2,0),"")</f>
        <v/>
      </c>
      <c r="F10" s="170" t="str">
        <f>iferror(VLOOKUP(P10,'Teams-Conference'!$A:$B,2,0),"")</f>
        <v/>
      </c>
      <c r="G10" s="170" t="str">
        <f>iferror(VLOOKUP(Q10,'Teams-Conference'!$A:$B,2,0),"")</f>
        <v/>
      </c>
      <c r="H10" s="170" t="str">
        <f>iferror(VLOOKUP(R10,'Teams-Conference'!$A:$B,2,0),"")</f>
        <v/>
      </c>
      <c r="I10" s="170" t="str">
        <f>iferror(VLOOKUP(S10,'Teams-Conference'!$A:$B,2,0),"")</f>
        <v/>
      </c>
      <c r="J10" s="170" t="str">
        <f>iferror(VLOOKUP(T10,'Teams-Conference'!$A:$B,2,0),"")</f>
        <v/>
      </c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2" t="s">
        <v>62</v>
      </c>
      <c r="AF10" t="e">
        <v>#N/A</v>
      </c>
    </row>
    <row r="11">
      <c r="A11" s="170" t="str">
        <f>iferror(VLOOKUP(K11,'Teams-Conference'!$A:$B,2,0),"")</f>
        <v/>
      </c>
      <c r="B11" s="170" t="str">
        <f>iferror(VLOOKUP(L11,'Teams-Conference'!$A:$B,2,0),"")</f>
        <v/>
      </c>
      <c r="C11" s="170" t="str">
        <f>iferror(VLOOKUP(M11,'Teams-Conference'!$A:$B,2,0),"")</f>
        <v/>
      </c>
      <c r="D11" s="170" t="str">
        <f>iferror(VLOOKUP(N11,'Teams-Conference'!$A:$B,2,0),"")</f>
        <v/>
      </c>
      <c r="E11" s="170" t="str">
        <f>iferror(VLOOKUP(O11,'Teams-Conference'!$A:$B,2,0),"")</f>
        <v/>
      </c>
      <c r="F11" s="170" t="str">
        <f>iferror(VLOOKUP(P11,'Teams-Conference'!$A:$B,2,0),"")</f>
        <v/>
      </c>
      <c r="G11" s="170" t="str">
        <f>iferror(VLOOKUP(Q11,'Teams-Conference'!$A:$B,2,0),"")</f>
        <v/>
      </c>
      <c r="H11" s="170" t="str">
        <f>iferror(VLOOKUP(R11,'Teams-Conference'!$A:$B,2,0),"")</f>
        <v/>
      </c>
      <c r="I11" s="170" t="str">
        <f>iferror(VLOOKUP(S11,'Teams-Conference'!$A:$B,2,0),"")</f>
        <v/>
      </c>
      <c r="J11" s="170" t="str">
        <f>iferror(VLOOKUP(T11,'Teams-Conference'!$A:$B,2,0),"")</f>
        <v/>
      </c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2" t="s">
        <v>69</v>
      </c>
      <c r="AF11" t="e">
        <v>#N/A</v>
      </c>
    </row>
    <row r="12">
      <c r="A12" s="170" t="str">
        <f>iferror(VLOOKUP(K12,'Teams-Conference'!$A:$B,2,0),"")</f>
        <v/>
      </c>
      <c r="B12" s="170" t="str">
        <f>iferror(VLOOKUP(L12,'Teams-Conference'!$A:$B,2,0),"")</f>
        <v/>
      </c>
      <c r="C12" s="170" t="str">
        <f>iferror(VLOOKUP(M12,'Teams-Conference'!$A:$B,2,0),"")</f>
        <v/>
      </c>
      <c r="D12" s="170" t="str">
        <f>iferror(VLOOKUP(N12,'Teams-Conference'!$A:$B,2,0),"")</f>
        <v/>
      </c>
      <c r="E12" s="170" t="str">
        <f>iferror(VLOOKUP(O12,'Teams-Conference'!$A:$B,2,0),"")</f>
        <v/>
      </c>
      <c r="F12" s="170" t="str">
        <f>iferror(VLOOKUP(P12,'Teams-Conference'!$A:$B,2,0),"")</f>
        <v/>
      </c>
      <c r="G12" s="170" t="str">
        <f>iferror(VLOOKUP(Q12,'Teams-Conference'!$A:$B,2,0),"")</f>
        <v/>
      </c>
      <c r="H12" s="170" t="str">
        <f>iferror(VLOOKUP(R12,'Teams-Conference'!$A:$B,2,0),"")</f>
        <v/>
      </c>
      <c r="I12" s="170" t="str">
        <f>iferror(VLOOKUP(S12,'Teams-Conference'!$A:$B,2,0),"")</f>
        <v/>
      </c>
      <c r="J12" s="170" t="str">
        <f>iferror(VLOOKUP(T12,'Teams-Conference'!$A:$B,2,0),"")</f>
        <v/>
      </c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2" t="s">
        <v>125</v>
      </c>
      <c r="AF12" t="e">
        <v>#N/A</v>
      </c>
    </row>
    <row r="13">
      <c r="A13" s="170" t="str">
        <f>iferror(VLOOKUP(K13,'Teams-Conference'!$A:$B,2,0),"")</f>
        <v/>
      </c>
      <c r="B13" s="170" t="str">
        <f>iferror(VLOOKUP(L13,'Teams-Conference'!$A:$B,2,0),"")</f>
        <v/>
      </c>
      <c r="C13" s="170" t="str">
        <f>iferror(VLOOKUP(M13,'Teams-Conference'!$A:$B,2,0),"")</f>
        <v/>
      </c>
      <c r="D13" s="170" t="str">
        <f>iferror(VLOOKUP(N13,'Teams-Conference'!$A:$B,2,0),"")</f>
        <v/>
      </c>
      <c r="E13" s="170" t="str">
        <f>iferror(VLOOKUP(O13,'Teams-Conference'!$A:$B,2,0),"")</f>
        <v/>
      </c>
      <c r="F13" s="170" t="str">
        <f>iferror(VLOOKUP(P13,'Teams-Conference'!$A:$B,2,0),"")</f>
        <v/>
      </c>
      <c r="G13" s="170" t="str">
        <f>iferror(VLOOKUP(Q13,'Teams-Conference'!$A:$B,2,0),"")</f>
        <v/>
      </c>
      <c r="H13" s="170" t="str">
        <f>iferror(VLOOKUP(R13,'Teams-Conference'!$A:$B,2,0),"")</f>
        <v/>
      </c>
      <c r="I13" s="170" t="str">
        <f>iferror(VLOOKUP(S13,'Teams-Conference'!$A:$B,2,0),"")</f>
        <v/>
      </c>
      <c r="J13" s="170" t="str">
        <f>iferror(VLOOKUP(T13,'Teams-Conference'!$A:$B,2,0),"")</f>
        <v/>
      </c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80" t="s">
        <v>61</v>
      </c>
      <c r="AF13" t="e">
        <v>#N/A</v>
      </c>
    </row>
    <row r="14">
      <c r="A14" s="170" t="str">
        <f>iferror(VLOOKUP(K14,'Teams-Conference'!$A:$B,2,0),"")</f>
        <v/>
      </c>
      <c r="B14" s="170" t="str">
        <f>iferror(VLOOKUP(L14,'Teams-Conference'!$A:$B,2,0),"")</f>
        <v/>
      </c>
      <c r="C14" s="170" t="str">
        <f>iferror(VLOOKUP(M14,'Teams-Conference'!$A:$B,2,0),"")</f>
        <v/>
      </c>
      <c r="D14" s="170" t="str">
        <f>iferror(VLOOKUP(N14,'Teams-Conference'!$A:$B,2,0),"")</f>
        <v/>
      </c>
      <c r="E14" s="170" t="str">
        <f>iferror(VLOOKUP(O14,'Teams-Conference'!$A:$B,2,0),"")</f>
        <v/>
      </c>
      <c r="F14" s="170" t="str">
        <f>iferror(VLOOKUP(P14,'Teams-Conference'!$A:$B,2,0),"")</f>
        <v/>
      </c>
      <c r="G14" s="170" t="str">
        <f>iferror(VLOOKUP(Q14,'Teams-Conference'!$A:$B,2,0),"")</f>
        <v/>
      </c>
      <c r="H14" s="170" t="str">
        <f>iferror(VLOOKUP(R14,'Teams-Conference'!$A:$B,2,0),"")</f>
        <v/>
      </c>
      <c r="I14" s="170" t="str">
        <f>iferror(VLOOKUP(S14,'Teams-Conference'!$A:$B,2,0),"")</f>
        <v/>
      </c>
      <c r="J14" s="170" t="str">
        <f>iferror(VLOOKUP(T14,'Teams-Conference'!$A:$B,2,0),"")</f>
        <v/>
      </c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80"/>
    </row>
    <row r="15">
      <c r="A15" s="170" t="str">
        <f>iferror(VLOOKUP(K15,'Teams-Conference'!$A:$B,2,0),"")</f>
        <v/>
      </c>
      <c r="B15" s="170" t="str">
        <f>iferror(VLOOKUP(L15,'Teams-Conference'!$A:$B,2,0),"")</f>
        <v/>
      </c>
      <c r="C15" s="170" t="str">
        <f>iferror(VLOOKUP(M15,'Teams-Conference'!$A:$B,2,0),"")</f>
        <v/>
      </c>
      <c r="D15" s="170" t="str">
        <f>iferror(VLOOKUP(N15,'Teams-Conference'!$A:$B,2,0),"")</f>
        <v/>
      </c>
      <c r="E15" s="170" t="str">
        <f>iferror(VLOOKUP(O15,'Teams-Conference'!$A:$B,2,0),"")</f>
        <v/>
      </c>
      <c r="F15" s="170" t="str">
        <f>iferror(VLOOKUP(P15,'Teams-Conference'!$A:$B,2,0),"")</f>
        <v/>
      </c>
      <c r="G15" s="170" t="str">
        <f>iferror(VLOOKUP(Q15,'Teams-Conference'!$A:$B,2,0),"")</f>
        <v/>
      </c>
      <c r="H15" s="170" t="str">
        <f>iferror(VLOOKUP(R15,'Teams-Conference'!$A:$B,2,0),"")</f>
        <v/>
      </c>
      <c r="I15" s="170" t="str">
        <f>iferror(VLOOKUP(S15,'Teams-Conference'!$A:$B,2,0),"")</f>
        <v/>
      </c>
      <c r="J15" s="170" t="str">
        <f>iferror(VLOOKUP(T15,'Teams-Conference'!$A:$B,2,0),"")</f>
        <v/>
      </c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81"/>
    </row>
  </sheetData>
  <conditionalFormatting sqref="K2:T15">
    <cfRule type="containsBlanks" dxfId="7" priority="1">
      <formula>LEN(TRIM(K2))=0</formula>
    </cfRule>
  </conditionalFormatting>
  <conditionalFormatting sqref="K2:T15">
    <cfRule type="expression" dxfId="9" priority="2">
      <formula>A2&lt;&gt;K$1</formula>
    </cfRule>
  </conditionalFormatting>
  <conditionalFormatting sqref="A3:K3">
    <cfRule type="expression" dxfId="10" priority="3">
      <formula>vlookup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K1">transpose(unique(offset('Teams-Conference'!B3:B516,0,(10-10)*2)))</f>
        <v>AAC</v>
      </c>
      <c r="B1" t="s">
        <v>301</v>
      </c>
      <c r="C1" t="s">
        <v>296</v>
      </c>
      <c r="D1" t="s">
        <v>282</v>
      </c>
      <c r="E1" t="s">
        <v>351</v>
      </c>
      <c r="F1" t="s">
        <v>393</v>
      </c>
      <c r="G1" t="s">
        <v>352</v>
      </c>
      <c r="H1" t="s">
        <v>353</v>
      </c>
      <c r="I1" t="s">
        <v>355</v>
      </c>
      <c r="J1" t="s">
        <v>354</v>
      </c>
      <c r="K1" t="s">
        <v>292</v>
      </c>
    </row>
    <row r="2">
      <c r="A2" t="str">
        <f>IFERROR(__xludf.DUMMYFUNCTION("filter(offset('Teams-Conference'!$A:$A,0,(10-10)*2),offset('Teams-Conference'!$B:$B,0,(10-10)*2)=A1)"),"East Carolina")</f>
        <v>East Carolina</v>
      </c>
      <c r="B2" t="str">
        <f>IFERROR(__xludf.DUMMYFUNCTION("filter(offset('Teams-Conference'!$A:$A,0,(10-10)*2),offset('Teams-Conference'!$B:$B,0,(10-10)*2)=B1)"),"Boston College")</f>
        <v>Boston College</v>
      </c>
      <c r="C2" t="str">
        <f>IFERROR(__xludf.DUMMYFUNCTION("filter(offset('Teams-Conference'!$A:$A,0,(10-10)*2),offset('Teams-Conference'!$B:$B,0,(10-10)*2)=C1)"),"Cincinnati")</f>
        <v>Cincinnati</v>
      </c>
      <c r="D2" t="str">
        <f>IFERROR(__xludf.DUMMYFUNCTION("filter(offset('Teams-Conference'!$A:$A,0,(10-10)*2),offset('Teams-Conference'!$B:$B,0,(10-10)*2)=D1)"),"Illinois")</f>
        <v>Illinois</v>
      </c>
      <c r="E2" t="str">
        <f>IFERROR(__xludf.DUMMYFUNCTION("filter(offset('Teams-Conference'!$A:$A,0,(10-10)*2),offset('Teams-Conference'!$B:$B,0,(10-10)*2)=E1)"),"Florida Intl")</f>
        <v>Florida Intl</v>
      </c>
      <c r="F2" t="str">
        <f>IFERROR(__xludf.DUMMYFUNCTION("filter(offset('Teams-Conference'!$A:$A,0,(10-10)*2),offset('Teams-Conference'!$B:$B,0,(10-10)*2)=F1)"),"UConn")</f>
        <v>UConn</v>
      </c>
      <c r="G2" t="str">
        <f>IFERROR(__xludf.DUMMYFUNCTION("filter(offset('Teams-Conference'!$A:$A,0,(10-10)*2),offset('Teams-Conference'!$B:$B,0,(10-10)*2)=G1)"),"Akron")</f>
        <v>Akron</v>
      </c>
      <c r="H2" t="str">
        <f>IFERROR(__xludf.DUMMYFUNCTION("filter(offset('Teams-Conference'!$A:$A,0,(10-10)*2),offset('Teams-Conference'!$B:$B,0,(10-10)*2)=H1)"),"Air Force")</f>
        <v>Air Force</v>
      </c>
      <c r="I2" t="str">
        <f>IFERROR(__xludf.DUMMYFUNCTION("filter(offset('Teams-Conference'!$A:$A,0,(10-10)*2),offset('Teams-Conference'!$B:$B,0,(10-10)*2)=I1)"),"UL Monroe")</f>
        <v>UL Monroe</v>
      </c>
      <c r="J2" t="str">
        <f>IFERROR(__xludf.DUMMYFUNCTION("filter(offset('Teams-Conference'!$A:$A,0,(10-10)*2),offset('Teams-Conference'!$B:$B,0,(10-10)*2)=J1)"),"Arizona")</f>
        <v>Arizona</v>
      </c>
      <c r="K2" t="str">
        <f>IFERROR(__xludf.DUMMYFUNCTION("filter(offset('Teams-Conference'!$A:$A,0,(10-10)*2),offset('Teams-Conference'!$B:$B,0,(10-10)*2)=K1)"),"Alabama")</f>
        <v>Alabama</v>
      </c>
    </row>
    <row r="3">
      <c r="A3" t="str">
        <f>IFERROR(__xludf.DUMMYFUNCTION("""COMPUTED_VALUE"""),"Florida Atlantic")</f>
        <v>Florida Atlantic</v>
      </c>
      <c r="B3" t="str">
        <f>IFERROR(__xludf.DUMMYFUNCTION("""COMPUTED_VALUE"""),"Clemson")</f>
        <v>Clemson</v>
      </c>
      <c r="C3" t="str">
        <f>IFERROR(__xludf.DUMMYFUNCTION("""COMPUTED_VALUE"""),"Baylor")</f>
        <v>Baylor</v>
      </c>
      <c r="D3" t="str">
        <f>IFERROR(__xludf.DUMMYFUNCTION("""COMPUTED_VALUE"""),"Indiana")</f>
        <v>Indiana</v>
      </c>
      <c r="E3" t="str">
        <f>IFERROR(__xludf.DUMMYFUNCTION("""COMPUTED_VALUE"""),"Jacksonville State")</f>
        <v>Jacksonville State</v>
      </c>
      <c r="F3" t="str">
        <f>IFERROR(__xludf.DUMMYFUNCTION("""COMPUTED_VALUE"""),"UMASS")</f>
        <v>UMASS</v>
      </c>
      <c r="G3" t="str">
        <f>IFERROR(__xludf.DUMMYFUNCTION("""COMPUTED_VALUE"""),"Ball State")</f>
        <v>Ball State</v>
      </c>
      <c r="H3" t="str">
        <f>IFERROR(__xludf.DUMMYFUNCTION("""COMPUTED_VALUE"""),"Boise State")</f>
        <v>Boise State</v>
      </c>
      <c r="I3" t="str">
        <f>IFERROR(__xludf.DUMMYFUNCTION("""COMPUTED_VALUE"""),"Appalachian State")</f>
        <v>Appalachian State</v>
      </c>
      <c r="J3" t="str">
        <f>IFERROR(__xludf.DUMMYFUNCTION("""COMPUTED_VALUE"""),"Arizona State")</f>
        <v>Arizona State</v>
      </c>
      <c r="K3" t="str">
        <f>IFERROR(__xludf.DUMMYFUNCTION("""COMPUTED_VALUE"""),"Arkansas")</f>
        <v>Arkansas</v>
      </c>
    </row>
    <row r="4">
      <c r="A4" t="str">
        <f>IFERROR(__xludf.DUMMYFUNCTION("""COMPUTED_VALUE"""),"Memphis")</f>
        <v>Memphis</v>
      </c>
      <c r="B4" t="str">
        <f>IFERROR(__xludf.DUMMYFUNCTION("""COMPUTED_VALUE"""),"Duke")</f>
        <v>Duke</v>
      </c>
      <c r="C4" t="str">
        <f>IFERROR(__xludf.DUMMYFUNCTION("""COMPUTED_VALUE"""),"BYU")</f>
        <v>BYU</v>
      </c>
      <c r="D4" t="str">
        <f>IFERROR(__xludf.DUMMYFUNCTION("""COMPUTED_VALUE"""),"Iowa")</f>
        <v>Iowa</v>
      </c>
      <c r="E4" t="str">
        <f>IFERROR(__xludf.DUMMYFUNCTION("""COMPUTED_VALUE"""),"Liberty")</f>
        <v>Liberty</v>
      </c>
      <c r="G4" t="str">
        <f>IFERROR(__xludf.DUMMYFUNCTION("""COMPUTED_VALUE"""),"Bowling Green")</f>
        <v>Bowling Green</v>
      </c>
      <c r="H4" t="str">
        <f>IFERROR(__xludf.DUMMYFUNCTION("""COMPUTED_VALUE"""),"Colorado State")</f>
        <v>Colorado State</v>
      </c>
      <c r="I4" t="str">
        <f>IFERROR(__xludf.DUMMYFUNCTION("""COMPUTED_VALUE"""),"Arkansas State")</f>
        <v>Arkansas State</v>
      </c>
      <c r="J4" t="str">
        <f>IFERROR(__xludf.DUMMYFUNCTION("""COMPUTED_VALUE"""),"California")</f>
        <v>California</v>
      </c>
      <c r="K4" t="str">
        <f>IFERROR(__xludf.DUMMYFUNCTION("""COMPUTED_VALUE"""),"Auburn")</f>
        <v>Auburn</v>
      </c>
    </row>
    <row r="5">
      <c r="A5" t="str">
        <f>IFERROR(__xludf.DUMMYFUNCTION("""COMPUTED_VALUE"""),"Navy")</f>
        <v>Navy</v>
      </c>
      <c r="B5" t="str">
        <f>IFERROR(__xludf.DUMMYFUNCTION("""COMPUTED_VALUE"""),"Florida State")</f>
        <v>Florida State</v>
      </c>
      <c r="C5" t="str">
        <f>IFERROR(__xludf.DUMMYFUNCTION("""COMPUTED_VALUE"""),"Houston")</f>
        <v>Houston</v>
      </c>
      <c r="D5" t="str">
        <f>IFERROR(__xludf.DUMMYFUNCTION("""COMPUTED_VALUE"""),"Maryland")</f>
        <v>Maryland</v>
      </c>
      <c r="E5" t="str">
        <f>IFERROR(__xludf.DUMMYFUNCTION("""COMPUTED_VALUE"""),"Louisiana Tech")</f>
        <v>Louisiana Tech</v>
      </c>
      <c r="G5" t="str">
        <f>IFERROR(__xludf.DUMMYFUNCTION("""COMPUTED_VALUE"""),"Buffalo")</f>
        <v>Buffalo</v>
      </c>
      <c r="H5" t="str">
        <f>IFERROR(__xludf.DUMMYFUNCTION("""COMPUTED_VALUE"""),"Fresno State")</f>
        <v>Fresno State</v>
      </c>
      <c r="I5" t="str">
        <f>IFERROR(__xludf.DUMMYFUNCTION("""COMPUTED_VALUE"""),"Coastal Carolina")</f>
        <v>Coastal Carolina</v>
      </c>
      <c r="J5" t="str">
        <f>IFERROR(__xludf.DUMMYFUNCTION("""COMPUTED_VALUE"""),"Colorado")</f>
        <v>Colorado</v>
      </c>
      <c r="K5" t="str">
        <f>IFERROR(__xludf.DUMMYFUNCTION("""COMPUTED_VALUE"""),"Florida")</f>
        <v>Florida</v>
      </c>
    </row>
    <row r="6">
      <c r="A6" t="str">
        <f>IFERROR(__xludf.DUMMYFUNCTION("""COMPUTED_VALUE"""),"North Texas")</f>
        <v>North Texas</v>
      </c>
      <c r="B6" t="str">
        <f>IFERROR(__xludf.DUMMYFUNCTION("""COMPUTED_VALUE"""),"Georgia Tech")</f>
        <v>Georgia Tech</v>
      </c>
      <c r="C6" t="str">
        <f>IFERROR(__xludf.DUMMYFUNCTION("""COMPUTED_VALUE"""),"Iowa State")</f>
        <v>Iowa State</v>
      </c>
      <c r="D6" t="str">
        <f>IFERROR(__xludf.DUMMYFUNCTION("""COMPUTED_VALUE"""),"Michigan")</f>
        <v>Michigan</v>
      </c>
      <c r="E6" t="str">
        <f>IFERROR(__xludf.DUMMYFUNCTION("""COMPUTED_VALUE"""),"Middle Tennessee")</f>
        <v>Middle Tennessee</v>
      </c>
      <c r="G6" t="str">
        <f>IFERROR(__xludf.DUMMYFUNCTION("""COMPUTED_VALUE"""),"Central Michigan")</f>
        <v>Central Michigan</v>
      </c>
      <c r="H6" t="str">
        <f>IFERROR(__xludf.DUMMYFUNCTION("""COMPUTED_VALUE"""),"Hawaii")</f>
        <v>Hawaii</v>
      </c>
      <c r="I6" t="str">
        <f>IFERROR(__xludf.DUMMYFUNCTION("""COMPUTED_VALUE"""),"Georgia Southern")</f>
        <v>Georgia Southern</v>
      </c>
      <c r="J6" t="str">
        <f>IFERROR(__xludf.DUMMYFUNCTION("""COMPUTED_VALUE"""),"Oregon")</f>
        <v>Oregon</v>
      </c>
      <c r="K6" t="str">
        <f>IFERROR(__xludf.DUMMYFUNCTION("""COMPUTED_VALUE"""),"Georgia")</f>
        <v>Georgia</v>
      </c>
    </row>
    <row r="7">
      <c r="A7" t="str">
        <f>IFERROR(__xludf.DUMMYFUNCTION("""COMPUTED_VALUE"""),"Rice")</f>
        <v>Rice</v>
      </c>
      <c r="B7" t="str">
        <f>IFERROR(__xludf.DUMMYFUNCTION("""COMPUTED_VALUE"""),"Louisville")</f>
        <v>Louisville</v>
      </c>
      <c r="C7" t="str">
        <f>IFERROR(__xludf.DUMMYFUNCTION("""COMPUTED_VALUE"""),"Kansas")</f>
        <v>Kansas</v>
      </c>
      <c r="D7" t="str">
        <f>IFERROR(__xludf.DUMMYFUNCTION("""COMPUTED_VALUE"""),"Michigan State")</f>
        <v>Michigan State</v>
      </c>
      <c r="E7" t="str">
        <f>IFERROR(__xludf.DUMMYFUNCTION("""COMPUTED_VALUE"""),"New Mexico State")</f>
        <v>New Mexico State</v>
      </c>
      <c r="G7" t="str">
        <f>IFERROR(__xludf.DUMMYFUNCTION("""COMPUTED_VALUE"""),"EMU")</f>
        <v>EMU</v>
      </c>
      <c r="H7" t="str">
        <f>IFERROR(__xludf.DUMMYFUNCTION("""COMPUTED_VALUE"""),"Nevada")</f>
        <v>Nevada</v>
      </c>
      <c r="I7" t="str">
        <f>IFERROR(__xludf.DUMMYFUNCTION("""COMPUTED_VALUE"""),"Georgia State")</f>
        <v>Georgia State</v>
      </c>
      <c r="J7" t="str">
        <f>IFERROR(__xludf.DUMMYFUNCTION("""COMPUTED_VALUE"""),"Oregon State")</f>
        <v>Oregon State</v>
      </c>
      <c r="K7" t="str">
        <f>IFERROR(__xludf.DUMMYFUNCTION("""COMPUTED_VALUE"""),"Kentucky")</f>
        <v>Kentucky</v>
      </c>
    </row>
    <row r="8">
      <c r="A8" t="str">
        <f>IFERROR(__xludf.DUMMYFUNCTION("""COMPUTED_VALUE"""),"SMU")</f>
        <v>SMU</v>
      </c>
      <c r="B8" t="str">
        <f>IFERROR(__xludf.DUMMYFUNCTION("""COMPUTED_VALUE"""),"Miami")</f>
        <v>Miami</v>
      </c>
      <c r="C8" t="str">
        <f>IFERROR(__xludf.DUMMYFUNCTION("""COMPUTED_VALUE"""),"Kansas State")</f>
        <v>Kansas State</v>
      </c>
      <c r="D8" t="str">
        <f>IFERROR(__xludf.DUMMYFUNCTION("""COMPUTED_VALUE"""),"Minnesota")</f>
        <v>Minnesota</v>
      </c>
      <c r="E8" t="str">
        <f>IFERROR(__xludf.DUMMYFUNCTION("""COMPUTED_VALUE"""),"Sam Houston")</f>
        <v>Sam Houston</v>
      </c>
      <c r="G8" t="str">
        <f>IFERROR(__xludf.DUMMYFUNCTION("""COMPUTED_VALUE"""),"Kent State")</f>
        <v>Kent State</v>
      </c>
      <c r="H8" t="str">
        <f>IFERROR(__xludf.DUMMYFUNCTION("""COMPUTED_VALUE"""),"New Mexico")</f>
        <v>New Mexico</v>
      </c>
      <c r="I8" t="str">
        <f>IFERROR(__xludf.DUMMYFUNCTION("""COMPUTED_VALUE"""),"James Madison")</f>
        <v>James Madison</v>
      </c>
      <c r="J8" t="str">
        <f>IFERROR(__xludf.DUMMYFUNCTION("""COMPUTED_VALUE"""),"Stanford")</f>
        <v>Stanford</v>
      </c>
      <c r="K8" t="str">
        <f>IFERROR(__xludf.DUMMYFUNCTION("""COMPUTED_VALUE"""),"LSU")</f>
        <v>LSU</v>
      </c>
    </row>
    <row r="9">
      <c r="A9" t="str">
        <f>IFERROR(__xludf.DUMMYFUNCTION("""COMPUTED_VALUE"""),"Temple")</f>
        <v>Temple</v>
      </c>
      <c r="B9" t="str">
        <f>IFERROR(__xludf.DUMMYFUNCTION("""COMPUTED_VALUE"""),"NC State")</f>
        <v>NC State</v>
      </c>
      <c r="C9" t="str">
        <f>IFERROR(__xludf.DUMMYFUNCTION("""COMPUTED_VALUE"""),"Oklahoma")</f>
        <v>Oklahoma</v>
      </c>
      <c r="D9" t="str">
        <f>IFERROR(__xludf.DUMMYFUNCTION("""COMPUTED_VALUE"""),"Nebraska")</f>
        <v>Nebraska</v>
      </c>
      <c r="E9" t="str">
        <f>IFERROR(__xludf.DUMMYFUNCTION("""COMPUTED_VALUE"""),"UTEP")</f>
        <v>UTEP</v>
      </c>
      <c r="G9" t="str">
        <f>IFERROR(__xludf.DUMMYFUNCTION("""COMPUTED_VALUE"""),"Miami-OH")</f>
        <v>Miami-OH</v>
      </c>
      <c r="H9" t="str">
        <f>IFERROR(__xludf.DUMMYFUNCTION("""COMPUTED_VALUE"""),"San Diego State")</f>
        <v>San Diego State</v>
      </c>
      <c r="I9" t="str">
        <f>IFERROR(__xludf.DUMMYFUNCTION("""COMPUTED_VALUE"""),"Marshall")</f>
        <v>Marshall</v>
      </c>
      <c r="J9" t="str">
        <f>IFERROR(__xludf.DUMMYFUNCTION("""COMPUTED_VALUE"""),"UCLA")</f>
        <v>UCLA</v>
      </c>
      <c r="K9" t="str">
        <f>IFERROR(__xludf.DUMMYFUNCTION("""COMPUTED_VALUE"""),"Mississippi State")</f>
        <v>Mississippi State</v>
      </c>
    </row>
    <row r="10">
      <c r="A10" t="str">
        <f>IFERROR(__xludf.DUMMYFUNCTION("""COMPUTED_VALUE"""),"Tulane")</f>
        <v>Tulane</v>
      </c>
      <c r="B10" t="str">
        <f>IFERROR(__xludf.DUMMYFUNCTION("""COMPUTED_VALUE"""),"North Carolina")</f>
        <v>North Carolina</v>
      </c>
      <c r="C10" t="str">
        <f>IFERROR(__xludf.DUMMYFUNCTION("""COMPUTED_VALUE"""),"Oklahoma State")</f>
        <v>Oklahoma State</v>
      </c>
      <c r="D10" t="str">
        <f>IFERROR(__xludf.DUMMYFUNCTION("""COMPUTED_VALUE"""),"Northwestern")</f>
        <v>Northwestern</v>
      </c>
      <c r="E10" t="str">
        <f>IFERROR(__xludf.DUMMYFUNCTION("""COMPUTED_VALUE"""),"Western Kentucky")</f>
        <v>Western Kentucky</v>
      </c>
      <c r="G10" t="str">
        <f>IFERROR(__xludf.DUMMYFUNCTION("""COMPUTED_VALUE"""),"Northern Illinois")</f>
        <v>Northern Illinois</v>
      </c>
      <c r="H10" t="str">
        <f>IFERROR(__xludf.DUMMYFUNCTION("""COMPUTED_VALUE"""),"San José State")</f>
        <v>San José State</v>
      </c>
      <c r="I10" t="str">
        <f>IFERROR(__xludf.DUMMYFUNCTION("""COMPUTED_VALUE"""),"Old Dominion")</f>
        <v>Old Dominion</v>
      </c>
      <c r="J10" t="str">
        <f>IFERROR(__xludf.DUMMYFUNCTION("""COMPUTED_VALUE"""),"USC")</f>
        <v>USC</v>
      </c>
      <c r="K10" t="str">
        <f>IFERROR(__xludf.DUMMYFUNCTION("""COMPUTED_VALUE"""),"Missouri")</f>
        <v>Missouri</v>
      </c>
    </row>
    <row r="11">
      <c r="A11" t="str">
        <f>IFERROR(__xludf.DUMMYFUNCTION("""COMPUTED_VALUE"""),"Tulsa")</f>
        <v>Tulsa</v>
      </c>
      <c r="B11" t="str">
        <f>IFERROR(__xludf.DUMMYFUNCTION("""COMPUTED_VALUE"""),"Pittsburgh")</f>
        <v>Pittsburgh</v>
      </c>
      <c r="C11" t="str">
        <f>IFERROR(__xludf.DUMMYFUNCTION("""COMPUTED_VALUE"""),"TCU")</f>
        <v>TCU</v>
      </c>
      <c r="D11" t="str">
        <f>IFERROR(__xludf.DUMMYFUNCTION("""COMPUTED_VALUE"""),"Ohio State")</f>
        <v>Ohio State</v>
      </c>
      <c r="E11" t="str">
        <f>IFERROR(__xludf.DUMMYFUNCTION("""COMPUTED_VALUE"""),"Army")</f>
        <v>Army</v>
      </c>
      <c r="G11" t="str">
        <f>IFERROR(__xludf.DUMMYFUNCTION("""COMPUTED_VALUE"""),"Ohio")</f>
        <v>Ohio</v>
      </c>
      <c r="H11" t="str">
        <f>IFERROR(__xludf.DUMMYFUNCTION("""COMPUTED_VALUE"""),"UNLV")</f>
        <v>UNLV</v>
      </c>
      <c r="I11" t="str">
        <f>IFERROR(__xludf.DUMMYFUNCTION("""COMPUTED_VALUE"""),"South Alabama")</f>
        <v>South Alabama</v>
      </c>
      <c r="J11" t="str">
        <f>IFERROR(__xludf.DUMMYFUNCTION("""COMPUTED_VALUE"""),"Utah")</f>
        <v>Utah</v>
      </c>
      <c r="K11" t="str">
        <f>IFERROR(__xludf.DUMMYFUNCTION("""COMPUTED_VALUE"""),"Ole Miss")</f>
        <v>Ole Miss</v>
      </c>
    </row>
    <row r="12">
      <c r="A12" t="str">
        <f>IFERROR(__xludf.DUMMYFUNCTION("""COMPUTED_VALUE"""),"UAB")</f>
        <v>UAB</v>
      </c>
      <c r="B12" t="str">
        <f>IFERROR(__xludf.DUMMYFUNCTION("""COMPUTED_VALUE"""),"Syracuse")</f>
        <v>Syracuse</v>
      </c>
      <c r="C12" t="str">
        <f>IFERROR(__xludf.DUMMYFUNCTION("""COMPUTED_VALUE"""),"Texas")</f>
        <v>Texas</v>
      </c>
      <c r="D12" t="str">
        <f>IFERROR(__xludf.DUMMYFUNCTION("""COMPUTED_VALUE"""),"Penn State")</f>
        <v>Penn State</v>
      </c>
      <c r="G12" t="str">
        <f>IFERROR(__xludf.DUMMYFUNCTION("""COMPUTED_VALUE"""),"Toledo")</f>
        <v>Toledo</v>
      </c>
      <c r="H12" t="str">
        <f>IFERROR(__xludf.DUMMYFUNCTION("""COMPUTED_VALUE"""),"Utah State")</f>
        <v>Utah State</v>
      </c>
      <c r="I12" t="str">
        <f>IFERROR(__xludf.DUMMYFUNCTION("""COMPUTED_VALUE"""),"Southern Mississippi")</f>
        <v>Southern Mississippi</v>
      </c>
      <c r="J12" t="str">
        <f>IFERROR(__xludf.DUMMYFUNCTION("""COMPUTED_VALUE"""),"Washington")</f>
        <v>Washington</v>
      </c>
      <c r="K12" t="str">
        <f>IFERROR(__xludf.DUMMYFUNCTION("""COMPUTED_VALUE"""),"South Carolina")</f>
        <v>South Carolina</v>
      </c>
    </row>
    <row r="13">
      <c r="A13" t="str">
        <f>IFERROR(__xludf.DUMMYFUNCTION("""COMPUTED_VALUE"""),"UTSA")</f>
        <v>UTSA</v>
      </c>
      <c r="B13" t="str">
        <f>IFERROR(__xludf.DUMMYFUNCTION("""COMPUTED_VALUE"""),"Virginia")</f>
        <v>Virginia</v>
      </c>
      <c r="C13" t="str">
        <f>IFERROR(__xludf.DUMMYFUNCTION("""COMPUTED_VALUE"""),"Texas Tech")</f>
        <v>Texas Tech</v>
      </c>
      <c r="D13" t="str">
        <f>IFERROR(__xludf.DUMMYFUNCTION("""COMPUTED_VALUE"""),"Purdue")</f>
        <v>Purdue</v>
      </c>
      <c r="G13" t="str">
        <f>IFERROR(__xludf.DUMMYFUNCTION("""COMPUTED_VALUE"""),"Western Michigan")</f>
        <v>Western Michigan</v>
      </c>
      <c r="H13" t="str">
        <f>IFERROR(__xludf.DUMMYFUNCTION("""COMPUTED_VALUE"""),"Wyoming")</f>
        <v>Wyoming</v>
      </c>
      <c r="I13" t="str">
        <f>IFERROR(__xludf.DUMMYFUNCTION("""COMPUTED_VALUE"""),"Texas State")</f>
        <v>Texas State</v>
      </c>
      <c r="J13" t="str">
        <f>IFERROR(__xludf.DUMMYFUNCTION("""COMPUTED_VALUE"""),"Washington State")</f>
        <v>Washington State</v>
      </c>
      <c r="K13" t="str">
        <f>IFERROR(__xludf.DUMMYFUNCTION("""COMPUTED_VALUE"""),"Tennessee")</f>
        <v>Tennessee</v>
      </c>
    </row>
    <row r="14">
      <c r="A14" t="str">
        <f>IFERROR(__xludf.DUMMYFUNCTION("""COMPUTED_VALUE"""),"South Florida")</f>
        <v>South Florida</v>
      </c>
      <c r="B14" t="str">
        <f>IFERROR(__xludf.DUMMYFUNCTION("""COMPUTED_VALUE"""),"Virginia Tech")</f>
        <v>Virginia Tech</v>
      </c>
      <c r="C14" t="str">
        <f>IFERROR(__xludf.DUMMYFUNCTION("""COMPUTED_VALUE"""),"UCF")</f>
        <v>UCF</v>
      </c>
      <c r="D14" t="str">
        <f>IFERROR(__xludf.DUMMYFUNCTION("""COMPUTED_VALUE"""),"Wisconsin")</f>
        <v>Wisconsin</v>
      </c>
      <c r="I14" t="str">
        <f>IFERROR(__xludf.DUMMYFUNCTION("""COMPUTED_VALUE"""),"Troy")</f>
        <v>Troy</v>
      </c>
      <c r="K14" t="str">
        <f>IFERROR(__xludf.DUMMYFUNCTION("""COMPUTED_VALUE"""),"Texas A&amp;M")</f>
        <v>Texas A&amp;M</v>
      </c>
    </row>
    <row r="15">
      <c r="A15" t="str">
        <f>IFERROR(__xludf.DUMMYFUNCTION("""COMPUTED_VALUE"""),"Charlotte")</f>
        <v>Charlotte</v>
      </c>
      <c r="B15" t="str">
        <f>IFERROR(__xludf.DUMMYFUNCTION("""COMPUTED_VALUE"""),"Wake Forest")</f>
        <v>Wake Forest</v>
      </c>
      <c r="C15" t="str">
        <f>IFERROR(__xludf.DUMMYFUNCTION("""COMPUTED_VALUE"""),"West Virginia")</f>
        <v>West Virginia</v>
      </c>
      <c r="D15" t="str">
        <f>IFERROR(__xludf.DUMMYFUNCTION("""COMPUTED_VALUE"""),"Rutgers")</f>
        <v>Rutgers</v>
      </c>
      <c r="I15" t="str">
        <f>IFERROR(__xludf.DUMMYFUNCTION("""COMPUTED_VALUE"""),"UL Lafayette")</f>
        <v>UL Lafayette</v>
      </c>
      <c r="K15" t="str">
        <f>IFERROR(__xludf.DUMMYFUNCTION("""COMPUTED_VALUE"""),"Vanderbilt")</f>
        <v>Vanderbilt</v>
      </c>
    </row>
    <row r="16">
      <c r="B16" t="str">
        <f>IFERROR(__xludf.DUMMYFUNCTION("""COMPUTED_VALUE"""),"Notre Dame")</f>
        <v>Notre Dame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0.0"/>
    <col customWidth="1" min="4" max="8" width="7.13"/>
  </cols>
  <sheetData>
    <row r="1">
      <c r="A1" s="23" t="s">
        <v>42</v>
      </c>
      <c r="B1" s="173">
        <v>10.0</v>
      </c>
      <c r="C1" s="23" t="s">
        <v>42</v>
      </c>
      <c r="D1" s="173">
        <v>11.0</v>
      </c>
      <c r="E1" s="23" t="s">
        <v>42</v>
      </c>
      <c r="F1" s="173">
        <v>12.0</v>
      </c>
      <c r="G1" s="23" t="s">
        <v>42</v>
      </c>
      <c r="H1" s="173">
        <v>13.0</v>
      </c>
    </row>
    <row r="2">
      <c r="A2" s="174" t="s">
        <v>246</v>
      </c>
      <c r="B2" s="175" t="s">
        <v>407</v>
      </c>
      <c r="C2" s="174" t="s">
        <v>246</v>
      </c>
      <c r="D2" s="175" t="s">
        <v>407</v>
      </c>
      <c r="E2" s="174" t="s">
        <v>246</v>
      </c>
      <c r="F2" s="175" t="s">
        <v>407</v>
      </c>
      <c r="G2" s="174" t="s">
        <v>246</v>
      </c>
      <c r="H2" s="175" t="s">
        <v>407</v>
      </c>
    </row>
    <row r="3">
      <c r="A3" s="176" t="s">
        <v>133</v>
      </c>
      <c r="B3" s="177" t="s">
        <v>407</v>
      </c>
      <c r="C3" s="176" t="s">
        <v>133</v>
      </c>
      <c r="D3" s="177" t="s">
        <v>407</v>
      </c>
      <c r="E3" s="176" t="s">
        <v>133</v>
      </c>
      <c r="F3" s="177" t="s">
        <v>407</v>
      </c>
      <c r="G3" s="176" t="s">
        <v>133</v>
      </c>
      <c r="H3" s="177" t="s">
        <v>407</v>
      </c>
    </row>
    <row r="4">
      <c r="A4" s="174" t="s">
        <v>118</v>
      </c>
      <c r="B4" s="175" t="s">
        <v>407</v>
      </c>
      <c r="C4" s="174" t="s">
        <v>118</v>
      </c>
      <c r="D4" s="175" t="s">
        <v>407</v>
      </c>
      <c r="E4" s="174" t="s">
        <v>118</v>
      </c>
      <c r="F4" s="175" t="s">
        <v>407</v>
      </c>
      <c r="G4" s="174" t="s">
        <v>118</v>
      </c>
      <c r="H4" s="175" t="s">
        <v>407</v>
      </c>
    </row>
    <row r="5">
      <c r="A5" s="176" t="s">
        <v>234</v>
      </c>
      <c r="B5" s="175" t="s">
        <v>407</v>
      </c>
      <c r="C5" s="176" t="s">
        <v>234</v>
      </c>
      <c r="D5" s="175" t="s">
        <v>407</v>
      </c>
      <c r="E5" s="176" t="s">
        <v>234</v>
      </c>
      <c r="F5" s="175" t="s">
        <v>407</v>
      </c>
      <c r="G5" s="176" t="s">
        <v>234</v>
      </c>
      <c r="H5" s="175" t="s">
        <v>407</v>
      </c>
    </row>
    <row r="6">
      <c r="A6" s="174" t="s">
        <v>221</v>
      </c>
      <c r="B6" s="177" t="s">
        <v>407</v>
      </c>
      <c r="C6" s="174" t="s">
        <v>221</v>
      </c>
      <c r="D6" s="177" t="s">
        <v>407</v>
      </c>
      <c r="E6" s="174" t="s">
        <v>221</v>
      </c>
      <c r="F6" s="177" t="s">
        <v>407</v>
      </c>
      <c r="G6" s="174" t="s">
        <v>221</v>
      </c>
      <c r="H6" s="177" t="s">
        <v>407</v>
      </c>
    </row>
    <row r="7">
      <c r="A7" s="174" t="s">
        <v>263</v>
      </c>
      <c r="B7" s="177" t="s">
        <v>407</v>
      </c>
      <c r="C7" s="174" t="s">
        <v>263</v>
      </c>
      <c r="D7" s="177" t="s">
        <v>407</v>
      </c>
      <c r="E7" s="174" t="s">
        <v>263</v>
      </c>
      <c r="F7" s="177" t="s">
        <v>407</v>
      </c>
      <c r="G7" s="174" t="s">
        <v>263</v>
      </c>
      <c r="H7" s="177" t="s">
        <v>407</v>
      </c>
    </row>
    <row r="8">
      <c r="A8" s="174" t="s">
        <v>139</v>
      </c>
      <c r="B8" s="175" t="s">
        <v>407</v>
      </c>
      <c r="C8" s="174" t="s">
        <v>139</v>
      </c>
      <c r="D8" s="175" t="s">
        <v>407</v>
      </c>
      <c r="E8" s="174" t="s">
        <v>139</v>
      </c>
      <c r="F8" s="175" t="s">
        <v>407</v>
      </c>
      <c r="G8" s="174" t="s">
        <v>139</v>
      </c>
      <c r="H8" s="175" t="s">
        <v>407</v>
      </c>
    </row>
    <row r="9">
      <c r="A9" s="176" t="s">
        <v>81</v>
      </c>
      <c r="B9" s="175" t="s">
        <v>407</v>
      </c>
      <c r="C9" s="176" t="s">
        <v>81</v>
      </c>
      <c r="D9" s="175" t="s">
        <v>407</v>
      </c>
      <c r="E9" s="176" t="s">
        <v>81</v>
      </c>
      <c r="F9" s="175" t="s">
        <v>407</v>
      </c>
      <c r="G9" s="176" t="s">
        <v>81</v>
      </c>
      <c r="H9" s="175" t="s">
        <v>407</v>
      </c>
    </row>
    <row r="10">
      <c r="A10" s="174" t="s">
        <v>182</v>
      </c>
      <c r="B10" s="175" t="s">
        <v>407</v>
      </c>
      <c r="C10" s="174" t="s">
        <v>182</v>
      </c>
      <c r="D10" s="175" t="s">
        <v>407</v>
      </c>
      <c r="E10" s="174" t="s">
        <v>182</v>
      </c>
      <c r="F10" s="175" t="s">
        <v>407</v>
      </c>
      <c r="G10" s="174" t="s">
        <v>182</v>
      </c>
      <c r="H10" s="175" t="s">
        <v>407</v>
      </c>
    </row>
    <row r="11">
      <c r="A11" s="174" t="s">
        <v>207</v>
      </c>
      <c r="B11" s="175" t="s">
        <v>407</v>
      </c>
      <c r="C11" s="174" t="s">
        <v>207</v>
      </c>
      <c r="D11" s="175" t="s">
        <v>407</v>
      </c>
      <c r="E11" s="174" t="s">
        <v>207</v>
      </c>
      <c r="F11" s="175" t="s">
        <v>407</v>
      </c>
      <c r="G11" s="174" t="s">
        <v>207</v>
      </c>
      <c r="H11" s="175" t="s">
        <v>407</v>
      </c>
    </row>
    <row r="12">
      <c r="A12" s="176" t="s">
        <v>271</v>
      </c>
      <c r="B12" s="177" t="s">
        <v>407</v>
      </c>
      <c r="C12" s="176" t="s">
        <v>271</v>
      </c>
      <c r="D12" s="177" t="s">
        <v>407</v>
      </c>
      <c r="E12" s="176" t="s">
        <v>271</v>
      </c>
      <c r="F12" s="177" t="s">
        <v>407</v>
      </c>
      <c r="G12" s="176" t="s">
        <v>271</v>
      </c>
      <c r="H12" s="177" t="s">
        <v>407</v>
      </c>
    </row>
    <row r="13">
      <c r="A13" s="174" t="s">
        <v>198</v>
      </c>
      <c r="B13" s="177" t="s">
        <v>407</v>
      </c>
      <c r="C13" s="174" t="s">
        <v>198</v>
      </c>
      <c r="D13" s="177" t="s">
        <v>407</v>
      </c>
      <c r="E13" s="174" t="s">
        <v>198</v>
      </c>
      <c r="F13" s="177" t="s">
        <v>407</v>
      </c>
      <c r="G13" s="174" t="s">
        <v>198</v>
      </c>
      <c r="H13" s="177" t="s">
        <v>407</v>
      </c>
    </row>
    <row r="14">
      <c r="A14" s="174" t="s">
        <v>253</v>
      </c>
      <c r="B14" s="175" t="s">
        <v>407</v>
      </c>
      <c r="C14" s="174" t="s">
        <v>253</v>
      </c>
      <c r="D14" s="175" t="s">
        <v>407</v>
      </c>
      <c r="E14" s="174" t="s">
        <v>253</v>
      </c>
      <c r="F14" s="175" t="s">
        <v>407</v>
      </c>
      <c r="G14" s="174" t="s">
        <v>253</v>
      </c>
      <c r="H14" s="175" t="s">
        <v>407</v>
      </c>
    </row>
    <row r="15">
      <c r="A15" s="174" t="s">
        <v>248</v>
      </c>
      <c r="B15" s="178" t="s">
        <v>301</v>
      </c>
      <c r="C15" s="174" t="s">
        <v>248</v>
      </c>
      <c r="D15" s="178" t="s">
        <v>301</v>
      </c>
      <c r="E15" s="174" t="s">
        <v>248</v>
      </c>
      <c r="F15" s="178" t="s">
        <v>301</v>
      </c>
      <c r="G15" s="174" t="s">
        <v>248</v>
      </c>
      <c r="H15" s="178" t="s">
        <v>301</v>
      </c>
    </row>
    <row r="16">
      <c r="A16" s="174" t="s">
        <v>191</v>
      </c>
      <c r="B16" s="178" t="s">
        <v>301</v>
      </c>
      <c r="C16" s="174" t="s">
        <v>191</v>
      </c>
      <c r="D16" s="178" t="s">
        <v>301</v>
      </c>
      <c r="E16" s="174" t="s">
        <v>191</v>
      </c>
      <c r="F16" s="178" t="s">
        <v>301</v>
      </c>
      <c r="G16" s="174" t="s">
        <v>191</v>
      </c>
      <c r="H16" s="178" t="s">
        <v>301</v>
      </c>
    </row>
    <row r="17">
      <c r="A17" s="174" t="s">
        <v>187</v>
      </c>
      <c r="B17" s="178" t="s">
        <v>301</v>
      </c>
      <c r="C17" s="174" t="s">
        <v>187</v>
      </c>
      <c r="D17" s="178" t="s">
        <v>301</v>
      </c>
      <c r="E17" s="174" t="s">
        <v>187</v>
      </c>
      <c r="F17" s="178" t="s">
        <v>301</v>
      </c>
      <c r="G17" s="174" t="s">
        <v>187</v>
      </c>
      <c r="H17" s="178" t="s">
        <v>301</v>
      </c>
    </row>
    <row r="18">
      <c r="A18" s="176" t="s">
        <v>224</v>
      </c>
      <c r="B18" s="178" t="s">
        <v>301</v>
      </c>
      <c r="C18" s="176" t="s">
        <v>224</v>
      </c>
      <c r="D18" s="178" t="s">
        <v>301</v>
      </c>
      <c r="E18" s="176" t="s">
        <v>224</v>
      </c>
      <c r="F18" s="178" t="s">
        <v>301</v>
      </c>
      <c r="G18" s="176" t="s">
        <v>224</v>
      </c>
      <c r="H18" s="178" t="s">
        <v>301</v>
      </c>
    </row>
    <row r="19">
      <c r="A19" s="174" t="s">
        <v>229</v>
      </c>
      <c r="B19" s="178" t="s">
        <v>301</v>
      </c>
      <c r="C19" s="174" t="s">
        <v>229</v>
      </c>
      <c r="D19" s="178" t="s">
        <v>301</v>
      </c>
      <c r="E19" s="174" t="s">
        <v>229</v>
      </c>
      <c r="F19" s="178" t="s">
        <v>301</v>
      </c>
      <c r="G19" s="174" t="s">
        <v>229</v>
      </c>
      <c r="H19" s="178" t="s">
        <v>301</v>
      </c>
    </row>
    <row r="20">
      <c r="A20" s="174" t="s">
        <v>164</v>
      </c>
      <c r="B20" s="178" t="s">
        <v>301</v>
      </c>
      <c r="C20" s="174" t="s">
        <v>164</v>
      </c>
      <c r="D20" s="178" t="s">
        <v>301</v>
      </c>
      <c r="E20" s="174" t="s">
        <v>164</v>
      </c>
      <c r="F20" s="178" t="s">
        <v>301</v>
      </c>
      <c r="G20" s="174" t="s">
        <v>164</v>
      </c>
      <c r="H20" s="178" t="s">
        <v>301</v>
      </c>
    </row>
    <row r="21">
      <c r="A21" s="174" t="s">
        <v>79</v>
      </c>
      <c r="B21" s="178" t="s">
        <v>301</v>
      </c>
      <c r="C21" s="174" t="s">
        <v>79</v>
      </c>
      <c r="D21" s="178" t="s">
        <v>301</v>
      </c>
      <c r="E21" s="174" t="s">
        <v>79</v>
      </c>
      <c r="F21" s="178" t="s">
        <v>301</v>
      </c>
      <c r="G21" s="174" t="s">
        <v>79</v>
      </c>
      <c r="H21" s="178" t="s">
        <v>301</v>
      </c>
    </row>
    <row r="22">
      <c r="A22" s="176" t="s">
        <v>268</v>
      </c>
      <c r="B22" s="178" t="s">
        <v>301</v>
      </c>
      <c r="C22" s="176" t="s">
        <v>268</v>
      </c>
      <c r="D22" s="178" t="s">
        <v>301</v>
      </c>
      <c r="E22" s="176" t="s">
        <v>268</v>
      </c>
      <c r="F22" s="178" t="s">
        <v>301</v>
      </c>
      <c r="G22" s="176" t="s">
        <v>268</v>
      </c>
      <c r="H22" s="178" t="s">
        <v>301</v>
      </c>
    </row>
    <row r="23">
      <c r="A23" s="174" t="s">
        <v>216</v>
      </c>
      <c r="B23" s="178" t="s">
        <v>301</v>
      </c>
      <c r="C23" s="174" t="s">
        <v>216</v>
      </c>
      <c r="D23" s="178" t="s">
        <v>301</v>
      </c>
      <c r="E23" s="174" t="s">
        <v>216</v>
      </c>
      <c r="F23" s="178" t="s">
        <v>301</v>
      </c>
      <c r="G23" s="174" t="s">
        <v>216</v>
      </c>
      <c r="H23" s="178" t="s">
        <v>301</v>
      </c>
    </row>
    <row r="24">
      <c r="A24" s="174" t="s">
        <v>256</v>
      </c>
      <c r="B24" s="178" t="s">
        <v>301</v>
      </c>
      <c r="C24" s="174" t="s">
        <v>256</v>
      </c>
      <c r="D24" s="178" t="s">
        <v>301</v>
      </c>
      <c r="E24" s="174" t="s">
        <v>256</v>
      </c>
      <c r="F24" s="178" t="s">
        <v>301</v>
      </c>
      <c r="G24" s="174" t="s">
        <v>256</v>
      </c>
      <c r="H24" s="178" t="s">
        <v>301</v>
      </c>
    </row>
    <row r="25">
      <c r="A25" s="174" t="s">
        <v>130</v>
      </c>
      <c r="B25" s="178" t="s">
        <v>301</v>
      </c>
      <c r="C25" s="174" t="s">
        <v>130</v>
      </c>
      <c r="D25" s="178" t="s">
        <v>301</v>
      </c>
      <c r="E25" s="174" t="s">
        <v>130</v>
      </c>
      <c r="F25" s="178" t="s">
        <v>301</v>
      </c>
      <c r="G25" s="174" t="s">
        <v>130</v>
      </c>
      <c r="H25" s="178" t="s">
        <v>301</v>
      </c>
    </row>
    <row r="26">
      <c r="A26" s="174" t="s">
        <v>275</v>
      </c>
      <c r="B26" s="178" t="s">
        <v>301</v>
      </c>
      <c r="C26" s="174" t="s">
        <v>275</v>
      </c>
      <c r="D26" s="178" t="s">
        <v>301</v>
      </c>
      <c r="E26" s="174" t="s">
        <v>275</v>
      </c>
      <c r="F26" s="178" t="s">
        <v>301</v>
      </c>
      <c r="G26" s="174" t="s">
        <v>275</v>
      </c>
      <c r="H26" s="178" t="s">
        <v>301</v>
      </c>
    </row>
    <row r="27">
      <c r="A27" s="174" t="s">
        <v>113</v>
      </c>
      <c r="B27" s="178" t="s">
        <v>301</v>
      </c>
      <c r="C27" s="174" t="s">
        <v>113</v>
      </c>
      <c r="D27" s="178" t="s">
        <v>301</v>
      </c>
      <c r="E27" s="174" t="s">
        <v>113</v>
      </c>
      <c r="F27" s="178" t="s">
        <v>301</v>
      </c>
      <c r="G27" s="174" t="s">
        <v>113</v>
      </c>
      <c r="H27" s="178" t="s">
        <v>301</v>
      </c>
    </row>
    <row r="28">
      <c r="A28" s="174" t="s">
        <v>208</v>
      </c>
      <c r="B28" s="178" t="s">
        <v>301</v>
      </c>
      <c r="C28" s="174" t="s">
        <v>208</v>
      </c>
      <c r="D28" s="178" t="s">
        <v>301</v>
      </c>
      <c r="E28" s="174" t="s">
        <v>208</v>
      </c>
      <c r="F28" s="178" t="s">
        <v>301</v>
      </c>
      <c r="G28" s="174" t="s">
        <v>208</v>
      </c>
      <c r="H28" s="178" t="s">
        <v>301</v>
      </c>
    </row>
    <row r="29">
      <c r="A29" s="174" t="s">
        <v>242</v>
      </c>
      <c r="B29" s="175" t="s">
        <v>296</v>
      </c>
      <c r="C29" s="174" t="s">
        <v>242</v>
      </c>
      <c r="D29" s="175" t="s">
        <v>296</v>
      </c>
      <c r="E29" s="174" t="s">
        <v>242</v>
      </c>
      <c r="F29" s="175" t="s">
        <v>296</v>
      </c>
      <c r="G29" s="174" t="s">
        <v>242</v>
      </c>
      <c r="H29" s="175" t="s">
        <v>296</v>
      </c>
    </row>
    <row r="30">
      <c r="A30" s="174" t="s">
        <v>230</v>
      </c>
      <c r="B30" s="178" t="s">
        <v>296</v>
      </c>
      <c r="C30" s="174" t="s">
        <v>230</v>
      </c>
      <c r="D30" s="178" t="s">
        <v>296</v>
      </c>
      <c r="E30" s="174" t="s">
        <v>230</v>
      </c>
      <c r="F30" s="178" t="s">
        <v>296</v>
      </c>
      <c r="G30" s="174" t="s">
        <v>230</v>
      </c>
      <c r="H30" s="178" t="s">
        <v>296</v>
      </c>
    </row>
    <row r="31">
      <c r="A31" s="23" t="s">
        <v>119</v>
      </c>
      <c r="B31" s="178" t="s">
        <v>296</v>
      </c>
      <c r="C31" s="23" t="s">
        <v>119</v>
      </c>
      <c r="D31" s="178" t="s">
        <v>296</v>
      </c>
      <c r="E31" s="23" t="s">
        <v>119</v>
      </c>
      <c r="F31" s="178" t="s">
        <v>296</v>
      </c>
      <c r="G31" s="23" t="s">
        <v>119</v>
      </c>
      <c r="H31" s="178" t="s">
        <v>296</v>
      </c>
    </row>
    <row r="32">
      <c r="A32" s="174" t="s">
        <v>210</v>
      </c>
      <c r="B32" s="175" t="s">
        <v>296</v>
      </c>
      <c r="C32" s="174" t="s">
        <v>210</v>
      </c>
      <c r="D32" s="175" t="s">
        <v>296</v>
      </c>
      <c r="E32" s="174" t="s">
        <v>210</v>
      </c>
      <c r="F32" s="175" t="s">
        <v>296</v>
      </c>
      <c r="G32" s="174" t="s">
        <v>210</v>
      </c>
      <c r="H32" s="175" t="s">
        <v>296</v>
      </c>
    </row>
    <row r="33">
      <c r="A33" s="176" t="s">
        <v>124</v>
      </c>
      <c r="B33" s="178" t="s">
        <v>296</v>
      </c>
      <c r="C33" s="176" t="s">
        <v>124</v>
      </c>
      <c r="D33" s="178" t="s">
        <v>296</v>
      </c>
      <c r="E33" s="176" t="s">
        <v>124</v>
      </c>
      <c r="F33" s="178" t="s">
        <v>296</v>
      </c>
      <c r="G33" s="176" t="s">
        <v>124</v>
      </c>
      <c r="H33" s="178" t="s">
        <v>296</v>
      </c>
    </row>
    <row r="34">
      <c r="A34" s="174" t="s">
        <v>192</v>
      </c>
      <c r="B34" s="178" t="s">
        <v>296</v>
      </c>
      <c r="C34" s="174" t="s">
        <v>192</v>
      </c>
      <c r="D34" s="178" t="s">
        <v>296</v>
      </c>
      <c r="E34" s="174" t="s">
        <v>192</v>
      </c>
      <c r="F34" s="178" t="s">
        <v>296</v>
      </c>
      <c r="G34" s="174" t="s">
        <v>192</v>
      </c>
      <c r="H34" s="178" t="s">
        <v>296</v>
      </c>
    </row>
    <row r="35">
      <c r="A35" s="176" t="s">
        <v>74</v>
      </c>
      <c r="B35" s="178" t="s">
        <v>296</v>
      </c>
      <c r="C35" s="176" t="s">
        <v>74</v>
      </c>
      <c r="D35" s="178" t="s">
        <v>296</v>
      </c>
      <c r="E35" s="176" t="s">
        <v>74</v>
      </c>
      <c r="F35" s="178" t="s">
        <v>296</v>
      </c>
      <c r="G35" s="176" t="s">
        <v>74</v>
      </c>
      <c r="H35" s="178" t="s">
        <v>296</v>
      </c>
    </row>
    <row r="36">
      <c r="A36" s="174" t="s">
        <v>179</v>
      </c>
      <c r="B36" s="178" t="s">
        <v>296</v>
      </c>
      <c r="C36" s="174" t="s">
        <v>179</v>
      </c>
      <c r="D36" s="178" t="s">
        <v>296</v>
      </c>
      <c r="E36" s="174" t="s">
        <v>179</v>
      </c>
      <c r="F36" s="178" t="s">
        <v>296</v>
      </c>
      <c r="G36" s="174" t="s">
        <v>179</v>
      </c>
      <c r="H36" s="178" t="s">
        <v>296</v>
      </c>
    </row>
    <row r="37">
      <c r="A37" s="176" t="s">
        <v>267</v>
      </c>
      <c r="B37" s="178" t="s">
        <v>296</v>
      </c>
      <c r="C37" s="176" t="s">
        <v>267</v>
      </c>
      <c r="D37" s="178" t="s">
        <v>296</v>
      </c>
      <c r="E37" s="176" t="s">
        <v>267</v>
      </c>
      <c r="F37" s="178" t="s">
        <v>296</v>
      </c>
      <c r="G37" s="176" t="s">
        <v>267</v>
      </c>
      <c r="H37" s="178" t="s">
        <v>296</v>
      </c>
    </row>
    <row r="38">
      <c r="A38" s="174" t="s">
        <v>223</v>
      </c>
      <c r="B38" s="178" t="s">
        <v>296</v>
      </c>
      <c r="C38" s="174" t="s">
        <v>223</v>
      </c>
      <c r="D38" s="178" t="s">
        <v>296</v>
      </c>
      <c r="E38" s="174" t="s">
        <v>223</v>
      </c>
      <c r="F38" s="178" t="s">
        <v>296</v>
      </c>
      <c r="G38" s="174" t="s">
        <v>223</v>
      </c>
      <c r="H38" s="178" t="s">
        <v>296</v>
      </c>
    </row>
    <row r="39">
      <c r="A39" s="174" t="s">
        <v>239</v>
      </c>
      <c r="B39" s="178" t="s">
        <v>296</v>
      </c>
      <c r="C39" s="174" t="s">
        <v>239</v>
      </c>
      <c r="D39" s="178" t="s">
        <v>296</v>
      </c>
      <c r="E39" s="174" t="s">
        <v>239</v>
      </c>
      <c r="F39" s="178" t="s">
        <v>296</v>
      </c>
      <c r="G39" s="174" t="s">
        <v>239</v>
      </c>
      <c r="H39" s="178" t="s">
        <v>296</v>
      </c>
    </row>
    <row r="40">
      <c r="A40" s="174" t="s">
        <v>188</v>
      </c>
      <c r="B40" s="178" t="s">
        <v>296</v>
      </c>
      <c r="C40" s="174" t="s">
        <v>188</v>
      </c>
      <c r="D40" s="178" t="s">
        <v>296</v>
      </c>
      <c r="E40" s="174" t="s">
        <v>188</v>
      </c>
      <c r="F40" s="178" t="s">
        <v>296</v>
      </c>
      <c r="G40" s="174" t="s">
        <v>188</v>
      </c>
      <c r="H40" s="178" t="s">
        <v>296</v>
      </c>
    </row>
    <row r="41">
      <c r="A41" s="174" t="s">
        <v>257</v>
      </c>
      <c r="B41" s="175" t="s">
        <v>296</v>
      </c>
      <c r="C41" s="174" t="s">
        <v>257</v>
      </c>
      <c r="D41" s="175" t="s">
        <v>296</v>
      </c>
      <c r="E41" s="174" t="s">
        <v>257</v>
      </c>
      <c r="F41" s="175" t="s">
        <v>296</v>
      </c>
      <c r="G41" s="174" t="s">
        <v>257</v>
      </c>
      <c r="H41" s="175" t="s">
        <v>296</v>
      </c>
    </row>
    <row r="42">
      <c r="A42" s="174" t="s">
        <v>276</v>
      </c>
      <c r="B42" s="178" t="s">
        <v>296</v>
      </c>
      <c r="C42" s="174" t="s">
        <v>276</v>
      </c>
      <c r="D42" s="178" t="s">
        <v>296</v>
      </c>
      <c r="E42" s="174" t="s">
        <v>276</v>
      </c>
      <c r="F42" s="178" t="s">
        <v>296</v>
      </c>
      <c r="G42" s="174" t="s">
        <v>276</v>
      </c>
      <c r="H42" s="178" t="s">
        <v>296</v>
      </c>
    </row>
    <row r="43">
      <c r="A43" s="174" t="s">
        <v>186</v>
      </c>
      <c r="B43" s="178" t="s">
        <v>282</v>
      </c>
      <c r="C43" s="174" t="s">
        <v>186</v>
      </c>
      <c r="D43" s="178" t="s">
        <v>282</v>
      </c>
      <c r="E43" s="174" t="s">
        <v>186</v>
      </c>
      <c r="F43" s="178" t="s">
        <v>282</v>
      </c>
      <c r="G43" s="174" t="s">
        <v>186</v>
      </c>
      <c r="H43" s="178" t="s">
        <v>282</v>
      </c>
    </row>
    <row r="44">
      <c r="A44" s="174" t="s">
        <v>195</v>
      </c>
      <c r="B44" s="178" t="s">
        <v>282</v>
      </c>
      <c r="C44" s="174" t="s">
        <v>195</v>
      </c>
      <c r="D44" s="178" t="s">
        <v>282</v>
      </c>
      <c r="E44" s="174" t="s">
        <v>195</v>
      </c>
      <c r="F44" s="178" t="s">
        <v>282</v>
      </c>
      <c r="G44" s="174" t="s">
        <v>195</v>
      </c>
      <c r="H44" s="178" t="s">
        <v>282</v>
      </c>
    </row>
    <row r="45">
      <c r="A45" s="174" t="s">
        <v>266</v>
      </c>
      <c r="B45" s="178" t="s">
        <v>282</v>
      </c>
      <c r="C45" s="174" t="s">
        <v>266</v>
      </c>
      <c r="D45" s="178" t="s">
        <v>282</v>
      </c>
      <c r="E45" s="174" t="s">
        <v>266</v>
      </c>
      <c r="F45" s="178" t="s">
        <v>282</v>
      </c>
      <c r="G45" s="174" t="s">
        <v>266</v>
      </c>
      <c r="H45" s="178" t="s">
        <v>282</v>
      </c>
    </row>
    <row r="46">
      <c r="A46" s="174" t="s">
        <v>244</v>
      </c>
      <c r="B46" s="178" t="s">
        <v>282</v>
      </c>
      <c r="C46" s="174" t="s">
        <v>244</v>
      </c>
      <c r="D46" s="178" t="s">
        <v>282</v>
      </c>
      <c r="E46" s="174" t="s">
        <v>244</v>
      </c>
      <c r="F46" s="178" t="s">
        <v>282</v>
      </c>
      <c r="G46" s="174" t="s">
        <v>244</v>
      </c>
      <c r="H46" s="178" t="s">
        <v>282</v>
      </c>
    </row>
    <row r="47">
      <c r="A47" s="174" t="s">
        <v>209</v>
      </c>
      <c r="B47" s="178" t="s">
        <v>282</v>
      </c>
      <c r="C47" s="174" t="s">
        <v>209</v>
      </c>
      <c r="D47" s="178" t="s">
        <v>282</v>
      </c>
      <c r="E47" s="174" t="s">
        <v>209</v>
      </c>
      <c r="F47" s="178" t="s">
        <v>282</v>
      </c>
      <c r="G47" s="174" t="s">
        <v>209</v>
      </c>
      <c r="H47" s="178" t="s">
        <v>282</v>
      </c>
    </row>
    <row r="48">
      <c r="A48" s="176" t="s">
        <v>178</v>
      </c>
      <c r="B48" s="178" t="s">
        <v>282</v>
      </c>
      <c r="C48" s="176" t="s">
        <v>178</v>
      </c>
      <c r="D48" s="178" t="s">
        <v>282</v>
      </c>
      <c r="E48" s="176" t="s">
        <v>178</v>
      </c>
      <c r="F48" s="178" t="s">
        <v>282</v>
      </c>
      <c r="G48" s="176" t="s">
        <v>178</v>
      </c>
      <c r="H48" s="178" t="s">
        <v>282</v>
      </c>
    </row>
    <row r="49">
      <c r="A49" s="174" t="s">
        <v>116</v>
      </c>
      <c r="B49" s="178" t="s">
        <v>282</v>
      </c>
      <c r="C49" s="174" t="s">
        <v>116</v>
      </c>
      <c r="D49" s="178" t="s">
        <v>282</v>
      </c>
      <c r="E49" s="174" t="s">
        <v>116</v>
      </c>
      <c r="F49" s="178" t="s">
        <v>282</v>
      </c>
      <c r="G49" s="174" t="s">
        <v>116</v>
      </c>
      <c r="H49" s="178" t="s">
        <v>282</v>
      </c>
    </row>
    <row r="50">
      <c r="A50" s="174" t="s">
        <v>80</v>
      </c>
      <c r="B50" s="178" t="s">
        <v>282</v>
      </c>
      <c r="C50" s="174" t="s">
        <v>80</v>
      </c>
      <c r="D50" s="178" t="s">
        <v>282</v>
      </c>
      <c r="E50" s="174" t="s">
        <v>80</v>
      </c>
      <c r="F50" s="178" t="s">
        <v>282</v>
      </c>
      <c r="G50" s="174" t="s">
        <v>80</v>
      </c>
      <c r="H50" s="178" t="s">
        <v>282</v>
      </c>
    </row>
    <row r="51">
      <c r="A51" s="174" t="s">
        <v>261</v>
      </c>
      <c r="B51" s="178" t="s">
        <v>282</v>
      </c>
      <c r="C51" s="174" t="s">
        <v>261</v>
      </c>
      <c r="D51" s="178" t="s">
        <v>282</v>
      </c>
      <c r="E51" s="174" t="s">
        <v>261</v>
      </c>
      <c r="F51" s="178" t="s">
        <v>282</v>
      </c>
      <c r="G51" s="174" t="s">
        <v>261</v>
      </c>
      <c r="H51" s="178" t="s">
        <v>282</v>
      </c>
    </row>
    <row r="52">
      <c r="A52" s="176" t="s">
        <v>200</v>
      </c>
      <c r="B52" s="178" t="s">
        <v>282</v>
      </c>
      <c r="C52" s="176" t="s">
        <v>200</v>
      </c>
      <c r="D52" s="178" t="s">
        <v>282</v>
      </c>
      <c r="E52" s="176" t="s">
        <v>200</v>
      </c>
      <c r="F52" s="178" t="s">
        <v>282</v>
      </c>
      <c r="G52" s="176" t="s">
        <v>200</v>
      </c>
      <c r="H52" s="178" t="s">
        <v>282</v>
      </c>
    </row>
    <row r="53">
      <c r="A53" s="176" t="s">
        <v>135</v>
      </c>
      <c r="B53" s="178" t="s">
        <v>282</v>
      </c>
      <c r="C53" s="176" t="s">
        <v>135</v>
      </c>
      <c r="D53" s="178" t="s">
        <v>282</v>
      </c>
      <c r="E53" s="176" t="s">
        <v>135</v>
      </c>
      <c r="F53" s="178" t="s">
        <v>282</v>
      </c>
      <c r="G53" s="176" t="s">
        <v>135</v>
      </c>
      <c r="H53" s="178" t="s">
        <v>282</v>
      </c>
    </row>
    <row r="54">
      <c r="A54" s="174" t="s">
        <v>222</v>
      </c>
      <c r="B54" s="178" t="s">
        <v>282</v>
      </c>
      <c r="C54" s="174" t="s">
        <v>222</v>
      </c>
      <c r="D54" s="178" t="s">
        <v>282</v>
      </c>
      <c r="E54" s="174" t="s">
        <v>222</v>
      </c>
      <c r="F54" s="178" t="s">
        <v>282</v>
      </c>
      <c r="G54" s="174" t="s">
        <v>222</v>
      </c>
      <c r="H54" s="178" t="s">
        <v>282</v>
      </c>
    </row>
    <row r="55">
      <c r="A55" s="174" t="s">
        <v>255</v>
      </c>
      <c r="B55" s="178" t="s">
        <v>282</v>
      </c>
      <c r="C55" s="174" t="s">
        <v>255</v>
      </c>
      <c r="D55" s="178" t="s">
        <v>282</v>
      </c>
      <c r="E55" s="174" t="s">
        <v>255</v>
      </c>
      <c r="F55" s="178" t="s">
        <v>282</v>
      </c>
      <c r="G55" s="174" t="s">
        <v>255</v>
      </c>
      <c r="H55" s="178" t="s">
        <v>282</v>
      </c>
    </row>
    <row r="56">
      <c r="A56" s="174" t="s">
        <v>185</v>
      </c>
      <c r="B56" s="178" t="s">
        <v>282</v>
      </c>
      <c r="C56" s="174" t="s">
        <v>185</v>
      </c>
      <c r="D56" s="178" t="s">
        <v>282</v>
      </c>
      <c r="E56" s="174" t="s">
        <v>185</v>
      </c>
      <c r="F56" s="178" t="s">
        <v>282</v>
      </c>
      <c r="G56" s="174" t="s">
        <v>185</v>
      </c>
      <c r="H56" s="177" t="s">
        <v>351</v>
      </c>
    </row>
    <row r="57">
      <c r="A57" s="176" t="s">
        <v>220</v>
      </c>
      <c r="B57" s="177" t="s">
        <v>351</v>
      </c>
      <c r="C57" s="176" t="s">
        <v>220</v>
      </c>
      <c r="D57" s="177" t="s">
        <v>351</v>
      </c>
      <c r="E57" s="176" t="s">
        <v>220</v>
      </c>
      <c r="F57" s="177" t="s">
        <v>351</v>
      </c>
      <c r="G57" s="176" t="s">
        <v>220</v>
      </c>
      <c r="H57" s="177" t="s">
        <v>351</v>
      </c>
    </row>
    <row r="58">
      <c r="A58" s="176" t="s">
        <v>260</v>
      </c>
      <c r="B58" s="177" t="s">
        <v>351</v>
      </c>
      <c r="C58" s="176" t="s">
        <v>260</v>
      </c>
      <c r="D58" s="177" t="s">
        <v>351</v>
      </c>
      <c r="E58" s="176" t="s">
        <v>260</v>
      </c>
      <c r="F58" s="177" t="s">
        <v>351</v>
      </c>
      <c r="G58" s="176" t="s">
        <v>260</v>
      </c>
      <c r="H58" s="177" t="s">
        <v>351</v>
      </c>
    </row>
    <row r="59">
      <c r="A59" s="176" t="s">
        <v>102</v>
      </c>
      <c r="B59" s="177" t="s">
        <v>351</v>
      </c>
      <c r="C59" s="176" t="s">
        <v>102</v>
      </c>
      <c r="D59" s="177" t="s">
        <v>351</v>
      </c>
      <c r="E59" s="176" t="s">
        <v>102</v>
      </c>
      <c r="F59" s="177" t="s">
        <v>351</v>
      </c>
      <c r="G59" s="176" t="s">
        <v>102</v>
      </c>
      <c r="H59" s="177" t="s">
        <v>351</v>
      </c>
    </row>
    <row r="60">
      <c r="A60" s="174" t="s">
        <v>250</v>
      </c>
      <c r="B60" s="177" t="s">
        <v>351</v>
      </c>
      <c r="C60" s="174" t="s">
        <v>250</v>
      </c>
      <c r="D60" s="177" t="s">
        <v>351</v>
      </c>
      <c r="E60" s="174" t="s">
        <v>250</v>
      </c>
      <c r="F60" s="177" t="s">
        <v>351</v>
      </c>
      <c r="G60" s="174" t="s">
        <v>250</v>
      </c>
      <c r="H60" s="177" t="s">
        <v>351</v>
      </c>
    </row>
    <row r="61">
      <c r="A61" s="174" t="s">
        <v>228</v>
      </c>
      <c r="B61" s="177" t="s">
        <v>351</v>
      </c>
      <c r="C61" s="174" t="s">
        <v>228</v>
      </c>
      <c r="D61" s="177" t="s">
        <v>351</v>
      </c>
      <c r="E61" s="174" t="s">
        <v>228</v>
      </c>
      <c r="F61" s="177" t="s">
        <v>351</v>
      </c>
      <c r="G61" s="174" t="s">
        <v>228</v>
      </c>
      <c r="H61" s="177" t="s">
        <v>351</v>
      </c>
    </row>
    <row r="62">
      <c r="A62" s="176" t="s">
        <v>201</v>
      </c>
      <c r="B62" s="177" t="s">
        <v>351</v>
      </c>
      <c r="C62" s="176" t="s">
        <v>201</v>
      </c>
      <c r="D62" s="177" t="s">
        <v>351</v>
      </c>
      <c r="E62" s="176" t="s">
        <v>201</v>
      </c>
      <c r="F62" s="177" t="s">
        <v>351</v>
      </c>
      <c r="G62" s="176" t="s">
        <v>201</v>
      </c>
      <c r="H62" s="177" t="s">
        <v>351</v>
      </c>
    </row>
    <row r="63">
      <c r="A63" s="176" t="s">
        <v>78</v>
      </c>
      <c r="B63" s="177" t="s">
        <v>351</v>
      </c>
      <c r="C63" s="176" t="s">
        <v>78</v>
      </c>
      <c r="D63" s="177" t="s">
        <v>351</v>
      </c>
      <c r="E63" s="176" t="s">
        <v>78</v>
      </c>
      <c r="F63" s="177" t="s">
        <v>351</v>
      </c>
      <c r="G63" s="176" t="s">
        <v>78</v>
      </c>
      <c r="H63" s="177" t="s">
        <v>351</v>
      </c>
    </row>
    <row r="64">
      <c r="A64" s="174" t="s">
        <v>194</v>
      </c>
      <c r="B64" s="177" t="s">
        <v>351</v>
      </c>
      <c r="C64" s="174" t="s">
        <v>194</v>
      </c>
      <c r="D64" s="177" t="s">
        <v>351</v>
      </c>
      <c r="E64" s="174" t="s">
        <v>194</v>
      </c>
      <c r="F64" s="177" t="s">
        <v>351</v>
      </c>
      <c r="G64" s="174" t="s">
        <v>194</v>
      </c>
      <c r="H64" s="177" t="s">
        <v>351</v>
      </c>
    </row>
    <row r="65">
      <c r="A65" s="176" t="s">
        <v>215</v>
      </c>
      <c r="B65" s="177" t="s">
        <v>351</v>
      </c>
      <c r="C65" s="176" t="s">
        <v>215</v>
      </c>
      <c r="D65" s="177" t="s">
        <v>351</v>
      </c>
      <c r="E65" s="176" t="s">
        <v>215</v>
      </c>
      <c r="F65" s="177" t="s">
        <v>351</v>
      </c>
      <c r="G65" s="176" t="s">
        <v>215</v>
      </c>
      <c r="H65" s="177" t="s">
        <v>351</v>
      </c>
    </row>
    <row r="66">
      <c r="A66" s="23" t="s">
        <v>123</v>
      </c>
      <c r="B66" s="177" t="s">
        <v>351</v>
      </c>
      <c r="C66" s="23" t="s">
        <v>123</v>
      </c>
      <c r="D66" s="177" t="s">
        <v>351</v>
      </c>
      <c r="E66" s="23" t="s">
        <v>123</v>
      </c>
      <c r="F66" s="177" t="s">
        <v>351</v>
      </c>
      <c r="G66" s="23" t="s">
        <v>123</v>
      </c>
      <c r="H66" s="177" t="s">
        <v>351</v>
      </c>
    </row>
    <row r="67">
      <c r="A67" s="179" t="s">
        <v>236</v>
      </c>
      <c r="B67" s="177" t="s">
        <v>393</v>
      </c>
      <c r="C67" s="179" t="s">
        <v>236</v>
      </c>
      <c r="D67" s="177" t="s">
        <v>351</v>
      </c>
      <c r="E67" s="179" t="s">
        <v>236</v>
      </c>
      <c r="F67" s="177" t="s">
        <v>351</v>
      </c>
      <c r="G67" s="179" t="s">
        <v>236</v>
      </c>
      <c r="H67" s="177" t="s">
        <v>351</v>
      </c>
    </row>
    <row r="68">
      <c r="A68" s="23" t="s">
        <v>176</v>
      </c>
      <c r="B68" s="177" t="s">
        <v>393</v>
      </c>
      <c r="C68" s="23" t="s">
        <v>176</v>
      </c>
      <c r="D68" s="177" t="s">
        <v>393</v>
      </c>
      <c r="E68" s="23" t="s">
        <v>176</v>
      </c>
      <c r="F68" s="177" t="s">
        <v>351</v>
      </c>
      <c r="G68" s="23" t="s">
        <v>176</v>
      </c>
      <c r="H68" s="177" t="s">
        <v>351</v>
      </c>
    </row>
    <row r="69">
      <c r="A69" s="179" t="s">
        <v>252</v>
      </c>
      <c r="B69" s="175" t="s">
        <v>407</v>
      </c>
      <c r="C69" s="179" t="s">
        <v>252</v>
      </c>
      <c r="D69" s="175" t="s">
        <v>407</v>
      </c>
      <c r="E69" s="179" t="s">
        <v>252</v>
      </c>
      <c r="F69" s="175" t="s">
        <v>407</v>
      </c>
      <c r="G69" s="179" t="s">
        <v>252</v>
      </c>
      <c r="H69" s="175" t="s">
        <v>352</v>
      </c>
    </row>
    <row r="70">
      <c r="A70" s="174" t="s">
        <v>189</v>
      </c>
      <c r="B70" s="177" t="s">
        <v>352</v>
      </c>
      <c r="C70" s="174" t="s">
        <v>189</v>
      </c>
      <c r="D70" s="177" t="s">
        <v>352</v>
      </c>
      <c r="E70" s="174" t="s">
        <v>189</v>
      </c>
      <c r="F70" s="177" t="s">
        <v>352</v>
      </c>
      <c r="G70" s="174" t="s">
        <v>189</v>
      </c>
      <c r="H70" s="177" t="s">
        <v>352</v>
      </c>
    </row>
    <row r="71">
      <c r="A71" s="176" t="s">
        <v>177</v>
      </c>
      <c r="B71" s="177" t="s">
        <v>352</v>
      </c>
      <c r="C71" s="176" t="s">
        <v>177</v>
      </c>
      <c r="D71" s="177" t="s">
        <v>352</v>
      </c>
      <c r="E71" s="176" t="s">
        <v>177</v>
      </c>
      <c r="F71" s="177" t="s">
        <v>352</v>
      </c>
      <c r="G71" s="176" t="s">
        <v>177</v>
      </c>
      <c r="H71" s="177" t="s">
        <v>352</v>
      </c>
    </row>
    <row r="72">
      <c r="A72" s="174" t="s">
        <v>226</v>
      </c>
      <c r="B72" s="177" t="s">
        <v>352</v>
      </c>
      <c r="C72" s="174" t="s">
        <v>226</v>
      </c>
      <c r="D72" s="177" t="s">
        <v>352</v>
      </c>
      <c r="E72" s="174" t="s">
        <v>226</v>
      </c>
      <c r="F72" s="177" t="s">
        <v>352</v>
      </c>
      <c r="G72" s="174" t="s">
        <v>226</v>
      </c>
      <c r="H72" s="177" t="s">
        <v>352</v>
      </c>
    </row>
    <row r="73">
      <c r="A73" s="174" t="s">
        <v>199</v>
      </c>
      <c r="B73" s="177" t="s">
        <v>352</v>
      </c>
      <c r="C73" s="174" t="s">
        <v>199</v>
      </c>
      <c r="D73" s="177" t="s">
        <v>352</v>
      </c>
      <c r="E73" s="174" t="s">
        <v>199</v>
      </c>
      <c r="F73" s="177" t="s">
        <v>352</v>
      </c>
      <c r="G73" s="174" t="s">
        <v>199</v>
      </c>
      <c r="H73" s="177" t="s">
        <v>352</v>
      </c>
    </row>
    <row r="74">
      <c r="A74" s="174" t="s">
        <v>265</v>
      </c>
      <c r="B74" s="177" t="s">
        <v>352</v>
      </c>
      <c r="C74" s="174" t="s">
        <v>265</v>
      </c>
      <c r="D74" s="177" t="s">
        <v>352</v>
      </c>
      <c r="E74" s="174" t="s">
        <v>265</v>
      </c>
      <c r="F74" s="177" t="s">
        <v>352</v>
      </c>
      <c r="G74" s="174" t="s">
        <v>265</v>
      </c>
      <c r="H74" s="177" t="s">
        <v>352</v>
      </c>
    </row>
    <row r="75">
      <c r="A75" s="179" t="s">
        <v>238</v>
      </c>
      <c r="B75" s="177" t="s">
        <v>352</v>
      </c>
      <c r="C75" s="179" t="s">
        <v>238</v>
      </c>
      <c r="D75" s="177" t="s">
        <v>352</v>
      </c>
      <c r="E75" s="179" t="s">
        <v>238</v>
      </c>
      <c r="F75" s="177" t="s">
        <v>352</v>
      </c>
      <c r="G75" s="179" t="s">
        <v>238</v>
      </c>
      <c r="H75" s="177" t="s">
        <v>352</v>
      </c>
    </row>
    <row r="76">
      <c r="A76" s="176" t="s">
        <v>75</v>
      </c>
      <c r="B76" s="177" t="s">
        <v>352</v>
      </c>
      <c r="C76" s="176" t="s">
        <v>75</v>
      </c>
      <c r="D76" s="177" t="s">
        <v>352</v>
      </c>
      <c r="E76" s="176" t="s">
        <v>75</v>
      </c>
      <c r="F76" s="177" t="s">
        <v>352</v>
      </c>
      <c r="G76" s="176" t="s">
        <v>75</v>
      </c>
      <c r="H76" s="177" t="s">
        <v>352</v>
      </c>
    </row>
    <row r="77">
      <c r="A77" s="176" t="s">
        <v>240</v>
      </c>
      <c r="B77" s="177" t="s">
        <v>352</v>
      </c>
      <c r="C77" s="176" t="s">
        <v>240</v>
      </c>
      <c r="D77" s="177" t="s">
        <v>352</v>
      </c>
      <c r="E77" s="176" t="s">
        <v>240</v>
      </c>
      <c r="F77" s="177" t="s">
        <v>352</v>
      </c>
      <c r="G77" s="176" t="s">
        <v>240</v>
      </c>
      <c r="H77" s="177" t="s">
        <v>352</v>
      </c>
    </row>
    <row r="78">
      <c r="A78" s="174" t="s">
        <v>117</v>
      </c>
      <c r="B78" s="177" t="s">
        <v>352</v>
      </c>
      <c r="C78" s="174" t="s">
        <v>117</v>
      </c>
      <c r="D78" s="177" t="s">
        <v>352</v>
      </c>
      <c r="E78" s="174" t="s">
        <v>117</v>
      </c>
      <c r="F78" s="177" t="s">
        <v>352</v>
      </c>
      <c r="G78" s="174" t="s">
        <v>117</v>
      </c>
      <c r="H78" s="177" t="s">
        <v>352</v>
      </c>
    </row>
    <row r="79">
      <c r="A79" s="174" t="s">
        <v>214</v>
      </c>
      <c r="B79" s="177" t="s">
        <v>352</v>
      </c>
      <c r="C79" s="174" t="s">
        <v>214</v>
      </c>
      <c r="D79" s="177" t="s">
        <v>352</v>
      </c>
      <c r="E79" s="174" t="s">
        <v>214</v>
      </c>
      <c r="F79" s="177" t="s">
        <v>352</v>
      </c>
      <c r="G79" s="174" t="s">
        <v>214</v>
      </c>
      <c r="H79" s="177" t="s">
        <v>352</v>
      </c>
    </row>
    <row r="80">
      <c r="A80" s="174" t="s">
        <v>120</v>
      </c>
      <c r="B80" s="177" t="s">
        <v>352</v>
      </c>
      <c r="C80" s="174" t="s">
        <v>120</v>
      </c>
      <c r="D80" s="177" t="s">
        <v>352</v>
      </c>
      <c r="E80" s="174" t="s">
        <v>120</v>
      </c>
      <c r="F80" s="177" t="s">
        <v>352</v>
      </c>
      <c r="G80" s="174" t="s">
        <v>120</v>
      </c>
      <c r="H80" s="177" t="s">
        <v>352</v>
      </c>
    </row>
    <row r="81">
      <c r="A81" s="174" t="s">
        <v>272</v>
      </c>
      <c r="B81" s="177" t="s">
        <v>352</v>
      </c>
      <c r="C81" s="174" t="s">
        <v>272</v>
      </c>
      <c r="D81" s="177" t="s">
        <v>352</v>
      </c>
      <c r="E81" s="174" t="s">
        <v>272</v>
      </c>
      <c r="F81" s="177" t="s">
        <v>352</v>
      </c>
      <c r="G81" s="174" t="s">
        <v>272</v>
      </c>
      <c r="H81" s="177" t="s">
        <v>352</v>
      </c>
    </row>
    <row r="82">
      <c r="A82" s="174" t="s">
        <v>243</v>
      </c>
      <c r="B82" s="177" t="s">
        <v>353</v>
      </c>
      <c r="C82" s="174" t="s">
        <v>243</v>
      </c>
      <c r="D82" s="177" t="s">
        <v>353</v>
      </c>
      <c r="E82" s="174" t="s">
        <v>243</v>
      </c>
      <c r="F82" s="177" t="s">
        <v>353</v>
      </c>
      <c r="G82" s="174" t="s">
        <v>243</v>
      </c>
      <c r="H82" s="177" t="s">
        <v>353</v>
      </c>
    </row>
    <row r="83">
      <c r="A83" s="176" t="s">
        <v>227</v>
      </c>
      <c r="B83" s="177" t="s">
        <v>353</v>
      </c>
      <c r="C83" s="176" t="s">
        <v>227</v>
      </c>
      <c r="D83" s="177" t="s">
        <v>353</v>
      </c>
      <c r="E83" s="176" t="s">
        <v>227</v>
      </c>
      <c r="F83" s="177" t="s">
        <v>353</v>
      </c>
      <c r="G83" s="176" t="s">
        <v>227</v>
      </c>
      <c r="H83" s="177" t="s">
        <v>353</v>
      </c>
    </row>
    <row r="84">
      <c r="A84" s="176" t="s">
        <v>105</v>
      </c>
      <c r="B84" s="177" t="s">
        <v>353</v>
      </c>
      <c r="C84" s="176" t="s">
        <v>105</v>
      </c>
      <c r="D84" s="177" t="s">
        <v>353</v>
      </c>
      <c r="E84" s="176" t="s">
        <v>105</v>
      </c>
      <c r="F84" s="177" t="s">
        <v>353</v>
      </c>
      <c r="G84" s="176" t="s">
        <v>105</v>
      </c>
      <c r="H84" s="177" t="s">
        <v>353</v>
      </c>
    </row>
    <row r="85">
      <c r="A85" s="176" t="s">
        <v>241</v>
      </c>
      <c r="B85" s="177" t="s">
        <v>353</v>
      </c>
      <c r="C85" s="176" t="s">
        <v>241</v>
      </c>
      <c r="D85" s="177" t="s">
        <v>353</v>
      </c>
      <c r="E85" s="176" t="s">
        <v>241</v>
      </c>
      <c r="F85" s="177" t="s">
        <v>353</v>
      </c>
      <c r="G85" s="176" t="s">
        <v>241</v>
      </c>
      <c r="H85" s="177" t="s">
        <v>353</v>
      </c>
    </row>
    <row r="86">
      <c r="A86" s="174" t="s">
        <v>173</v>
      </c>
      <c r="B86" s="177" t="s">
        <v>353</v>
      </c>
      <c r="C86" s="174" t="s">
        <v>173</v>
      </c>
      <c r="D86" s="177" t="s">
        <v>353</v>
      </c>
      <c r="E86" s="174" t="s">
        <v>173</v>
      </c>
      <c r="F86" s="177" t="s">
        <v>353</v>
      </c>
      <c r="G86" s="174" t="s">
        <v>173</v>
      </c>
      <c r="H86" s="177" t="s">
        <v>353</v>
      </c>
    </row>
    <row r="87">
      <c r="A87" s="174" t="s">
        <v>258</v>
      </c>
      <c r="B87" s="177" t="s">
        <v>353</v>
      </c>
      <c r="C87" s="174" t="s">
        <v>258</v>
      </c>
      <c r="D87" s="177" t="s">
        <v>353</v>
      </c>
      <c r="E87" s="174" t="s">
        <v>258</v>
      </c>
      <c r="F87" s="177" t="s">
        <v>353</v>
      </c>
      <c r="G87" s="174" t="s">
        <v>258</v>
      </c>
      <c r="H87" s="177" t="s">
        <v>353</v>
      </c>
    </row>
    <row r="88">
      <c r="A88" s="174" t="s">
        <v>88</v>
      </c>
      <c r="B88" s="177" t="s">
        <v>353</v>
      </c>
      <c r="C88" s="174" t="s">
        <v>88</v>
      </c>
      <c r="D88" s="177" t="s">
        <v>353</v>
      </c>
      <c r="E88" s="174" t="s">
        <v>88</v>
      </c>
      <c r="F88" s="177" t="s">
        <v>353</v>
      </c>
      <c r="G88" s="174" t="s">
        <v>88</v>
      </c>
      <c r="H88" s="177" t="s">
        <v>353</v>
      </c>
    </row>
    <row r="89">
      <c r="A89" s="176" t="s">
        <v>190</v>
      </c>
      <c r="B89" s="177" t="s">
        <v>353</v>
      </c>
      <c r="C89" s="176" t="s">
        <v>190</v>
      </c>
      <c r="D89" s="177" t="s">
        <v>353</v>
      </c>
      <c r="E89" s="176" t="s">
        <v>190</v>
      </c>
      <c r="F89" s="177" t="s">
        <v>353</v>
      </c>
      <c r="G89" s="176" t="s">
        <v>190</v>
      </c>
      <c r="H89" s="177" t="s">
        <v>353</v>
      </c>
    </row>
    <row r="90">
      <c r="A90" s="176" t="s">
        <v>129</v>
      </c>
      <c r="B90" s="177" t="s">
        <v>353</v>
      </c>
      <c r="C90" s="176" t="s">
        <v>129</v>
      </c>
      <c r="D90" s="177" t="s">
        <v>353</v>
      </c>
      <c r="E90" s="176" t="s">
        <v>129</v>
      </c>
      <c r="F90" s="177" t="s">
        <v>353</v>
      </c>
      <c r="G90" s="176" t="s">
        <v>129</v>
      </c>
      <c r="H90" s="177" t="s">
        <v>353</v>
      </c>
    </row>
    <row r="91">
      <c r="A91" s="174" t="s">
        <v>202</v>
      </c>
      <c r="B91" s="177" t="s">
        <v>353</v>
      </c>
      <c r="C91" s="174" t="s">
        <v>202</v>
      </c>
      <c r="D91" s="177" t="s">
        <v>353</v>
      </c>
      <c r="E91" s="174" t="s">
        <v>202</v>
      </c>
      <c r="F91" s="177" t="s">
        <v>353</v>
      </c>
      <c r="G91" s="174" t="s">
        <v>202</v>
      </c>
      <c r="H91" s="177" t="s">
        <v>353</v>
      </c>
    </row>
    <row r="92">
      <c r="A92" s="176" t="s">
        <v>273</v>
      </c>
      <c r="B92" s="177" t="s">
        <v>353</v>
      </c>
      <c r="C92" s="176" t="s">
        <v>273</v>
      </c>
      <c r="D92" s="177" t="s">
        <v>353</v>
      </c>
      <c r="E92" s="176" t="s">
        <v>273</v>
      </c>
      <c r="F92" s="177" t="s">
        <v>353</v>
      </c>
      <c r="G92" s="176" t="s">
        <v>273</v>
      </c>
      <c r="H92" s="177" t="s">
        <v>353</v>
      </c>
    </row>
    <row r="93">
      <c r="A93" s="174" t="s">
        <v>183</v>
      </c>
      <c r="B93" s="177" t="s">
        <v>353</v>
      </c>
      <c r="C93" s="174" t="s">
        <v>183</v>
      </c>
      <c r="D93" s="177" t="s">
        <v>353</v>
      </c>
      <c r="E93" s="174" t="s">
        <v>183</v>
      </c>
      <c r="F93" s="177" t="s">
        <v>353</v>
      </c>
      <c r="G93" s="174" t="s">
        <v>183</v>
      </c>
      <c r="H93" s="177" t="s">
        <v>353</v>
      </c>
    </row>
    <row r="94">
      <c r="A94" s="176" t="s">
        <v>218</v>
      </c>
      <c r="B94" s="178" t="s">
        <v>355</v>
      </c>
      <c r="C94" s="176" t="s">
        <v>218</v>
      </c>
      <c r="D94" s="178" t="s">
        <v>355</v>
      </c>
      <c r="E94" s="176" t="s">
        <v>218</v>
      </c>
      <c r="F94" s="178" t="s">
        <v>355</v>
      </c>
      <c r="G94" s="176" t="s">
        <v>218</v>
      </c>
      <c r="H94" s="177" t="s">
        <v>353</v>
      </c>
    </row>
    <row r="95">
      <c r="A95" s="174" t="s">
        <v>217</v>
      </c>
      <c r="B95" s="177" t="s">
        <v>354</v>
      </c>
      <c r="C95" s="174" t="s">
        <v>217</v>
      </c>
      <c r="D95" s="177" t="s">
        <v>354</v>
      </c>
      <c r="E95" s="174" t="s">
        <v>217</v>
      </c>
      <c r="F95" s="177" t="s">
        <v>354</v>
      </c>
      <c r="G95" s="174" t="s">
        <v>217</v>
      </c>
      <c r="H95" s="177" t="s">
        <v>354</v>
      </c>
    </row>
    <row r="96">
      <c r="A96" s="176" t="s">
        <v>174</v>
      </c>
      <c r="B96" s="177" t="s">
        <v>354</v>
      </c>
      <c r="C96" s="176" t="s">
        <v>174</v>
      </c>
      <c r="D96" s="177" t="s">
        <v>354</v>
      </c>
      <c r="E96" s="176" t="s">
        <v>174</v>
      </c>
      <c r="F96" s="177" t="s">
        <v>354</v>
      </c>
      <c r="G96" s="176" t="s">
        <v>174</v>
      </c>
      <c r="H96" s="177" t="s">
        <v>354</v>
      </c>
    </row>
    <row r="97">
      <c r="A97" s="174" t="s">
        <v>251</v>
      </c>
      <c r="B97" s="177" t="s">
        <v>354</v>
      </c>
      <c r="C97" s="174" t="s">
        <v>251</v>
      </c>
      <c r="D97" s="177" t="s">
        <v>354</v>
      </c>
      <c r="E97" s="174" t="s">
        <v>251</v>
      </c>
      <c r="F97" s="177" t="s">
        <v>354</v>
      </c>
      <c r="G97" s="174" t="s">
        <v>251</v>
      </c>
      <c r="H97" s="177" t="s">
        <v>354</v>
      </c>
    </row>
    <row r="98">
      <c r="A98" s="174" t="s">
        <v>269</v>
      </c>
      <c r="B98" s="177" t="s">
        <v>354</v>
      </c>
      <c r="C98" s="174" t="s">
        <v>269</v>
      </c>
      <c r="D98" s="177" t="s">
        <v>354</v>
      </c>
      <c r="E98" s="174" t="s">
        <v>269</v>
      </c>
      <c r="F98" s="177" t="s">
        <v>354</v>
      </c>
      <c r="G98" s="174" t="s">
        <v>269</v>
      </c>
      <c r="H98" s="177" t="s">
        <v>354</v>
      </c>
    </row>
    <row r="99">
      <c r="A99" s="174" t="s">
        <v>38</v>
      </c>
      <c r="B99" s="177" t="s">
        <v>354</v>
      </c>
      <c r="C99" s="174" t="s">
        <v>38</v>
      </c>
      <c r="D99" s="177" t="s">
        <v>354</v>
      </c>
      <c r="E99" s="174" t="s">
        <v>38</v>
      </c>
      <c r="F99" s="177" t="s">
        <v>354</v>
      </c>
      <c r="G99" s="174" t="s">
        <v>38</v>
      </c>
      <c r="H99" s="177" t="s">
        <v>354</v>
      </c>
    </row>
    <row r="100">
      <c r="A100" s="176" t="s">
        <v>247</v>
      </c>
      <c r="B100" s="177" t="s">
        <v>354</v>
      </c>
      <c r="C100" s="176" t="s">
        <v>247</v>
      </c>
      <c r="D100" s="177" t="s">
        <v>354</v>
      </c>
      <c r="E100" s="176" t="s">
        <v>247</v>
      </c>
      <c r="F100" s="177" t="s">
        <v>354</v>
      </c>
      <c r="G100" s="176" t="s">
        <v>247</v>
      </c>
      <c r="H100" s="177" t="s">
        <v>354</v>
      </c>
    </row>
    <row r="101">
      <c r="A101" s="174" t="s">
        <v>193</v>
      </c>
      <c r="B101" s="177" t="s">
        <v>354</v>
      </c>
      <c r="C101" s="174" t="s">
        <v>193</v>
      </c>
      <c r="D101" s="177" t="s">
        <v>354</v>
      </c>
      <c r="E101" s="174" t="s">
        <v>193</v>
      </c>
      <c r="F101" s="177" t="s">
        <v>354</v>
      </c>
      <c r="G101" s="174" t="s">
        <v>193</v>
      </c>
      <c r="H101" s="177" t="s">
        <v>354</v>
      </c>
    </row>
    <row r="102">
      <c r="A102" s="176" t="s">
        <v>109</v>
      </c>
      <c r="B102" s="177" t="s">
        <v>354</v>
      </c>
      <c r="C102" s="176" t="s">
        <v>109</v>
      </c>
      <c r="D102" s="177" t="s">
        <v>354</v>
      </c>
      <c r="E102" s="176" t="s">
        <v>109</v>
      </c>
      <c r="F102" s="177" t="s">
        <v>354</v>
      </c>
      <c r="G102" s="176" t="s">
        <v>109</v>
      </c>
      <c r="H102" s="177" t="s">
        <v>354</v>
      </c>
    </row>
    <row r="103">
      <c r="A103" s="174" t="s">
        <v>204</v>
      </c>
      <c r="B103" s="177" t="s">
        <v>354</v>
      </c>
      <c r="C103" s="174" t="s">
        <v>204</v>
      </c>
      <c r="D103" s="177" t="s">
        <v>354</v>
      </c>
      <c r="E103" s="174" t="s">
        <v>204</v>
      </c>
      <c r="F103" s="177" t="s">
        <v>354</v>
      </c>
      <c r="G103" s="174" t="s">
        <v>204</v>
      </c>
      <c r="H103" s="177" t="s">
        <v>354</v>
      </c>
    </row>
    <row r="104">
      <c r="A104" s="174" t="s">
        <v>231</v>
      </c>
      <c r="B104" s="177" t="s">
        <v>354</v>
      </c>
      <c r="C104" s="174" t="s">
        <v>231</v>
      </c>
      <c r="D104" s="177" t="s">
        <v>354</v>
      </c>
      <c r="E104" s="174" t="s">
        <v>231</v>
      </c>
      <c r="F104" s="177" t="s">
        <v>354</v>
      </c>
      <c r="G104" s="174" t="s">
        <v>231</v>
      </c>
      <c r="H104" s="177" t="s">
        <v>354</v>
      </c>
    </row>
    <row r="105">
      <c r="A105" s="174" t="s">
        <v>180</v>
      </c>
      <c r="B105" s="177" t="s">
        <v>354</v>
      </c>
      <c r="C105" s="174" t="s">
        <v>180</v>
      </c>
      <c r="D105" s="177" t="s">
        <v>354</v>
      </c>
      <c r="E105" s="174" t="s">
        <v>180</v>
      </c>
      <c r="F105" s="177" t="s">
        <v>354</v>
      </c>
      <c r="G105" s="174" t="s">
        <v>180</v>
      </c>
      <c r="H105" s="177" t="s">
        <v>354</v>
      </c>
    </row>
    <row r="106">
      <c r="A106" s="176" t="s">
        <v>259</v>
      </c>
      <c r="B106" s="177" t="s">
        <v>354</v>
      </c>
      <c r="C106" s="176" t="s">
        <v>259</v>
      </c>
      <c r="D106" s="177" t="s">
        <v>354</v>
      </c>
      <c r="E106" s="176" t="s">
        <v>259</v>
      </c>
      <c r="F106" s="177" t="s">
        <v>354</v>
      </c>
      <c r="G106" s="176" t="s">
        <v>259</v>
      </c>
      <c r="H106" s="177" t="s">
        <v>354</v>
      </c>
    </row>
    <row r="107">
      <c r="A107" s="176" t="s">
        <v>128</v>
      </c>
      <c r="B107" s="177" t="s">
        <v>301</v>
      </c>
      <c r="C107" s="176" t="s">
        <v>128</v>
      </c>
      <c r="D107" s="177" t="s">
        <v>393</v>
      </c>
      <c r="E107" s="176" t="s">
        <v>128</v>
      </c>
      <c r="F107" s="177" t="s">
        <v>393</v>
      </c>
      <c r="G107" s="176" t="s">
        <v>128</v>
      </c>
      <c r="H107" s="177" t="s">
        <v>354</v>
      </c>
    </row>
    <row r="108">
      <c r="A108" s="176" t="s">
        <v>137</v>
      </c>
      <c r="B108" s="178" t="s">
        <v>292</v>
      </c>
      <c r="C108" s="176" t="s">
        <v>137</v>
      </c>
      <c r="D108" s="178" t="s">
        <v>292</v>
      </c>
      <c r="E108" s="176" t="s">
        <v>137</v>
      </c>
      <c r="F108" s="178" t="s">
        <v>292</v>
      </c>
      <c r="G108" s="176" t="s">
        <v>137</v>
      </c>
      <c r="H108" s="178" t="s">
        <v>292</v>
      </c>
    </row>
    <row r="109">
      <c r="A109" s="174" t="s">
        <v>213</v>
      </c>
      <c r="B109" s="178" t="s">
        <v>292</v>
      </c>
      <c r="C109" s="174" t="s">
        <v>213</v>
      </c>
      <c r="D109" s="178" t="s">
        <v>292</v>
      </c>
      <c r="E109" s="174" t="s">
        <v>213</v>
      </c>
      <c r="F109" s="178" t="s">
        <v>292</v>
      </c>
      <c r="G109" s="174" t="s">
        <v>213</v>
      </c>
      <c r="H109" s="178" t="s">
        <v>292</v>
      </c>
    </row>
    <row r="110">
      <c r="A110" s="174" t="s">
        <v>112</v>
      </c>
      <c r="B110" s="178" t="s">
        <v>292</v>
      </c>
      <c r="C110" s="174" t="s">
        <v>112</v>
      </c>
      <c r="D110" s="178" t="s">
        <v>292</v>
      </c>
      <c r="E110" s="174" t="s">
        <v>112</v>
      </c>
      <c r="F110" s="178" t="s">
        <v>292</v>
      </c>
      <c r="G110" s="174" t="s">
        <v>112</v>
      </c>
      <c r="H110" s="178" t="s">
        <v>292</v>
      </c>
    </row>
    <row r="111">
      <c r="A111" s="174" t="s">
        <v>127</v>
      </c>
      <c r="B111" s="178" t="s">
        <v>292</v>
      </c>
      <c r="C111" s="174" t="s">
        <v>127</v>
      </c>
      <c r="D111" s="178" t="s">
        <v>292</v>
      </c>
      <c r="E111" s="174" t="s">
        <v>127</v>
      </c>
      <c r="F111" s="178" t="s">
        <v>292</v>
      </c>
      <c r="G111" s="174" t="s">
        <v>127</v>
      </c>
      <c r="H111" s="178" t="s">
        <v>292</v>
      </c>
    </row>
    <row r="112">
      <c r="A112" s="174" t="s">
        <v>63</v>
      </c>
      <c r="B112" s="178" t="s">
        <v>292</v>
      </c>
      <c r="C112" s="174" t="s">
        <v>63</v>
      </c>
      <c r="D112" s="178" t="s">
        <v>292</v>
      </c>
      <c r="E112" s="174" t="s">
        <v>63</v>
      </c>
      <c r="F112" s="178" t="s">
        <v>292</v>
      </c>
      <c r="G112" s="174" t="s">
        <v>63</v>
      </c>
      <c r="H112" s="178" t="s">
        <v>292</v>
      </c>
    </row>
    <row r="113">
      <c r="A113" s="174" t="s">
        <v>196</v>
      </c>
      <c r="B113" s="178" t="s">
        <v>292</v>
      </c>
      <c r="C113" s="174" t="s">
        <v>196</v>
      </c>
      <c r="D113" s="178" t="s">
        <v>292</v>
      </c>
      <c r="E113" s="174" t="s">
        <v>196</v>
      </c>
      <c r="F113" s="178" t="s">
        <v>292</v>
      </c>
      <c r="G113" s="174" t="s">
        <v>196</v>
      </c>
      <c r="H113" s="178" t="s">
        <v>292</v>
      </c>
    </row>
    <row r="114">
      <c r="A114" s="174" t="s">
        <v>219</v>
      </c>
      <c r="B114" s="178" t="s">
        <v>292</v>
      </c>
      <c r="C114" s="174" t="s">
        <v>219</v>
      </c>
      <c r="D114" s="178" t="s">
        <v>292</v>
      </c>
      <c r="E114" s="174" t="s">
        <v>219</v>
      </c>
      <c r="F114" s="178" t="s">
        <v>292</v>
      </c>
      <c r="G114" s="174" t="s">
        <v>219</v>
      </c>
      <c r="H114" s="178" t="s">
        <v>292</v>
      </c>
    </row>
    <row r="115">
      <c r="A115" s="176" t="s">
        <v>249</v>
      </c>
      <c r="B115" s="178" t="s">
        <v>292</v>
      </c>
      <c r="C115" s="176" t="s">
        <v>249</v>
      </c>
      <c r="D115" s="178" t="s">
        <v>292</v>
      </c>
      <c r="E115" s="176" t="s">
        <v>249</v>
      </c>
      <c r="F115" s="178" t="s">
        <v>292</v>
      </c>
      <c r="G115" s="176" t="s">
        <v>249</v>
      </c>
      <c r="H115" s="178" t="s">
        <v>292</v>
      </c>
    </row>
    <row r="116">
      <c r="A116" s="174" t="s">
        <v>237</v>
      </c>
      <c r="B116" s="178" t="s">
        <v>292</v>
      </c>
      <c r="C116" s="174" t="s">
        <v>237</v>
      </c>
      <c r="D116" s="178" t="s">
        <v>292</v>
      </c>
      <c r="E116" s="174" t="s">
        <v>237</v>
      </c>
      <c r="F116" s="178" t="s">
        <v>292</v>
      </c>
      <c r="G116" s="174" t="s">
        <v>237</v>
      </c>
      <c r="H116" s="178" t="s">
        <v>292</v>
      </c>
    </row>
    <row r="117">
      <c r="A117" s="174" t="s">
        <v>225</v>
      </c>
      <c r="B117" s="178" t="s">
        <v>292</v>
      </c>
      <c r="C117" s="174" t="s">
        <v>225</v>
      </c>
      <c r="D117" s="178" t="s">
        <v>292</v>
      </c>
      <c r="E117" s="174" t="s">
        <v>225</v>
      </c>
      <c r="F117" s="178" t="s">
        <v>292</v>
      </c>
      <c r="G117" s="174" t="s">
        <v>225</v>
      </c>
      <c r="H117" s="178" t="s">
        <v>292</v>
      </c>
    </row>
    <row r="118">
      <c r="A118" s="174" t="s">
        <v>184</v>
      </c>
      <c r="B118" s="178" t="s">
        <v>292</v>
      </c>
      <c r="C118" s="174" t="s">
        <v>184</v>
      </c>
      <c r="D118" s="178" t="s">
        <v>292</v>
      </c>
      <c r="E118" s="174" t="s">
        <v>184</v>
      </c>
      <c r="F118" s="178" t="s">
        <v>292</v>
      </c>
      <c r="G118" s="174" t="s">
        <v>184</v>
      </c>
      <c r="H118" s="178" t="s">
        <v>292</v>
      </c>
    </row>
    <row r="119">
      <c r="A119" s="174" t="s">
        <v>233</v>
      </c>
      <c r="B119" s="178" t="s">
        <v>292</v>
      </c>
      <c r="C119" s="174" t="s">
        <v>233</v>
      </c>
      <c r="D119" s="178" t="s">
        <v>292</v>
      </c>
      <c r="E119" s="174" t="s">
        <v>233</v>
      </c>
      <c r="F119" s="178" t="s">
        <v>292</v>
      </c>
      <c r="G119" s="174" t="s">
        <v>233</v>
      </c>
      <c r="H119" s="178" t="s">
        <v>292</v>
      </c>
    </row>
    <row r="120">
      <c r="A120" s="174" t="s">
        <v>264</v>
      </c>
      <c r="B120" s="178" t="s">
        <v>292</v>
      </c>
      <c r="C120" s="174" t="s">
        <v>264</v>
      </c>
      <c r="D120" s="178" t="s">
        <v>292</v>
      </c>
      <c r="E120" s="174" t="s">
        <v>264</v>
      </c>
      <c r="F120" s="178" t="s">
        <v>292</v>
      </c>
      <c r="G120" s="174" t="s">
        <v>264</v>
      </c>
      <c r="H120" s="178" t="s">
        <v>292</v>
      </c>
    </row>
    <row r="121">
      <c r="A121" s="174" t="s">
        <v>277</v>
      </c>
      <c r="B121" s="178" t="s">
        <v>292</v>
      </c>
      <c r="C121" s="174" t="s">
        <v>277</v>
      </c>
      <c r="D121" s="178" t="s">
        <v>292</v>
      </c>
      <c r="E121" s="174" t="s">
        <v>277</v>
      </c>
      <c r="F121" s="178" t="s">
        <v>292</v>
      </c>
      <c r="G121" s="174" t="s">
        <v>277</v>
      </c>
      <c r="H121" s="178" t="s">
        <v>292</v>
      </c>
    </row>
    <row r="122">
      <c r="A122" s="176" t="s">
        <v>71</v>
      </c>
      <c r="B122" s="178" t="s">
        <v>355</v>
      </c>
      <c r="C122" s="176" t="s">
        <v>71</v>
      </c>
      <c r="D122" s="178" t="s">
        <v>355</v>
      </c>
      <c r="E122" s="176" t="s">
        <v>71</v>
      </c>
      <c r="F122" s="178" t="s">
        <v>355</v>
      </c>
      <c r="G122" s="176" t="s">
        <v>71</v>
      </c>
      <c r="H122" s="178" t="s">
        <v>355</v>
      </c>
    </row>
    <row r="123">
      <c r="A123" s="176" t="s">
        <v>254</v>
      </c>
      <c r="B123" s="178" t="s">
        <v>355</v>
      </c>
      <c r="C123" s="176" t="s">
        <v>254</v>
      </c>
      <c r="D123" s="178" t="s">
        <v>355</v>
      </c>
      <c r="E123" s="176" t="s">
        <v>254</v>
      </c>
      <c r="F123" s="178" t="s">
        <v>355</v>
      </c>
      <c r="G123" s="176" t="s">
        <v>254</v>
      </c>
      <c r="H123" s="178" t="s">
        <v>355</v>
      </c>
    </row>
    <row r="124">
      <c r="A124" s="176" t="s">
        <v>206</v>
      </c>
      <c r="B124" s="178" t="s">
        <v>355</v>
      </c>
      <c r="C124" s="176" t="s">
        <v>206</v>
      </c>
      <c r="D124" s="178" t="s">
        <v>355</v>
      </c>
      <c r="E124" s="176" t="s">
        <v>206</v>
      </c>
      <c r="F124" s="178" t="s">
        <v>355</v>
      </c>
      <c r="G124" s="176" t="s">
        <v>206</v>
      </c>
      <c r="H124" s="178" t="s">
        <v>355</v>
      </c>
    </row>
    <row r="125">
      <c r="A125" s="176" t="s">
        <v>245</v>
      </c>
      <c r="B125" s="178" t="s">
        <v>355</v>
      </c>
      <c r="C125" s="176" t="s">
        <v>245</v>
      </c>
      <c r="D125" s="178" t="s">
        <v>355</v>
      </c>
      <c r="E125" s="176" t="s">
        <v>245</v>
      </c>
      <c r="F125" s="178" t="s">
        <v>355</v>
      </c>
      <c r="G125" s="176" t="s">
        <v>245</v>
      </c>
      <c r="H125" s="178" t="s">
        <v>355</v>
      </c>
    </row>
    <row r="126">
      <c r="A126" s="176" t="s">
        <v>232</v>
      </c>
      <c r="B126" s="178" t="s">
        <v>355</v>
      </c>
      <c r="C126" s="176" t="s">
        <v>232</v>
      </c>
      <c r="D126" s="178" t="s">
        <v>355</v>
      </c>
      <c r="E126" s="176" t="s">
        <v>232</v>
      </c>
      <c r="F126" s="178" t="s">
        <v>355</v>
      </c>
      <c r="G126" s="176" t="s">
        <v>232</v>
      </c>
      <c r="H126" s="178" t="s">
        <v>355</v>
      </c>
    </row>
    <row r="127">
      <c r="A127" s="23" t="s">
        <v>262</v>
      </c>
      <c r="B127" s="178" t="s">
        <v>355</v>
      </c>
      <c r="C127" s="23" t="s">
        <v>262</v>
      </c>
      <c r="D127" s="178" t="s">
        <v>355</v>
      </c>
      <c r="E127" s="23" t="s">
        <v>262</v>
      </c>
      <c r="F127" s="178" t="s">
        <v>355</v>
      </c>
      <c r="G127" s="23" t="s">
        <v>262</v>
      </c>
      <c r="H127" s="178" t="s">
        <v>355</v>
      </c>
    </row>
    <row r="128">
      <c r="A128" s="174" t="s">
        <v>111</v>
      </c>
      <c r="B128" s="177" t="s">
        <v>355</v>
      </c>
      <c r="C128" s="174" t="s">
        <v>111</v>
      </c>
      <c r="D128" s="177" t="s">
        <v>355</v>
      </c>
      <c r="E128" s="174" t="s">
        <v>111</v>
      </c>
      <c r="F128" s="177" t="s">
        <v>355</v>
      </c>
      <c r="G128" s="174" t="s">
        <v>111</v>
      </c>
      <c r="H128" s="177" t="s">
        <v>355</v>
      </c>
    </row>
    <row r="129">
      <c r="A129" s="174" t="s">
        <v>270</v>
      </c>
      <c r="B129" s="177" t="s">
        <v>355</v>
      </c>
      <c r="C129" s="174" t="s">
        <v>270</v>
      </c>
      <c r="D129" s="177" t="s">
        <v>355</v>
      </c>
      <c r="E129" s="174" t="s">
        <v>270</v>
      </c>
      <c r="F129" s="177" t="s">
        <v>355</v>
      </c>
      <c r="G129" s="174" t="s">
        <v>270</v>
      </c>
      <c r="H129" s="177" t="s">
        <v>355</v>
      </c>
    </row>
    <row r="130">
      <c r="A130" s="174" t="s">
        <v>205</v>
      </c>
      <c r="B130" s="178" t="s">
        <v>355</v>
      </c>
      <c r="C130" s="174" t="s">
        <v>205</v>
      </c>
      <c r="D130" s="178" t="s">
        <v>355</v>
      </c>
      <c r="E130" s="174" t="s">
        <v>205</v>
      </c>
      <c r="F130" s="178" t="s">
        <v>355</v>
      </c>
      <c r="G130" s="174" t="s">
        <v>205</v>
      </c>
      <c r="H130" s="178" t="s">
        <v>355</v>
      </c>
    </row>
    <row r="131">
      <c r="A131" s="176" t="s">
        <v>197</v>
      </c>
      <c r="B131" s="177" t="s">
        <v>355</v>
      </c>
      <c r="C131" s="176" t="s">
        <v>197</v>
      </c>
      <c r="D131" s="177" t="s">
        <v>355</v>
      </c>
      <c r="E131" s="176" t="s">
        <v>197</v>
      </c>
      <c r="F131" s="177" t="s">
        <v>355</v>
      </c>
      <c r="G131" s="176" t="s">
        <v>197</v>
      </c>
      <c r="H131" s="177" t="s">
        <v>355</v>
      </c>
    </row>
    <row r="132">
      <c r="A132" s="176" t="s">
        <v>126</v>
      </c>
      <c r="B132" s="178" t="s">
        <v>355</v>
      </c>
      <c r="C132" s="176" t="s">
        <v>126</v>
      </c>
      <c r="D132" s="178" t="s">
        <v>355</v>
      </c>
      <c r="E132" s="176" t="s">
        <v>126</v>
      </c>
      <c r="F132" s="178" t="s">
        <v>355</v>
      </c>
      <c r="G132" s="176" t="s">
        <v>126</v>
      </c>
      <c r="H132" s="178" t="s">
        <v>355</v>
      </c>
    </row>
    <row r="133">
      <c r="A133" s="174" t="s">
        <v>181</v>
      </c>
      <c r="B133" s="178" t="s">
        <v>355</v>
      </c>
      <c r="C133" s="174" t="s">
        <v>181</v>
      </c>
      <c r="D133" s="178" t="s">
        <v>355</v>
      </c>
      <c r="E133" s="174" t="s">
        <v>181</v>
      </c>
      <c r="F133" s="178" t="s">
        <v>355</v>
      </c>
      <c r="G133" s="174" t="s">
        <v>181</v>
      </c>
      <c r="H133" s="178" t="s">
        <v>355</v>
      </c>
    </row>
    <row r="134">
      <c r="A134" s="176" t="s">
        <v>175</v>
      </c>
      <c r="B134" s="178" t="s">
        <v>355</v>
      </c>
      <c r="C134" s="176" t="s">
        <v>175</v>
      </c>
      <c r="D134" s="178" t="s">
        <v>355</v>
      </c>
      <c r="E134" s="176" t="s">
        <v>175</v>
      </c>
      <c r="F134" s="178" t="s">
        <v>355</v>
      </c>
      <c r="G134" s="176" t="s">
        <v>175</v>
      </c>
      <c r="H134" s="178" t="s">
        <v>355</v>
      </c>
    </row>
  </sheetData>
  <autoFilter ref="$A$1:$H$134">
    <sortState ref="A1:H134">
      <sortCondition ref="H1:H134"/>
      <sortCondition ref="B1:B134"/>
      <sortCondition ref="A1:A134"/>
      <sortCondition ref="D1:D134"/>
      <sortCondition ref="C1:C134"/>
      <sortCondition ref="F1:F134"/>
      <sortCondition ref="E1:E134"/>
      <sortCondition ref="G1:G134"/>
    </sortState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  <col customWidth="1" hidden="1" min="11" max="20" width="14.13"/>
  </cols>
  <sheetData>
    <row r="1">
      <c r="A1" s="154" t="str">
        <f>IFERROR(__xludf.DUMMYFUNCTION("filter(Teams!A1:A516,not(iferror(match(Teams!A1:A516,DraftTracker!$F:$F,0),false)))"),"AAC")</f>
        <v>AAC</v>
      </c>
      <c r="B1" s="154" t="str">
        <f>IFERROR(__xludf.DUMMYFUNCTION("filter(Teams!B1:B516,not(iferror(match(Teams!B1:B516,DraftTracker!$F:$F,0),false)))"),"ACC")</f>
        <v>ACC</v>
      </c>
      <c r="C1" s="154" t="str">
        <f>IFERROR(__xludf.DUMMYFUNCTION("filter(Teams!C1:C516,not(iferror(match(Teams!C1:C516,DraftTracker!$F:$F,0),false)))"),"Big 12")</f>
        <v>Big 12</v>
      </c>
      <c r="D1" s="154" t="str">
        <f>IFERROR(__xludf.DUMMYFUNCTION("filter(Teams!D1:D516,not(iferror(match(Teams!D1:D516,DraftTracker!$F:$F,0),false)))"),"Big Ten")</f>
        <v>Big Ten</v>
      </c>
      <c r="E1" s="154" t="str">
        <f>IFERROR(__xludf.DUMMYFUNCTION("filter(Teams!E1:E516,not(iferror(match(Teams!E1:E516,DraftTracker!$F:$F,0),false)))"),"CUSA")</f>
        <v>CUSA</v>
      </c>
      <c r="F1" s="154" t="str">
        <f>IFERROR(__xludf.DUMMYFUNCTION("filter(Teams!F1:F516,not(iferror(match(Teams!F1:F516,DraftTracker!$F:$F,0),false)))"),"MAC")</f>
        <v>MAC</v>
      </c>
      <c r="G1" s="154" t="str">
        <f>IFERROR(__xludf.DUMMYFUNCTION("filter(Teams!G1:G516,not(iferror(match(Teams!G1:G516,DraftTracker!$F:$F,0),false)))"),"MWC")</f>
        <v>MWC</v>
      </c>
      <c r="H1" s="154" t="str">
        <f>IFERROR(__xludf.DUMMYFUNCTION("filter(Teams!H1:H516,not(iferror(match(Teams!H1:H516,DraftTracker!$F:$F,0),false)))"),"Pac12")</f>
        <v>Pac12</v>
      </c>
      <c r="I1" s="154" t="str">
        <f>IFERROR(__xludf.DUMMYFUNCTION("filter(Teams!I1:I516,not(iferror(match(Teams!I1:I516,DraftTracker!$F:$F,0),false)))"),"SEC")</f>
        <v>SEC</v>
      </c>
      <c r="J1" s="154" t="str">
        <f>IFERROR(__xludf.DUMMYFUNCTION("filter(Teams!J1:J516,not(iferror(match(Teams!J1:J516,DraftTracker!$F:$F,0),false)))"),"Sun Belt")</f>
        <v>Sun Belt</v>
      </c>
      <c r="K1" s="155" t="str">
        <f t="array" ref="K1:T516">Teams!L:U</f>
        <v>AAC</v>
      </c>
      <c r="L1" s="155" t="s">
        <v>301</v>
      </c>
      <c r="M1" s="155" t="s">
        <v>296</v>
      </c>
      <c r="N1" s="155" t="s">
        <v>282</v>
      </c>
      <c r="O1" s="155" t="s">
        <v>351</v>
      </c>
      <c r="P1" s="155" t="s">
        <v>352</v>
      </c>
      <c r="Q1" s="155" t="s">
        <v>353</v>
      </c>
      <c r="R1" s="155" t="s">
        <v>354</v>
      </c>
      <c r="S1" s="155" t="s">
        <v>292</v>
      </c>
      <c r="T1" s="155" t="s">
        <v>355</v>
      </c>
    </row>
    <row r="2">
      <c r="K2" t="s">
        <v>246</v>
      </c>
      <c r="L2" t="s">
        <v>248</v>
      </c>
      <c r="M2" t="s">
        <v>242</v>
      </c>
      <c r="N2" t="s">
        <v>186</v>
      </c>
      <c r="O2" t="s">
        <v>220</v>
      </c>
      <c r="P2" t="s">
        <v>189</v>
      </c>
      <c r="Q2" t="s">
        <v>243</v>
      </c>
      <c r="R2" t="s">
        <v>217</v>
      </c>
      <c r="S2" t="s">
        <v>137</v>
      </c>
      <c r="T2" t="s">
        <v>218</v>
      </c>
    </row>
    <row r="3">
      <c r="K3" t="s">
        <v>133</v>
      </c>
      <c r="L3" t="s">
        <v>191</v>
      </c>
      <c r="M3" t="s">
        <v>230</v>
      </c>
      <c r="N3" t="s">
        <v>195</v>
      </c>
      <c r="O3" t="s">
        <v>260</v>
      </c>
      <c r="P3" t="s">
        <v>177</v>
      </c>
      <c r="Q3" t="s">
        <v>227</v>
      </c>
      <c r="R3" t="s">
        <v>174</v>
      </c>
      <c r="S3" t="s">
        <v>213</v>
      </c>
      <c r="T3" t="s">
        <v>71</v>
      </c>
    </row>
    <row r="4">
      <c r="K4" t="s">
        <v>118</v>
      </c>
      <c r="L4" t="s">
        <v>187</v>
      </c>
      <c r="M4" t="s">
        <v>119</v>
      </c>
      <c r="N4" t="s">
        <v>266</v>
      </c>
      <c r="O4" t="s">
        <v>102</v>
      </c>
      <c r="P4" t="s">
        <v>226</v>
      </c>
      <c r="Q4" t="s">
        <v>105</v>
      </c>
      <c r="R4" t="s">
        <v>251</v>
      </c>
      <c r="S4" t="s">
        <v>112</v>
      </c>
      <c r="T4" t="s">
        <v>254</v>
      </c>
    </row>
    <row r="5">
      <c r="K5" t="s">
        <v>234</v>
      </c>
      <c r="L5" t="s">
        <v>224</v>
      </c>
      <c r="M5" t="s">
        <v>210</v>
      </c>
      <c r="N5" t="s">
        <v>244</v>
      </c>
      <c r="O5" t="s">
        <v>250</v>
      </c>
      <c r="P5" t="s">
        <v>199</v>
      </c>
      <c r="Q5" t="s">
        <v>241</v>
      </c>
      <c r="R5" t="s">
        <v>269</v>
      </c>
      <c r="S5" t="s">
        <v>127</v>
      </c>
      <c r="T5" t="s">
        <v>206</v>
      </c>
    </row>
    <row r="6">
      <c r="K6" t="s">
        <v>221</v>
      </c>
      <c r="L6" t="s">
        <v>229</v>
      </c>
      <c r="M6" t="s">
        <v>124</v>
      </c>
      <c r="N6" t="s">
        <v>209</v>
      </c>
      <c r="O6" t="s">
        <v>228</v>
      </c>
      <c r="P6" t="s">
        <v>265</v>
      </c>
      <c r="Q6" t="s">
        <v>173</v>
      </c>
      <c r="R6" t="s">
        <v>38</v>
      </c>
      <c r="S6" t="s">
        <v>63</v>
      </c>
      <c r="T6" t="s">
        <v>245</v>
      </c>
    </row>
    <row r="7">
      <c r="K7" t="s">
        <v>263</v>
      </c>
      <c r="L7" t="s">
        <v>164</v>
      </c>
      <c r="M7" t="s">
        <v>192</v>
      </c>
      <c r="N7" t="s">
        <v>178</v>
      </c>
      <c r="O7" t="s">
        <v>201</v>
      </c>
      <c r="P7" t="s">
        <v>238</v>
      </c>
      <c r="Q7" t="s">
        <v>258</v>
      </c>
      <c r="R7" t="s">
        <v>247</v>
      </c>
      <c r="S7" t="s">
        <v>196</v>
      </c>
      <c r="T7" t="s">
        <v>232</v>
      </c>
    </row>
    <row r="8">
      <c r="K8" t="s">
        <v>139</v>
      </c>
      <c r="L8" t="s">
        <v>79</v>
      </c>
      <c r="M8" t="s">
        <v>74</v>
      </c>
      <c r="N8" t="s">
        <v>116</v>
      </c>
      <c r="O8" t="s">
        <v>78</v>
      </c>
      <c r="P8" t="s">
        <v>75</v>
      </c>
      <c r="Q8" t="s">
        <v>88</v>
      </c>
      <c r="R8" t="s">
        <v>193</v>
      </c>
      <c r="S8" t="s">
        <v>219</v>
      </c>
      <c r="T8" t="s">
        <v>262</v>
      </c>
    </row>
    <row r="9">
      <c r="K9" t="s">
        <v>81</v>
      </c>
      <c r="L9" t="s">
        <v>268</v>
      </c>
      <c r="M9" t="s">
        <v>179</v>
      </c>
      <c r="N9" t="s">
        <v>80</v>
      </c>
      <c r="O9" t="s">
        <v>194</v>
      </c>
      <c r="P9" t="s">
        <v>240</v>
      </c>
      <c r="Q9" t="s">
        <v>190</v>
      </c>
      <c r="R9" t="s">
        <v>109</v>
      </c>
      <c r="S9" t="s">
        <v>249</v>
      </c>
      <c r="T9" t="s">
        <v>111</v>
      </c>
    </row>
    <row r="10">
      <c r="K10" t="s">
        <v>182</v>
      </c>
      <c r="L10" t="s">
        <v>216</v>
      </c>
      <c r="M10" t="s">
        <v>267</v>
      </c>
      <c r="N10" t="s">
        <v>261</v>
      </c>
      <c r="O10" t="s">
        <v>215</v>
      </c>
      <c r="P10" t="s">
        <v>117</v>
      </c>
      <c r="Q10" t="s">
        <v>129</v>
      </c>
      <c r="R10" t="s">
        <v>204</v>
      </c>
      <c r="S10" t="s">
        <v>237</v>
      </c>
      <c r="T10" t="s">
        <v>270</v>
      </c>
    </row>
    <row r="11">
      <c r="K11" t="s">
        <v>207</v>
      </c>
      <c r="L11" t="s">
        <v>256</v>
      </c>
      <c r="M11" t="s">
        <v>223</v>
      </c>
      <c r="N11" t="s">
        <v>200</v>
      </c>
      <c r="O11" t="s">
        <v>123</v>
      </c>
      <c r="P11" t="s">
        <v>214</v>
      </c>
      <c r="Q11" t="s">
        <v>202</v>
      </c>
      <c r="R11" t="s">
        <v>231</v>
      </c>
      <c r="S11" t="s">
        <v>225</v>
      </c>
      <c r="T11" t="s">
        <v>205</v>
      </c>
    </row>
    <row r="12">
      <c r="K12" t="s">
        <v>271</v>
      </c>
      <c r="L12" t="s">
        <v>130</v>
      </c>
      <c r="M12" t="s">
        <v>239</v>
      </c>
      <c r="N12" t="s">
        <v>135</v>
      </c>
      <c r="P12" t="s">
        <v>120</v>
      </c>
      <c r="Q12" t="s">
        <v>273</v>
      </c>
      <c r="R12" t="s">
        <v>180</v>
      </c>
      <c r="S12" t="s">
        <v>184</v>
      </c>
      <c r="T12" t="s">
        <v>197</v>
      </c>
    </row>
    <row r="13">
      <c r="K13" t="s">
        <v>198</v>
      </c>
      <c r="L13" t="s">
        <v>275</v>
      </c>
      <c r="M13" t="s">
        <v>188</v>
      </c>
      <c r="N13" t="s">
        <v>222</v>
      </c>
      <c r="P13" t="s">
        <v>272</v>
      </c>
      <c r="Q13" t="s">
        <v>183</v>
      </c>
      <c r="R13" t="s">
        <v>259</v>
      </c>
      <c r="S13" t="s">
        <v>233</v>
      </c>
      <c r="T13" t="s">
        <v>126</v>
      </c>
    </row>
    <row r="14">
      <c r="K14" t="s">
        <v>253</v>
      </c>
      <c r="L14" t="s">
        <v>113</v>
      </c>
      <c r="M14" t="s">
        <v>257</v>
      </c>
      <c r="N14" t="s">
        <v>255</v>
      </c>
      <c r="S14" t="s">
        <v>264</v>
      </c>
      <c r="T14" t="s">
        <v>181</v>
      </c>
    </row>
    <row r="15">
      <c r="K15" t="s">
        <v>252</v>
      </c>
      <c r="L15" t="s">
        <v>208</v>
      </c>
      <c r="M15" t="s">
        <v>276</v>
      </c>
      <c r="N15" t="s">
        <v>185</v>
      </c>
      <c r="S15" t="s">
        <v>277</v>
      </c>
      <c r="T15" t="s">
        <v>175</v>
      </c>
    </row>
    <row r="16">
      <c r="L16" t="s">
        <v>128</v>
      </c>
    </row>
  </sheetData>
  <conditionalFormatting sqref="A2:J516">
    <cfRule type="containsBlanks" dxfId="7" priority="1">
      <formula>LEN(TRIM(A2))=0</formula>
    </cfRule>
  </conditionalFormatting>
  <conditionalFormatting sqref="A2:J516">
    <cfRule type="expression" dxfId="8" priority="2">
      <formula>iserror(match(A2,K:K,0))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31</v>
      </c>
      <c r="B1" s="23" t="s">
        <v>421</v>
      </c>
    </row>
    <row r="2">
      <c r="A2" t="s">
        <v>301</v>
      </c>
      <c r="B2" s="23" t="s">
        <v>422</v>
      </c>
    </row>
    <row r="3">
      <c r="A3" t="s">
        <v>296</v>
      </c>
      <c r="B3" s="23" t="s">
        <v>422</v>
      </c>
    </row>
    <row r="4">
      <c r="A4" t="s">
        <v>282</v>
      </c>
      <c r="B4" s="23" t="s">
        <v>422</v>
      </c>
    </row>
    <row r="5">
      <c r="A5" t="s">
        <v>354</v>
      </c>
      <c r="B5" s="23" t="s">
        <v>422</v>
      </c>
    </row>
    <row r="6">
      <c r="A6" t="s">
        <v>292</v>
      </c>
      <c r="B6" s="23" t="s">
        <v>422</v>
      </c>
    </row>
    <row r="7">
      <c r="A7" t="s">
        <v>407</v>
      </c>
      <c r="B7" s="23" t="s">
        <v>423</v>
      </c>
    </row>
    <row r="8">
      <c r="A8" t="s">
        <v>351</v>
      </c>
      <c r="B8" s="23" t="s">
        <v>423</v>
      </c>
    </row>
    <row r="9">
      <c r="A9" t="s">
        <v>352</v>
      </c>
      <c r="B9" s="23" t="s">
        <v>423</v>
      </c>
    </row>
    <row r="10">
      <c r="A10" t="s">
        <v>353</v>
      </c>
      <c r="B10" s="23" t="s">
        <v>423</v>
      </c>
    </row>
    <row r="11">
      <c r="A11" t="s">
        <v>355</v>
      </c>
      <c r="B11" s="23" t="s">
        <v>423</v>
      </c>
    </row>
    <row r="12">
      <c r="A12" s="23" t="s">
        <v>424</v>
      </c>
      <c r="B12" s="23" t="s">
        <v>423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9" width="5.88"/>
    <col customWidth="1" min="10" max="11" width="7.13"/>
    <col customWidth="1" min="12" max="12" width="7.88"/>
    <col customWidth="1" min="13" max="15" width="5.88"/>
  </cols>
  <sheetData>
    <row r="1">
      <c r="A1" s="182" t="s">
        <v>31</v>
      </c>
      <c r="B1" s="183" t="s">
        <v>425</v>
      </c>
      <c r="C1" s="184" t="str">
        <f>'Picks by Player'!A1</f>
        <v>Nick G.</v>
      </c>
      <c r="D1" s="184" t="str">
        <f>'Picks by Player'!C1</f>
        <v>Janice/Mike</v>
      </c>
      <c r="E1" s="184" t="str">
        <f>'Picks by Player'!E1</f>
        <v>Nick A.</v>
      </c>
      <c r="F1" s="184" t="str">
        <f>'Picks by Player'!G1</f>
        <v>DavEmily</v>
      </c>
      <c r="G1" s="184" t="str">
        <f>'Picks by Player'!I1</f>
        <v>Vu</v>
      </c>
      <c r="H1" s="184" t="str">
        <f>'Picks by Player'!K1</f>
        <v>Dan</v>
      </c>
      <c r="I1" s="184" t="str">
        <f>'Picks by Player'!M1</f>
        <v>Josh</v>
      </c>
      <c r="J1" s="184" t="str">
        <f>'Picks by Player'!O1</f>
        <v>Masa</v>
      </c>
      <c r="K1" s="184" t="str">
        <f>'Picks by Player'!Q1</f>
        <v>Nico</v>
      </c>
      <c r="L1" s="184" t="str">
        <f>'Picks by Player'!S1</f>
        <v>Brad</v>
      </c>
      <c r="M1" s="184" t="str">
        <f>'Picks by Player'!U1</f>
        <v>Jeannine</v>
      </c>
      <c r="N1" s="184" t="str">
        <f>'Picks by Player'!W1</f>
        <v>Gary</v>
      </c>
      <c r="O1" s="182" t="str">
        <f>'Picks by Player'!Y1</f>
        <v>Justin</v>
      </c>
    </row>
    <row r="2">
      <c r="A2" t="s">
        <v>407</v>
      </c>
      <c r="B2" s="87">
        <f>COUNTIF(DraftTracker!E:E,A2)</f>
        <v>13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  <c r="M2" t="str">
        <f>IFERROR(__xludf.DUMMYFUNCTION("filter($A2:$A11,(iserror(match($A2:$A11,'Picks by Player'!U3:U12,0))))"),"#N/A")</f>
        <v>#N/A</v>
      </c>
      <c r="N2" t="str">
        <f>IFERROR(__xludf.DUMMYFUNCTION("filter($A2:$A11,(iserror(match($A2:$A11,'Picks by Player'!W3:W12,0))))"),"#N/A")</f>
        <v>#N/A</v>
      </c>
      <c r="O2" t="str">
        <f>IFERROR(__xludf.DUMMYFUNCTION("filter($A2:$A11,(iserror(match($A2:$A11,'Picks by Player'!Y3:Y12,0))))"),"#N/A")</f>
        <v>#N/A</v>
      </c>
    </row>
    <row r="3">
      <c r="A3" t="s">
        <v>301</v>
      </c>
      <c r="B3" s="87">
        <f>COUNTIF(DraftTracker!E:E,A3)</f>
        <v>14</v>
      </c>
    </row>
    <row r="4">
      <c r="A4" t="s">
        <v>296</v>
      </c>
      <c r="B4" s="87">
        <f>COUNTIF(DraftTracker!E:E,A4)</f>
        <v>14</v>
      </c>
    </row>
    <row r="5">
      <c r="A5" t="s">
        <v>282</v>
      </c>
      <c r="B5" s="87">
        <f>COUNTIF(DraftTracker!E:E,A5)</f>
        <v>13</v>
      </c>
    </row>
    <row r="6">
      <c r="A6" t="s">
        <v>351</v>
      </c>
      <c r="B6" s="87">
        <f>COUNTIF(DraftTracker!E:E,A6)</f>
        <v>13</v>
      </c>
    </row>
    <row r="7">
      <c r="A7" t="s">
        <v>352</v>
      </c>
      <c r="B7" s="87">
        <f>COUNTIF(DraftTracker!E:E,A7)</f>
        <v>13</v>
      </c>
    </row>
    <row r="8">
      <c r="A8" t="s">
        <v>353</v>
      </c>
      <c r="B8" s="87">
        <f>COUNTIF(DraftTracker!E:E,A8)</f>
        <v>13</v>
      </c>
    </row>
    <row r="9">
      <c r="A9" t="s">
        <v>354</v>
      </c>
      <c r="B9" s="87">
        <f>COUNTIF(DraftTracker!E:E,A9)</f>
        <v>13</v>
      </c>
    </row>
    <row r="10">
      <c r="A10" t="s">
        <v>292</v>
      </c>
      <c r="B10" s="87">
        <f>COUNTIF(DraftTracker!E:E,A10)</f>
        <v>14</v>
      </c>
    </row>
    <row r="11">
      <c r="A11" t="s">
        <v>355</v>
      </c>
      <c r="B11" s="87">
        <f>COUNTIF(DraftTracker!E:E,A11)</f>
        <v>13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2.75"/>
    <col customWidth="1" min="24" max="24" width="6.13"/>
    <col customWidth="1" min="25" max="27" width="11.38"/>
  </cols>
  <sheetData>
    <row r="1">
      <c r="A1" s="185"/>
      <c r="B1" s="152" t="str">
        <f>'Picks by Player'!A1</f>
        <v>Nick G.</v>
      </c>
      <c r="C1" s="153"/>
      <c r="D1" s="152" t="str">
        <f>'Picks by Player'!C1</f>
        <v>Janice/Mike</v>
      </c>
      <c r="E1" s="153"/>
      <c r="F1" s="152" t="str">
        <f>'Picks by Player'!E1</f>
        <v>Nick A.</v>
      </c>
      <c r="G1" s="153"/>
      <c r="H1" s="152" t="str">
        <f>'Picks by Player'!G1</f>
        <v>DavEmily</v>
      </c>
      <c r="I1" s="153"/>
      <c r="J1" s="152" t="str">
        <f>'Picks by Player'!I1</f>
        <v>Vu</v>
      </c>
      <c r="K1" s="153"/>
      <c r="L1" s="152" t="str">
        <f>'Picks by Player'!K1</f>
        <v>Dan</v>
      </c>
      <c r="M1" s="153"/>
      <c r="N1" s="152" t="str">
        <f>'Picks by Player'!M1</f>
        <v>Josh</v>
      </c>
      <c r="O1" s="153"/>
      <c r="P1" s="152" t="str">
        <f>'Picks by Player'!O1</f>
        <v>Masa</v>
      </c>
      <c r="Q1" s="153"/>
      <c r="R1" s="152" t="str">
        <f>'Picks by Player'!Q1</f>
        <v>Nico</v>
      </c>
      <c r="S1" s="153"/>
      <c r="T1" s="152" t="str">
        <f>'Picks by Player'!S1</f>
        <v>Brad</v>
      </c>
      <c r="U1" s="153"/>
      <c r="V1" s="152" t="str">
        <f>'Picks by Player'!U1</f>
        <v>Jeannine</v>
      </c>
      <c r="W1" s="153"/>
      <c r="X1" s="152" t="str">
        <f>'Picks by Player'!W1</f>
        <v>Gary</v>
      </c>
      <c r="Y1" s="153"/>
      <c r="Z1" s="156" t="str">
        <f>'Picks by Player'!Y1</f>
        <v>Justin</v>
      </c>
      <c r="AA1" s="153"/>
    </row>
    <row r="2">
      <c r="A2" s="186"/>
      <c r="B2" s="157" t="s">
        <v>31</v>
      </c>
      <c r="C2" s="158" t="s">
        <v>3</v>
      </c>
      <c r="D2" s="160" t="s">
        <v>31</v>
      </c>
      <c r="E2" s="159" t="s">
        <v>3</v>
      </c>
      <c r="F2" s="160" t="s">
        <v>31</v>
      </c>
      <c r="G2" s="159" t="s">
        <v>3</v>
      </c>
      <c r="H2" s="160" t="s">
        <v>31</v>
      </c>
      <c r="I2" s="159" t="s">
        <v>3</v>
      </c>
      <c r="J2" s="160" t="s">
        <v>31</v>
      </c>
      <c r="K2" s="159" t="s">
        <v>3</v>
      </c>
      <c r="L2" s="160" t="s">
        <v>31</v>
      </c>
      <c r="M2" s="159" t="s">
        <v>3</v>
      </c>
      <c r="N2" s="160" t="s">
        <v>31</v>
      </c>
      <c r="O2" s="159" t="s">
        <v>3</v>
      </c>
      <c r="P2" s="160" t="s">
        <v>31</v>
      </c>
      <c r="Q2" s="159" t="s">
        <v>3</v>
      </c>
      <c r="R2" s="160" t="s">
        <v>31</v>
      </c>
      <c r="S2" s="159" t="s">
        <v>3</v>
      </c>
      <c r="T2" s="160" t="s">
        <v>31</v>
      </c>
      <c r="U2" s="159" t="s">
        <v>3</v>
      </c>
      <c r="V2" s="160" t="s">
        <v>31</v>
      </c>
      <c r="W2" s="159" t="s">
        <v>3</v>
      </c>
      <c r="X2" s="160" t="s">
        <v>31</v>
      </c>
      <c r="Y2" s="159" t="s">
        <v>3</v>
      </c>
      <c r="Z2" s="160" t="s">
        <v>31</v>
      </c>
      <c r="AA2" s="159" t="s">
        <v>3</v>
      </c>
    </row>
    <row r="3">
      <c r="A3" t="s">
        <v>407</v>
      </c>
      <c r="B3" s="187" t="str">
        <f t="shared" ref="B3:B12" si="1">if(C3="", "", $A3)</f>
        <v>AAC</v>
      </c>
      <c r="C3" s="188" t="str">
        <f>if(iserror(VLOOKUP($A3,'Picks by Player'!A$3:B$12,2,0)),"", VLOOKUP($A3,'Picks by Player'!A$3:B$12,2,0))</f>
        <v>Temple</v>
      </c>
      <c r="D3" s="187" t="str">
        <f t="shared" ref="D3:D12" si="2">if(E3="", "", $A3)</f>
        <v>AAC</v>
      </c>
      <c r="E3" s="188" t="str">
        <f>if(iserror(VLOOKUP($A3,'Picks by Player'!C$3:D$12,2,0)),"", VLOOKUP($A3,'Picks by Player'!C$3:D$12,2,0))</f>
        <v>Memphis</v>
      </c>
      <c r="F3" s="187" t="str">
        <f t="shared" ref="F3:F12" si="3">if(G3="", "", $A3)</f>
        <v>AAC</v>
      </c>
      <c r="G3" s="188" t="str">
        <f>if(iserror(VLOOKUP($A3,'Picks by Player'!E$3:F$12,2,0)),"", VLOOKUP($A3,'Picks by Player'!E$3:F$12,2,0))</f>
        <v>Florida Atlantic</v>
      </c>
      <c r="H3" s="187" t="str">
        <f t="shared" ref="H3:H12" si="4">if(I3="", "", $A3)</f>
        <v>AAC</v>
      </c>
      <c r="I3" s="188" t="str">
        <f>if(iserror(VLOOKUP($A3,'Picks by Player'!G$3:H$12,2,0)),"", VLOOKUP($A3,'Picks by Player'!G$3:H$12,2,0))</f>
        <v>SMU</v>
      </c>
      <c r="J3" s="187" t="str">
        <f t="shared" ref="J3:J12" si="5">if(K3="", "", $A3)</f>
        <v>AAC</v>
      </c>
      <c r="K3" s="188" t="str">
        <f>if(iserror(VLOOKUP($A3,'Picks by Player'!I$3:J$12,2,0)),"", VLOOKUP($A3,'Picks by Player'!I$3:J$12,2,0))</f>
        <v>Tulane</v>
      </c>
      <c r="L3" s="187" t="str">
        <f t="shared" ref="L3:L12" si="6">if(M3="", "", $A3)</f>
        <v>AAC</v>
      </c>
      <c r="M3" s="188" t="str">
        <f>if(iserror(VLOOKUP($A3,'Picks by Player'!K$3:L$12,2,0)),"", VLOOKUP($A3,'Picks by Player'!K$3:L$12,2,0))</f>
        <v>UTSA</v>
      </c>
      <c r="N3" s="187" t="str">
        <f t="shared" ref="N3:N12" si="7">if(O3="", "", $A3)</f>
        <v>AAC</v>
      </c>
      <c r="O3" s="188" t="str">
        <f>if(iserror(VLOOKUP($A3,'Picks by Player'!M$3:N$12,2,0)),"", VLOOKUP($A3,'Picks by Player'!M$3:N$12,2,0))</f>
        <v>Tulsa</v>
      </c>
      <c r="P3" s="187" t="str">
        <f t="shared" ref="P3:P12" si="8">if(Q3="", "", $A3)</f>
        <v>AAC</v>
      </c>
      <c r="Q3" s="188" t="str">
        <f>if(iserror(VLOOKUP($A3,'Picks by Player'!O$3:P$12,2,0)),"", VLOOKUP($A3,'Picks by Player'!O$3:P$12,2,0))</f>
        <v>North Texas</v>
      </c>
      <c r="R3" s="187" t="str">
        <f t="shared" ref="R3:R12" si="9">if(S3="", "", $A3)</f>
        <v>AAC</v>
      </c>
      <c r="S3" s="188" t="str">
        <f>if(iserror(VLOOKUP($A3,'Picks by Player'!Q$3:R$12,2,0)),"", VLOOKUP($A3,'Picks by Player'!Q$3:R$12,2,0))</f>
        <v>Navy</v>
      </c>
      <c r="T3" s="189" t="str">
        <f t="shared" ref="T3:T12" si="10">if(U3="", "", $A3)</f>
        <v>AAC</v>
      </c>
      <c r="U3" s="188" t="str">
        <f>if(iserror(VLOOKUP($A3,'Picks by Player'!S$3:T$12,2,0)),"", VLOOKUP($A3,'Picks by Player'!S$3:T$12,2,0))</f>
        <v>East Carolina</v>
      </c>
      <c r="V3" s="187" t="str">
        <f t="shared" ref="V3:V12" si="11">if(W3="", "", $A3)</f>
        <v>AAC</v>
      </c>
      <c r="W3" s="188" t="str">
        <f>if(iserror(VLOOKUP($A3,'Picks by Player'!U$3:V$12,2,0)),"", VLOOKUP($A3,'Picks by Player'!U$3:V$12,2,0))</f>
        <v>South Florida</v>
      </c>
      <c r="X3" s="187" t="str">
        <f t="shared" ref="X3:X12" si="12">if(Y3="", "", $A3)</f>
        <v>AAC</v>
      </c>
      <c r="Y3" s="188" t="str">
        <f>if(iserror(VLOOKUP($A3,'Picks by Player'!W$3:X$12,2,0)),"", VLOOKUP($A3,'Picks by Player'!W$3:X$12,2,0))</f>
        <v>Rice</v>
      </c>
      <c r="Z3" s="187" t="str">
        <f t="shared" ref="Z3:Z12" si="13">if(AA3="", "", $A3)</f>
        <v>AAC</v>
      </c>
      <c r="AA3" s="188" t="str">
        <f>if(iserror(VLOOKUP($A3,'Picks by Player'!Y$3:Z$12,2,0)),"", VLOOKUP($A3,'Picks by Player'!Y$3:Z$12,2,0))</f>
        <v>UAB</v>
      </c>
    </row>
    <row r="4">
      <c r="A4" t="s">
        <v>301</v>
      </c>
      <c r="B4" s="190" t="str">
        <f t="shared" si="1"/>
        <v>ACC</v>
      </c>
      <c r="C4" s="191" t="str">
        <f>if(iserror(VLOOKUP($A4,'Picks by Player'!A$3:B$12,2,0)),"", VLOOKUP($A4,'Picks by Player'!A$3:B$12,2,0))</f>
        <v>Miami</v>
      </c>
      <c r="D4" s="190" t="str">
        <f t="shared" si="2"/>
        <v>ACC</v>
      </c>
      <c r="E4" s="191" t="str">
        <f>if(iserror(VLOOKUP($A4,'Picks by Player'!C$3:D$12,2,0)),"", VLOOKUP($A4,'Picks by Player'!C$3:D$12,2,0))</f>
        <v>Virginia Tech</v>
      </c>
      <c r="F4" s="190" t="str">
        <f t="shared" si="3"/>
        <v>ACC</v>
      </c>
      <c r="G4" s="191" t="str">
        <f>if(iserror(VLOOKUP($A4,'Picks by Player'!E$3:F$12,2,0)),"", VLOOKUP($A4,'Picks by Player'!E$3:F$12,2,0))</f>
        <v>Syracuse</v>
      </c>
      <c r="H4" s="190" t="str">
        <f t="shared" si="4"/>
        <v>ACC</v>
      </c>
      <c r="I4" s="191" t="str">
        <f>if(iserror(VLOOKUP($A4,'Picks by Player'!G$3:H$12,2,0)),"", VLOOKUP($A4,'Picks by Player'!G$3:H$12,2,0))</f>
        <v>Louisville</v>
      </c>
      <c r="J4" s="190" t="str">
        <f t="shared" si="5"/>
        <v>ACC</v>
      </c>
      <c r="K4" s="191" t="str">
        <f>if(iserror(VLOOKUP($A4,'Picks by Player'!I$3:J$12,2,0)),"", VLOOKUP($A4,'Picks by Player'!I$3:J$12,2,0))</f>
        <v>Duke</v>
      </c>
      <c r="L4" s="190" t="str">
        <f t="shared" si="6"/>
        <v>ACC</v>
      </c>
      <c r="M4" s="191" t="str">
        <f>if(iserror(VLOOKUP($A4,'Picks by Player'!K$3:L$12,2,0)),"", VLOOKUP($A4,'Picks by Player'!K$3:L$12,2,0))</f>
        <v>Clemson</v>
      </c>
      <c r="N4" s="190" t="str">
        <f t="shared" si="7"/>
        <v>ACC</v>
      </c>
      <c r="O4" s="191" t="str">
        <f>if(iserror(VLOOKUP($A4,'Picks by Player'!M$3:N$12,2,0)),"", VLOOKUP($A4,'Picks by Player'!M$3:N$12,2,0))</f>
        <v>Wake Forest</v>
      </c>
      <c r="P4" s="190" t="str">
        <f t="shared" si="8"/>
        <v>ACC</v>
      </c>
      <c r="Q4" s="191" t="str">
        <f>if(iserror(VLOOKUP($A4,'Picks by Player'!O$3:P$12,2,0)),"", VLOOKUP($A4,'Picks by Player'!O$3:P$12,2,0))</f>
        <v>North Carolina</v>
      </c>
      <c r="R4" t="str">
        <f t="shared" si="9"/>
        <v>ACC</v>
      </c>
      <c r="S4" t="str">
        <f>if(iserror(VLOOKUP($A4,'Picks by Player'!Q$3:R$12,2,0)),"", VLOOKUP($A4,'Picks by Player'!Q$3:R$12,2,0))</f>
        <v>Georgia Tech</v>
      </c>
      <c r="T4" s="192" t="str">
        <f t="shared" si="10"/>
        <v>ACC</v>
      </c>
      <c r="U4" t="str">
        <f>if(iserror(VLOOKUP($A4,'Picks by Player'!S$3:T$12,2,0)),"", VLOOKUP($A4,'Picks by Player'!S$3:T$12,2,0))</f>
        <v>Boston College</v>
      </c>
      <c r="V4" s="190" t="str">
        <f t="shared" si="11"/>
        <v>ACC</v>
      </c>
      <c r="W4" s="191" t="str">
        <f>if(iserror(VLOOKUP($A4,'Picks by Player'!U$3:V$12,2,0)),"", VLOOKUP($A4,'Picks by Player'!U$3:V$12,2,0))</f>
        <v>Pittsburgh</v>
      </c>
      <c r="X4" s="190" t="str">
        <f t="shared" si="12"/>
        <v>ACC</v>
      </c>
      <c r="Y4" s="191" t="str">
        <f>if(iserror(VLOOKUP($A4,'Picks by Player'!W$3:X$12,2,0)),"", VLOOKUP($A4,'Picks by Player'!W$3:X$12,2,0))</f>
        <v>Florida State</v>
      </c>
      <c r="Z4" s="190" t="str">
        <f t="shared" si="13"/>
        <v>ACC</v>
      </c>
      <c r="AA4" s="191" t="str">
        <f>if(iserror(VLOOKUP($A4,'Picks by Player'!Y$3:Z$12,2,0)),"", VLOOKUP($A4,'Picks by Player'!Y$3:Z$12,2,0))</f>
        <v>NC State</v>
      </c>
    </row>
    <row r="5">
      <c r="A5" t="s">
        <v>296</v>
      </c>
      <c r="B5" s="190" t="str">
        <f t="shared" si="1"/>
        <v>Big 12</v>
      </c>
      <c r="C5" s="191" t="str">
        <f>if(iserror(VLOOKUP($A5,'Picks by Player'!A$3:B$12,2,0)),"", VLOOKUP($A5,'Picks by Player'!A$3:B$12,2,0))</f>
        <v>Kansas State</v>
      </c>
      <c r="D5" s="190" t="str">
        <f t="shared" si="2"/>
        <v>Big 12</v>
      </c>
      <c r="E5" s="191" t="str">
        <f>if(iserror(VLOOKUP($A5,'Picks by Player'!C$3:D$12,2,0)),"", VLOOKUP($A5,'Picks by Player'!C$3:D$12,2,0))</f>
        <v>BYU</v>
      </c>
      <c r="F5" s="190" t="str">
        <f t="shared" si="3"/>
        <v>Big 12</v>
      </c>
      <c r="G5" s="191" t="str">
        <f>if(iserror(VLOOKUP($A5,'Picks by Player'!E$3:F$12,2,0)),"", VLOOKUP($A5,'Picks by Player'!E$3:F$12,2,0))</f>
        <v>Iowa State</v>
      </c>
      <c r="H5" s="190" t="str">
        <f t="shared" si="4"/>
        <v>Big 12</v>
      </c>
      <c r="I5" s="191" t="str">
        <f>if(iserror(VLOOKUP($A5,'Picks by Player'!G$3:H$12,2,0)),"", VLOOKUP($A5,'Picks by Player'!G$3:H$12,2,0))</f>
        <v>Oklahoma</v>
      </c>
      <c r="J5" s="190" t="str">
        <f t="shared" si="5"/>
        <v>Big 12</v>
      </c>
      <c r="K5" s="191" t="str">
        <f>if(iserror(VLOOKUP($A5,'Picks by Player'!I$3:J$12,2,0)),"", VLOOKUP($A5,'Picks by Player'!I$3:J$12,2,0))</f>
        <v>Texas Tech</v>
      </c>
      <c r="L5" s="190" t="str">
        <f t="shared" si="6"/>
        <v>Big 12</v>
      </c>
      <c r="M5" s="191" t="str">
        <f>if(iserror(VLOOKUP($A5,'Picks by Player'!K$3:L$12,2,0)),"", VLOOKUP($A5,'Picks by Player'!K$3:L$12,2,0))</f>
        <v>Kansas</v>
      </c>
      <c r="N5" s="190" t="str">
        <f t="shared" si="7"/>
        <v>Big 12</v>
      </c>
      <c r="O5" s="191" t="str">
        <f>if(iserror(VLOOKUP($A5,'Picks by Player'!M$3:N$12,2,0)),"", VLOOKUP($A5,'Picks by Player'!M$3:N$12,2,0))</f>
        <v>Houston</v>
      </c>
      <c r="P5" s="190" t="str">
        <f t="shared" si="8"/>
        <v>Big 12</v>
      </c>
      <c r="Q5" s="191" t="str">
        <f>if(iserror(VLOOKUP($A5,'Picks by Player'!O$3:P$12,2,0)),"", VLOOKUP($A5,'Picks by Player'!O$3:P$12,2,0))</f>
        <v>TCU</v>
      </c>
      <c r="R5" t="str">
        <f t="shared" si="9"/>
        <v>Big 12</v>
      </c>
      <c r="S5" t="str">
        <f>if(iserror(VLOOKUP($A5,'Picks by Player'!Q$3:R$12,2,0)),"", VLOOKUP($A5,'Picks by Player'!Q$3:R$12,2,0))</f>
        <v>Baylor</v>
      </c>
      <c r="T5" s="192" t="str">
        <f t="shared" si="10"/>
        <v>Big 12</v>
      </c>
      <c r="U5" t="str">
        <f>if(iserror(VLOOKUP($A5,'Picks by Player'!S$3:T$12,2,0)),"", VLOOKUP($A5,'Picks by Player'!S$3:T$12,2,0))</f>
        <v>Cincinnati</v>
      </c>
      <c r="V5" s="190" t="str">
        <f t="shared" si="11"/>
        <v>Big 12</v>
      </c>
      <c r="W5" s="191" t="str">
        <f>if(iserror(VLOOKUP($A5,'Picks by Player'!U$3:V$12,2,0)),"", VLOOKUP($A5,'Picks by Player'!U$3:V$12,2,0))</f>
        <v>UCF</v>
      </c>
      <c r="X5" s="190" t="str">
        <f t="shared" si="12"/>
        <v>Big 12</v>
      </c>
      <c r="Y5" s="191" t="str">
        <f>if(iserror(VLOOKUP($A5,'Picks by Player'!W$3:X$12,2,0)),"", VLOOKUP($A5,'Picks by Player'!W$3:X$12,2,0))</f>
        <v>Texas</v>
      </c>
      <c r="Z5" s="190" t="str">
        <f t="shared" si="13"/>
        <v>Big 12</v>
      </c>
      <c r="AA5" s="191" t="str">
        <f>if(iserror(VLOOKUP($A5,'Picks by Player'!Y$3:Z$12,2,0)),"", VLOOKUP($A5,'Picks by Player'!Y$3:Z$12,2,0))</f>
        <v>Oklahoma State</v>
      </c>
    </row>
    <row r="6">
      <c r="A6" t="s">
        <v>282</v>
      </c>
      <c r="B6" s="190" t="str">
        <f t="shared" si="1"/>
        <v>Big Ten</v>
      </c>
      <c r="C6" s="191" t="str">
        <f>if(iserror(VLOOKUP($A6,'Picks by Player'!A$3:B$12,2,0)),"", VLOOKUP($A6,'Picks by Player'!A$3:B$12,2,0))</f>
        <v>Nebraska</v>
      </c>
      <c r="D6" s="190" t="str">
        <f t="shared" si="2"/>
        <v>Big Ten</v>
      </c>
      <c r="E6" s="191" t="str">
        <f>if(iserror(VLOOKUP($A6,'Picks by Player'!C$3:D$12,2,0)),"", VLOOKUP($A6,'Picks by Player'!C$3:D$12,2,0))</f>
        <v>Minnesota</v>
      </c>
      <c r="F6" s="190" t="str">
        <f t="shared" si="3"/>
        <v>Big Ten</v>
      </c>
      <c r="G6" s="191" t="str">
        <f>if(iserror(VLOOKUP($A6,'Picks by Player'!E$3:F$12,2,0)),"", VLOOKUP($A6,'Picks by Player'!E$3:F$12,2,0))</f>
        <v>Penn State</v>
      </c>
      <c r="H6" s="190" t="str">
        <f t="shared" si="4"/>
        <v>Big Ten</v>
      </c>
      <c r="I6" s="191" t="str">
        <f>if(iserror(VLOOKUP($A6,'Picks by Player'!G$3:H$12,2,0)),"", VLOOKUP($A6,'Picks by Player'!G$3:H$12,2,0))</f>
        <v>Michigan State</v>
      </c>
      <c r="J6" s="190" t="str">
        <f t="shared" si="5"/>
        <v>Big Ten</v>
      </c>
      <c r="K6" s="191" t="str">
        <f>if(iserror(VLOOKUP($A6,'Picks by Player'!I$3:J$12,2,0)),"", VLOOKUP($A6,'Picks by Player'!I$3:J$12,2,0))</f>
        <v>Illinois</v>
      </c>
      <c r="L6" s="190" t="str">
        <f t="shared" si="6"/>
        <v>Big Ten</v>
      </c>
      <c r="M6" s="191" t="str">
        <f>if(iserror(VLOOKUP($A6,'Picks by Player'!K$3:L$12,2,0)),"", VLOOKUP($A6,'Picks by Player'!K$3:L$12,2,0))</f>
        <v>Indiana</v>
      </c>
      <c r="N6" s="190" t="str">
        <f t="shared" si="7"/>
        <v>Big Ten</v>
      </c>
      <c r="O6" s="191" t="str">
        <f>if(iserror(VLOOKUP($A6,'Picks by Player'!M$3:N$12,2,0)),"", VLOOKUP($A6,'Picks by Player'!M$3:N$12,2,0))</f>
        <v>Ohio State</v>
      </c>
      <c r="P6" s="190" t="str">
        <f t="shared" si="8"/>
        <v>Big Ten</v>
      </c>
      <c r="Q6" s="191" t="str">
        <f>if(iserror(VLOOKUP($A6,'Picks by Player'!O$3:P$12,2,0)),"", VLOOKUP($A6,'Picks by Player'!O$3:P$12,2,0))</f>
        <v>Purdue</v>
      </c>
      <c r="R6" t="str">
        <f t="shared" si="9"/>
        <v>Big Ten</v>
      </c>
      <c r="S6" t="str">
        <f>if(iserror(VLOOKUP($A6,'Picks by Player'!Q$3:R$12,2,0)),"", VLOOKUP($A6,'Picks by Player'!Q$3:R$12,2,0))</f>
        <v>Michigan</v>
      </c>
      <c r="T6" s="192" t="str">
        <f t="shared" si="10"/>
        <v>Big Ten</v>
      </c>
      <c r="U6" t="str">
        <f>if(iserror(VLOOKUP($A6,'Picks by Player'!S$3:T$12,2,0)),"", VLOOKUP($A6,'Picks by Player'!S$3:T$12,2,0))</f>
        <v>Maryland</v>
      </c>
      <c r="V6" s="190" t="str">
        <f t="shared" si="11"/>
        <v>Big Ten</v>
      </c>
      <c r="W6" s="191" t="str">
        <f>if(iserror(VLOOKUP($A6,'Picks by Player'!U$3:V$12,2,0)),"", VLOOKUP($A6,'Picks by Player'!U$3:V$12,2,0))</f>
        <v>Wisconsin</v>
      </c>
      <c r="X6" s="190" t="str">
        <f t="shared" si="12"/>
        <v>Big Ten</v>
      </c>
      <c r="Y6" s="191" t="str">
        <f>if(iserror(VLOOKUP($A6,'Picks by Player'!W$3:X$12,2,0)),"", VLOOKUP($A6,'Picks by Player'!W$3:X$12,2,0))</f>
        <v>Northwestern</v>
      </c>
      <c r="Z6" s="190" t="str">
        <f t="shared" si="13"/>
        <v>Big Ten</v>
      </c>
      <c r="AA6" s="191" t="str">
        <f>if(iserror(VLOOKUP($A6,'Picks by Player'!Y$3:Z$12,2,0)),"", VLOOKUP($A6,'Picks by Player'!Y$3:Z$12,2,0))</f>
        <v>Iowa</v>
      </c>
    </row>
    <row r="7">
      <c r="A7" t="s">
        <v>351</v>
      </c>
      <c r="B7" s="190" t="str">
        <f t="shared" si="1"/>
        <v>CUSA</v>
      </c>
      <c r="C7" s="191" t="str">
        <f>if(iserror(VLOOKUP($A7,'Picks by Player'!A$3:B$12,2,0)),"", VLOOKUP($A7,'Picks by Player'!A$3:B$12,2,0))</f>
        <v>Sam Houston</v>
      </c>
      <c r="D7" s="190" t="str">
        <f t="shared" si="2"/>
        <v>CUSA</v>
      </c>
      <c r="E7" s="191" t="str">
        <f>if(iserror(VLOOKUP($A7,'Picks by Player'!C$3:D$12,2,0)),"", VLOOKUP($A7,'Picks by Player'!C$3:D$12,2,0))</f>
        <v>Liberty</v>
      </c>
      <c r="F7" s="190" t="str">
        <f t="shared" si="3"/>
        <v>CUSA</v>
      </c>
      <c r="G7" s="191" t="str">
        <f>if(iserror(VLOOKUP($A7,'Picks by Player'!E$3:F$12,2,0)),"", VLOOKUP($A7,'Picks by Player'!E$3:F$12,2,0))</f>
        <v>Army</v>
      </c>
      <c r="H7" s="190" t="str">
        <f t="shared" si="4"/>
        <v>CUSA</v>
      </c>
      <c r="I7" s="191" t="str">
        <f>if(iserror(VLOOKUP($A7,'Picks by Player'!G$3:H$12,2,0)),"", VLOOKUP($A7,'Picks by Player'!G$3:H$12,2,0))</f>
        <v>UMASS</v>
      </c>
      <c r="J7" s="190" t="str">
        <f t="shared" si="5"/>
        <v>CUSA</v>
      </c>
      <c r="K7" s="191" t="str">
        <f>if(iserror(VLOOKUP($A7,'Picks by Player'!I$3:J$12,2,0)),"", VLOOKUP($A7,'Picks by Player'!I$3:J$12,2,0))</f>
        <v>Rutgers</v>
      </c>
      <c r="L7" s="190" t="str">
        <f t="shared" si="6"/>
        <v>CUSA</v>
      </c>
      <c r="M7" s="191" t="str">
        <f>if(iserror(VLOOKUP($A7,'Picks by Player'!K$3:L$12,2,0)),"", VLOOKUP($A7,'Picks by Player'!K$3:L$12,2,0))</f>
        <v>UTEP</v>
      </c>
      <c r="N7" s="190" t="str">
        <f t="shared" si="7"/>
        <v>CUSA</v>
      </c>
      <c r="O7" s="191" t="str">
        <f>if(iserror(VLOOKUP($A7,'Picks by Player'!M$3:N$12,2,0)),"", VLOOKUP($A7,'Picks by Player'!M$3:N$12,2,0))</f>
        <v>New Mexico State</v>
      </c>
      <c r="P7" s="190" t="str">
        <f t="shared" si="8"/>
        <v>CUSA</v>
      </c>
      <c r="Q7" s="191" t="str">
        <f>if(iserror(VLOOKUP($A7,'Picks by Player'!O$3:P$12,2,0)),"", VLOOKUP($A7,'Picks by Player'!O$3:P$12,2,0))</f>
        <v>Florida Intl</v>
      </c>
      <c r="R7" t="str">
        <f t="shared" si="9"/>
        <v>CUSA</v>
      </c>
      <c r="S7" t="str">
        <f>if(iserror(VLOOKUP($A7,'Picks by Player'!Q$3:R$12,2,0)),"", VLOOKUP($A7,'Picks by Player'!Q$3:R$12,2,0))</f>
        <v>UConn</v>
      </c>
      <c r="T7" s="192" t="str">
        <f t="shared" si="10"/>
        <v>CUSA</v>
      </c>
      <c r="U7" t="str">
        <f>if(iserror(VLOOKUP($A7,'Picks by Player'!S$3:T$12,2,0)),"", VLOOKUP($A7,'Picks by Player'!S$3:T$12,2,0))</f>
        <v>Western Kentucky</v>
      </c>
      <c r="V7" s="190" t="str">
        <f t="shared" si="11"/>
        <v>CUSA</v>
      </c>
      <c r="W7" s="191" t="str">
        <f>if(iserror(VLOOKUP($A7,'Picks by Player'!U$3:V$12,2,0)),"", VLOOKUP($A7,'Picks by Player'!U$3:V$12,2,0))</f>
        <v>Louisiana Tech</v>
      </c>
      <c r="X7" s="190" t="str">
        <f t="shared" si="12"/>
        <v>CUSA</v>
      </c>
      <c r="Y7" s="191" t="str">
        <f>if(iserror(VLOOKUP($A7,'Picks by Player'!W$3:X$12,2,0)),"", VLOOKUP($A7,'Picks by Player'!W$3:X$12,2,0))</f>
        <v>Jacksonville State</v>
      </c>
      <c r="Z7" s="190" t="str">
        <f t="shared" si="13"/>
        <v>CUSA</v>
      </c>
      <c r="AA7" s="191" t="str">
        <f>if(iserror(VLOOKUP($A7,'Picks by Player'!Y$3:Z$12,2,0)),"", VLOOKUP($A7,'Picks by Player'!Y$3:Z$12,2,0))</f>
        <v>Middle Tennessee</v>
      </c>
    </row>
    <row r="8">
      <c r="A8" t="s">
        <v>352</v>
      </c>
      <c r="B8" s="190" t="str">
        <f t="shared" si="1"/>
        <v>MAC</v>
      </c>
      <c r="C8" s="191" t="str">
        <f>if(iserror(VLOOKUP($A8,'Picks by Player'!A$3:B$12,2,0)),"", VLOOKUP($A8,'Picks by Player'!A$3:B$12,2,0))</f>
        <v>Kent State</v>
      </c>
      <c r="D8" s="190" t="str">
        <f t="shared" si="2"/>
        <v>MAC</v>
      </c>
      <c r="E8" s="191" t="str">
        <f>if(iserror(VLOOKUP($A8,'Picks by Player'!C$3:D$12,2,0)),"", VLOOKUP($A8,'Picks by Player'!C$3:D$12,2,0))</f>
        <v>Northern Illinois</v>
      </c>
      <c r="F8" s="190" t="str">
        <f t="shared" si="3"/>
        <v>MAC</v>
      </c>
      <c r="G8" s="191" t="str">
        <f>if(iserror(VLOOKUP($A8,'Picks by Player'!E$3:F$12,2,0)),"", VLOOKUP($A8,'Picks by Player'!E$3:F$12,2,0))</f>
        <v>Toledo</v>
      </c>
      <c r="H8" s="190" t="str">
        <f t="shared" si="4"/>
        <v>MAC</v>
      </c>
      <c r="I8" s="191" t="str">
        <f>if(iserror(VLOOKUP($A8,'Picks by Player'!G$3:H$12,2,0)),"", VLOOKUP($A8,'Picks by Player'!G$3:H$12,2,0))</f>
        <v>Ball State</v>
      </c>
      <c r="J8" s="190" t="str">
        <f t="shared" si="5"/>
        <v>MAC</v>
      </c>
      <c r="K8" s="191" t="str">
        <f>if(iserror(VLOOKUP($A8,'Picks by Player'!I$3:J$12,2,0)),"", VLOOKUP($A8,'Picks by Player'!I$3:J$12,2,0))</f>
        <v>Akron</v>
      </c>
      <c r="L8" s="190" t="str">
        <f t="shared" si="6"/>
        <v>MAC</v>
      </c>
      <c r="M8" s="191" t="str">
        <f>if(iserror(VLOOKUP($A8,'Picks by Player'!K$3:L$12,2,0)),"", VLOOKUP($A8,'Picks by Player'!K$3:L$12,2,0))</f>
        <v>Buffalo</v>
      </c>
      <c r="N8" s="190" t="str">
        <f t="shared" si="7"/>
        <v>MAC</v>
      </c>
      <c r="O8" s="191" t="str">
        <f>if(iserror(VLOOKUP($A8,'Picks by Player'!M$3:N$12,2,0)),"", VLOOKUP($A8,'Picks by Player'!M$3:N$12,2,0))</f>
        <v>Ohio</v>
      </c>
      <c r="P8" s="190" t="str">
        <f t="shared" si="8"/>
        <v>MAC</v>
      </c>
      <c r="Q8" s="191" t="str">
        <f>if(iserror(VLOOKUP($A8,'Picks by Player'!O$3:P$12,2,0)),"", VLOOKUP($A8,'Picks by Player'!O$3:P$12,2,0))</f>
        <v>Bowling Green</v>
      </c>
      <c r="R8" t="str">
        <f t="shared" si="9"/>
        <v>MAC</v>
      </c>
      <c r="S8" t="str">
        <f>if(iserror(VLOOKUP($A8,'Picks by Player'!Q$3:R$12,2,0)),"", VLOOKUP($A8,'Picks by Player'!Q$3:R$12,2,0))</f>
        <v>EMU</v>
      </c>
      <c r="T8" s="192" t="str">
        <f t="shared" si="10"/>
        <v>MAC</v>
      </c>
      <c r="U8" t="str">
        <f>if(iserror(VLOOKUP($A8,'Picks by Player'!S$3:T$12,2,0)),"", VLOOKUP($A8,'Picks by Player'!S$3:T$12,2,0))</f>
        <v>Miami-OH</v>
      </c>
      <c r="V8" s="190" t="str">
        <f t="shared" si="11"/>
        <v>MAC</v>
      </c>
      <c r="W8" s="191" t="str">
        <f>if(iserror(VLOOKUP($A8,'Picks by Player'!U$3:V$12,2,0)),"", VLOOKUP($A8,'Picks by Player'!U$3:V$12,2,0))</f>
        <v>Charlotte</v>
      </c>
      <c r="X8" s="190" t="str">
        <f t="shared" si="12"/>
        <v>MAC</v>
      </c>
      <c r="Y8" s="191" t="str">
        <f>if(iserror(VLOOKUP($A8,'Picks by Player'!W$3:X$12,2,0)),"", VLOOKUP($A8,'Picks by Player'!W$3:X$12,2,0))</f>
        <v>Central Michigan</v>
      </c>
      <c r="Z8" s="190" t="str">
        <f t="shared" si="13"/>
        <v>MAC</v>
      </c>
      <c r="AA8" s="191" t="str">
        <f>if(iserror(VLOOKUP($A8,'Picks by Player'!Y$3:Z$12,2,0)),"", VLOOKUP($A8,'Picks by Player'!Y$3:Z$12,2,0))</f>
        <v>Western Michigan</v>
      </c>
    </row>
    <row r="9">
      <c r="A9" t="s">
        <v>353</v>
      </c>
      <c r="B9" s="190" t="str">
        <f t="shared" si="1"/>
        <v>MWC</v>
      </c>
      <c r="C9" s="191" t="str">
        <f>if(iserror(VLOOKUP($A9,'Picks by Player'!A$3:B$12,2,0)),"", VLOOKUP($A9,'Picks by Player'!A$3:B$12,2,0))</f>
        <v>New Mexico</v>
      </c>
      <c r="D9" s="190" t="str">
        <f t="shared" si="2"/>
        <v>MWC</v>
      </c>
      <c r="E9" s="191" t="str">
        <f>if(iserror(VLOOKUP($A9,'Picks by Player'!C$3:D$12,2,0)),"", VLOOKUP($A9,'Picks by Player'!C$3:D$12,2,0))</f>
        <v>Colorado State</v>
      </c>
      <c r="F9" s="190" t="str">
        <f t="shared" si="3"/>
        <v>MWC</v>
      </c>
      <c r="G9" s="191" t="str">
        <f>if(iserror(VLOOKUP($A9,'Picks by Player'!E$3:F$12,2,0)),"", VLOOKUP($A9,'Picks by Player'!E$3:F$12,2,0))</f>
        <v>San José State</v>
      </c>
      <c r="H9" s="190" t="str">
        <f t="shared" si="4"/>
        <v>MWC</v>
      </c>
      <c r="I9" s="191" t="str">
        <f>if(iserror(VLOOKUP($A9,'Picks by Player'!G$3:H$12,2,0)),"", VLOOKUP($A9,'Picks by Player'!G$3:H$12,2,0))</f>
        <v>Hawaii</v>
      </c>
      <c r="J9" s="190" t="str">
        <f t="shared" si="5"/>
        <v>MWC</v>
      </c>
      <c r="K9" s="191" t="str">
        <f>if(iserror(VLOOKUP($A9,'Picks by Player'!I$3:J$12,2,0)),"", VLOOKUP($A9,'Picks by Player'!I$3:J$12,2,0))</f>
        <v>Wyoming</v>
      </c>
      <c r="L9" s="190" t="str">
        <f t="shared" si="6"/>
        <v>MWC</v>
      </c>
      <c r="M9" s="191" t="str">
        <f>if(iserror(VLOOKUP($A9,'Picks by Player'!K$3:L$12,2,0)),"", VLOOKUP($A9,'Picks by Player'!K$3:L$12,2,0))</f>
        <v>San Diego State</v>
      </c>
      <c r="N9" s="190" t="str">
        <f t="shared" si="7"/>
        <v>MWC</v>
      </c>
      <c r="O9" s="191" t="str">
        <f>if(iserror(VLOOKUP($A9,'Picks by Player'!M$3:N$12,2,0)),"", VLOOKUP($A9,'Picks by Player'!M$3:N$12,2,0))</f>
        <v>UNLV</v>
      </c>
      <c r="P9" s="190" t="str">
        <f t="shared" si="8"/>
        <v>MWC</v>
      </c>
      <c r="Q9" s="191" t="str">
        <f>if(iserror(VLOOKUP($A9,'Picks by Player'!O$3:P$12,2,0)),"", VLOOKUP($A9,'Picks by Player'!O$3:P$12,2,0))</f>
        <v>UL Monroe</v>
      </c>
      <c r="R9" t="str">
        <f t="shared" si="9"/>
        <v>MWC</v>
      </c>
      <c r="S9" t="str">
        <f>if(iserror(VLOOKUP($A9,'Picks by Player'!Q$3:R$12,2,0)),"", VLOOKUP($A9,'Picks by Player'!Q$3:R$12,2,0))</f>
        <v>Boise State</v>
      </c>
      <c r="T9" s="192" t="str">
        <f t="shared" si="10"/>
        <v>MWC</v>
      </c>
      <c r="U9" t="str">
        <f>if(iserror(VLOOKUP($A9,'Picks by Player'!S$3:T$12,2,0)),"", VLOOKUP($A9,'Picks by Player'!S$3:T$12,2,0))</f>
        <v>Fresno State</v>
      </c>
      <c r="V9" s="190" t="str">
        <f t="shared" si="11"/>
        <v>MWC</v>
      </c>
      <c r="W9" s="191" t="str">
        <f>if(iserror(VLOOKUP($A9,'Picks by Player'!U$3:V$12,2,0)),"", VLOOKUP($A9,'Picks by Player'!U$3:V$12,2,0))</f>
        <v>Air Force</v>
      </c>
      <c r="X9" s="190" t="str">
        <f t="shared" si="12"/>
        <v>MWC</v>
      </c>
      <c r="Y9" s="191" t="str">
        <f>if(iserror(VLOOKUP($A9,'Picks by Player'!W$3:X$12,2,0)),"", VLOOKUP($A9,'Picks by Player'!W$3:X$12,2,0))</f>
        <v>Nevada</v>
      </c>
      <c r="Z9" s="190" t="str">
        <f t="shared" si="13"/>
        <v>MWC</v>
      </c>
      <c r="AA9" s="191" t="str">
        <f>if(iserror(VLOOKUP($A9,'Picks by Player'!Y$3:Z$12,2,0)),"", VLOOKUP($A9,'Picks by Player'!Y$3:Z$12,2,0))</f>
        <v>Utah State</v>
      </c>
    </row>
    <row r="10">
      <c r="A10" t="s">
        <v>354</v>
      </c>
      <c r="B10" s="190" t="str">
        <f t="shared" si="1"/>
        <v>Pac12</v>
      </c>
      <c r="C10" s="191" t="str">
        <f>if(iserror(VLOOKUP($A10,'Picks by Player'!A$3:B$12,2,0)),"", VLOOKUP($A10,'Picks by Player'!A$3:B$12,2,0))</f>
        <v>Oregon</v>
      </c>
      <c r="D10" s="190" t="str">
        <f t="shared" si="2"/>
        <v>Pac12</v>
      </c>
      <c r="E10" s="191" t="str">
        <f>if(iserror(VLOOKUP($A10,'Picks by Player'!C$3:D$12,2,0)),"", VLOOKUP($A10,'Picks by Player'!C$3:D$12,2,0))</f>
        <v>UCLA</v>
      </c>
      <c r="F10" s="190" t="str">
        <f t="shared" si="3"/>
        <v>Pac12</v>
      </c>
      <c r="G10" s="191" t="str">
        <f>if(iserror(VLOOKUP($A10,'Picks by Player'!E$3:F$12,2,0)),"", VLOOKUP($A10,'Picks by Player'!E$3:F$12,2,0))</f>
        <v>Notre Dame</v>
      </c>
      <c r="H10" s="190" t="str">
        <f t="shared" si="4"/>
        <v>Pac12</v>
      </c>
      <c r="I10" s="191" t="str">
        <f>if(iserror(VLOOKUP($A10,'Picks by Player'!G$3:H$12,2,0)),"", VLOOKUP($A10,'Picks by Player'!G$3:H$12,2,0))</f>
        <v>Arizona State</v>
      </c>
      <c r="J10" s="190" t="str">
        <f t="shared" si="5"/>
        <v>Pac12</v>
      </c>
      <c r="K10" s="191" t="str">
        <f>if(iserror(VLOOKUP($A10,'Picks by Player'!I$3:J$12,2,0)),"", VLOOKUP($A10,'Picks by Player'!I$3:J$12,2,0))</f>
        <v>Washington</v>
      </c>
      <c r="L10" s="190" t="str">
        <f t="shared" si="6"/>
        <v>Pac12</v>
      </c>
      <c r="M10" s="191" t="str">
        <f>if(iserror(VLOOKUP($A10,'Picks by Player'!K$3:L$12,2,0)),"", VLOOKUP($A10,'Picks by Player'!K$3:L$12,2,0))</f>
        <v>Stanford</v>
      </c>
      <c r="N10" s="190" t="str">
        <f t="shared" si="7"/>
        <v>Pac12</v>
      </c>
      <c r="O10" s="191" t="str">
        <f>if(iserror(VLOOKUP($A10,'Picks by Player'!M$3:N$12,2,0)),"", VLOOKUP($A10,'Picks by Player'!M$3:N$12,2,0))</f>
        <v>USC</v>
      </c>
      <c r="P10" s="190" t="str">
        <f t="shared" si="8"/>
        <v>Pac12</v>
      </c>
      <c r="Q10" s="191" t="str">
        <f>if(iserror(VLOOKUP($A10,'Picks by Player'!O$3:P$12,2,0)),"", VLOOKUP($A10,'Picks by Player'!O$3:P$12,2,0))</f>
        <v>Arizona</v>
      </c>
      <c r="R10" t="str">
        <f t="shared" si="9"/>
        <v>Pac12</v>
      </c>
      <c r="S10" t="str">
        <f>if(iserror(VLOOKUP($A10,'Picks by Player'!Q$3:R$12,2,0)),"", VLOOKUP($A10,'Picks by Player'!Q$3:R$12,2,0))</f>
        <v>Utah</v>
      </c>
      <c r="T10" s="192" t="str">
        <f t="shared" si="10"/>
        <v>Pac12</v>
      </c>
      <c r="U10" t="str">
        <f>if(iserror(VLOOKUP($A10,'Picks by Player'!S$3:T$12,2,0)),"", VLOOKUP($A10,'Picks by Player'!S$3:T$12,2,0))</f>
        <v>Oregon State</v>
      </c>
      <c r="V10" s="190" t="str">
        <f t="shared" si="11"/>
        <v>Pac12</v>
      </c>
      <c r="W10" s="191" t="str">
        <f>if(iserror(VLOOKUP($A10,'Picks by Player'!U$3:V$12,2,0)),"", VLOOKUP($A10,'Picks by Player'!U$3:V$12,2,0))</f>
        <v>California</v>
      </c>
      <c r="X10" s="190" t="str">
        <f t="shared" si="12"/>
        <v>Pac12</v>
      </c>
      <c r="Y10" s="191" t="str">
        <f>if(iserror(VLOOKUP($A10,'Picks by Player'!W$3:X$12,2,0)),"", VLOOKUP($A10,'Picks by Player'!W$3:X$12,2,0))</f>
        <v>Washington State</v>
      </c>
      <c r="Z10" s="190" t="str">
        <f t="shared" si="13"/>
        <v>Pac12</v>
      </c>
      <c r="AA10" s="191" t="str">
        <f>if(iserror(VLOOKUP($A10,'Picks by Player'!Y$3:Z$12,2,0)),"", VLOOKUP($A10,'Picks by Player'!Y$3:Z$12,2,0))</f>
        <v>Colorado</v>
      </c>
    </row>
    <row r="11">
      <c r="A11" t="s">
        <v>292</v>
      </c>
      <c r="B11" s="190" t="str">
        <f t="shared" si="1"/>
        <v>SEC</v>
      </c>
      <c r="C11" s="191" t="str">
        <f>if(iserror(VLOOKUP($A11,'Picks by Player'!A$3:B$12,2,0)),"", VLOOKUP($A11,'Picks by Player'!A$3:B$12,2,0))</f>
        <v>Georgia</v>
      </c>
      <c r="D11" s="190" t="str">
        <f t="shared" si="2"/>
        <v>SEC</v>
      </c>
      <c r="E11" s="191" t="str">
        <f>if(iserror(VLOOKUP($A11,'Picks by Player'!C$3:D$12,2,0)),"", VLOOKUP($A11,'Picks by Player'!C$3:D$12,2,0))</f>
        <v>Auburn</v>
      </c>
      <c r="F11" s="190" t="str">
        <f t="shared" si="3"/>
        <v>SEC</v>
      </c>
      <c r="G11" s="191" t="str">
        <f>if(iserror(VLOOKUP($A11,'Picks by Player'!E$3:F$12,2,0)),"", VLOOKUP($A11,'Picks by Player'!E$3:F$12,2,0))</f>
        <v>Florida</v>
      </c>
      <c r="H11" s="190" t="str">
        <f t="shared" si="4"/>
        <v>SEC</v>
      </c>
      <c r="I11" s="191" t="str">
        <f>if(iserror(VLOOKUP($A11,'Picks by Player'!G$3:H$12,2,0)),"", VLOOKUP($A11,'Picks by Player'!G$3:H$12,2,0))</f>
        <v>Alabama</v>
      </c>
      <c r="J11" s="190" t="str">
        <f t="shared" si="5"/>
        <v>SEC</v>
      </c>
      <c r="K11" s="191" t="str">
        <f>if(iserror(VLOOKUP($A11,'Picks by Player'!I$3:J$12,2,0)),"", VLOOKUP($A11,'Picks by Player'!I$3:J$12,2,0))</f>
        <v>South Carolina</v>
      </c>
      <c r="L11" s="190" t="str">
        <f t="shared" si="6"/>
        <v>SEC</v>
      </c>
      <c r="M11" s="191" t="str">
        <f>if(iserror(VLOOKUP($A11,'Picks by Player'!K$3:L$12,2,0)),"", VLOOKUP($A11,'Picks by Player'!K$3:L$12,2,0))</f>
        <v>Kentucky</v>
      </c>
      <c r="N11" s="190" t="str">
        <f t="shared" si="7"/>
        <v>SEC</v>
      </c>
      <c r="O11" s="191" t="str">
        <f>if(iserror(VLOOKUP($A11,'Picks by Player'!M$3:N$12,2,0)),"", VLOOKUP($A11,'Picks by Player'!M$3:N$12,2,0))</f>
        <v>Arkansas</v>
      </c>
      <c r="P11" s="190" t="str">
        <f t="shared" si="8"/>
        <v>SEC</v>
      </c>
      <c r="Q11" s="191" t="str">
        <f>if(iserror(VLOOKUP($A11,'Picks by Player'!O$3:P$12,2,0)),"", VLOOKUP($A11,'Picks by Player'!O$3:P$12,2,0))</f>
        <v>Ole Miss</v>
      </c>
      <c r="R11" t="str">
        <f t="shared" si="9"/>
        <v>SEC</v>
      </c>
      <c r="S11" t="str">
        <f>if(iserror(VLOOKUP($A11,'Picks by Player'!Q$3:R$12,2,0)),"", VLOOKUP($A11,'Picks by Player'!Q$3:R$12,2,0))</f>
        <v>Missouri</v>
      </c>
      <c r="T11" s="192" t="str">
        <f t="shared" si="10"/>
        <v>SEC</v>
      </c>
      <c r="U11" t="str">
        <f>if(iserror(VLOOKUP($A11,'Picks by Player'!S$3:T$12,2,0)),"", VLOOKUP($A11,'Picks by Player'!S$3:T$12,2,0))</f>
        <v>Mississippi State</v>
      </c>
      <c r="V11" s="190" t="str">
        <f t="shared" si="11"/>
        <v>SEC</v>
      </c>
      <c r="W11" s="191" t="str">
        <f>if(iserror(VLOOKUP($A11,'Picks by Player'!U$3:V$12,2,0)),"", VLOOKUP($A11,'Picks by Player'!U$3:V$12,2,0))</f>
        <v>LSU</v>
      </c>
      <c r="X11" s="190" t="str">
        <f t="shared" si="12"/>
        <v>SEC</v>
      </c>
      <c r="Y11" s="191" t="str">
        <f>if(iserror(VLOOKUP($A11,'Picks by Player'!W$3:X$12,2,0)),"", VLOOKUP($A11,'Picks by Player'!W$3:X$12,2,0))</f>
        <v>Texas A&amp;M</v>
      </c>
      <c r="Z11" s="190" t="str">
        <f t="shared" si="13"/>
        <v>SEC</v>
      </c>
      <c r="AA11" s="191" t="str">
        <f>if(iserror(VLOOKUP($A11,'Picks by Player'!Y$3:Z$12,2,0)),"", VLOOKUP($A11,'Picks by Player'!Y$3:Z$12,2,0))</f>
        <v>Tennessee</v>
      </c>
    </row>
    <row r="12">
      <c r="A12" t="s">
        <v>355</v>
      </c>
      <c r="B12" s="203" t="str">
        <f t="shared" si="1"/>
        <v>Sun Belt</v>
      </c>
      <c r="C12" s="204" t="str">
        <f>if(iserror(VLOOKUP($A12,'Picks by Player'!A$3:B$12,2,0)),"", VLOOKUP($A12,'Picks by Player'!A$3:B$12,2,0))</f>
        <v>Appalachian State</v>
      </c>
      <c r="D12" s="203" t="str">
        <f t="shared" si="2"/>
        <v>Sun Belt</v>
      </c>
      <c r="E12" s="204" t="str">
        <f>if(iserror(VLOOKUP($A12,'Picks by Player'!C$3:D$12,2,0)),"", VLOOKUP($A12,'Picks by Player'!C$3:D$12,2,0))</f>
        <v>Marshall</v>
      </c>
      <c r="F12" s="203" t="str">
        <f t="shared" si="3"/>
        <v>Sun Belt</v>
      </c>
      <c r="G12" s="204" t="str">
        <f>if(iserror(VLOOKUP($A12,'Picks by Player'!E$3:F$12,2,0)),"", VLOOKUP($A12,'Picks by Player'!E$3:F$12,2,0))</f>
        <v>Texas State</v>
      </c>
      <c r="H12" s="203" t="str">
        <f t="shared" si="4"/>
        <v>Sun Belt</v>
      </c>
      <c r="I12" s="204" t="str">
        <f>if(iserror(VLOOKUP($A12,'Picks by Player'!G$3:H$12,2,0)),"", VLOOKUP($A12,'Picks by Player'!G$3:H$12,2,0))</f>
        <v>UL Lafayette</v>
      </c>
      <c r="J12" s="203" t="str">
        <f t="shared" si="5"/>
        <v>Sun Belt</v>
      </c>
      <c r="K12" s="204" t="str">
        <f>if(iserror(VLOOKUP($A12,'Picks by Player'!I$3:J$12,2,0)),"", VLOOKUP($A12,'Picks by Player'!I$3:J$12,2,0))</f>
        <v>Troy</v>
      </c>
      <c r="L12" s="203" t="str">
        <f t="shared" si="6"/>
        <v>Sun Belt</v>
      </c>
      <c r="M12" s="204" t="str">
        <f>if(iserror(VLOOKUP($A12,'Picks by Player'!K$3:L$12,2,0)),"", VLOOKUP($A12,'Picks by Player'!K$3:L$12,2,0))</f>
        <v>Southern Mississippi</v>
      </c>
      <c r="N12" s="203" t="str">
        <f t="shared" si="7"/>
        <v>Sun Belt</v>
      </c>
      <c r="O12" s="204" t="str">
        <f>if(iserror(VLOOKUP($A12,'Picks by Player'!M$3:N$12,2,0)),"", VLOOKUP($A12,'Picks by Player'!M$3:N$12,2,0))</f>
        <v>Coastal Carolina</v>
      </c>
      <c r="P12" s="203" t="str">
        <f t="shared" si="8"/>
        <v>Sun Belt</v>
      </c>
      <c r="Q12" s="204" t="str">
        <f>if(iserror(VLOOKUP($A12,'Picks by Player'!O$3:P$12,2,0)),"", VLOOKUP($A12,'Picks by Player'!O$3:P$12,2,0))</f>
        <v>South Alabama</v>
      </c>
      <c r="R12" s="205" t="str">
        <f t="shared" si="9"/>
        <v>Sun Belt</v>
      </c>
      <c r="S12" s="205" t="str">
        <f>if(iserror(VLOOKUP($A12,'Picks by Player'!Q$3:R$12,2,0)),"", VLOOKUP($A12,'Picks by Player'!Q$3:R$12,2,0))</f>
        <v>Georgia State</v>
      </c>
      <c r="T12" s="206" t="str">
        <f t="shared" si="10"/>
        <v>Sun Belt</v>
      </c>
      <c r="U12" s="205" t="str">
        <f>if(iserror(VLOOKUP($A12,'Picks by Player'!S$3:T$12,2,0)),"", VLOOKUP($A12,'Picks by Player'!S$3:T$12,2,0))</f>
        <v>Georgia Southern</v>
      </c>
      <c r="V12" s="203" t="str">
        <f t="shared" si="11"/>
        <v>Sun Belt</v>
      </c>
      <c r="W12" s="204" t="str">
        <f>if(iserror(VLOOKUP($A12,'Picks by Player'!U$3:V$12,2,0)),"", VLOOKUP($A12,'Picks by Player'!U$3:V$12,2,0))</f>
        <v>Arkansas State</v>
      </c>
      <c r="X12" s="203" t="str">
        <f t="shared" si="12"/>
        <v>Sun Belt</v>
      </c>
      <c r="Y12" s="204" t="str">
        <f>if(iserror(VLOOKUP($A12,'Picks by Player'!W$3:X$12,2,0)),"", VLOOKUP($A12,'Picks by Player'!W$3:X$12,2,0))</f>
        <v>James Madison</v>
      </c>
      <c r="Z12" s="203" t="str">
        <f t="shared" si="13"/>
        <v>Sun Belt</v>
      </c>
      <c r="AA12" s="204" t="str">
        <f>if(iserror(VLOOKUP($A12,'Picks by Player'!Y$3:Z$12,2,0)),"", VLOOKUP($A12,'Picks by Player'!Y$3:Z$12,2,0))</f>
        <v>Old Dominion</v>
      </c>
    </row>
  </sheetData>
  <mergeCells count="13">
    <mergeCell ref="P1:Q1"/>
    <mergeCell ref="R1:S1"/>
    <mergeCell ref="T1:U1"/>
    <mergeCell ref="V1:W1"/>
    <mergeCell ref="X1:Y1"/>
    <mergeCell ref="Z1:AA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41.0"/>
  </cols>
  <sheetData>
    <row r="1">
      <c r="A1" s="23" t="s">
        <v>142</v>
      </c>
      <c r="B1" s="23" t="s">
        <v>434</v>
      </c>
      <c r="C1" s="23" t="s">
        <v>435</v>
      </c>
    </row>
    <row r="2">
      <c r="A2" s="193" t="s">
        <v>62</v>
      </c>
      <c r="B2" s="193" t="s">
        <v>436</v>
      </c>
      <c r="C2" s="194" t="s">
        <v>437</v>
      </c>
    </row>
    <row r="3">
      <c r="A3" s="193" t="s">
        <v>70</v>
      </c>
      <c r="B3" s="193" t="s">
        <v>438</v>
      </c>
      <c r="C3" s="194" t="s">
        <v>439</v>
      </c>
    </row>
    <row r="4">
      <c r="A4" s="193" t="s">
        <v>60</v>
      </c>
      <c r="B4" s="193" t="s">
        <v>440</v>
      </c>
      <c r="C4" s="194" t="s">
        <v>437</v>
      </c>
    </row>
    <row r="5">
      <c r="A5" s="193" t="s">
        <v>125</v>
      </c>
      <c r="B5" s="193" t="s">
        <v>441</v>
      </c>
      <c r="C5" s="194" t="s">
        <v>439</v>
      </c>
    </row>
    <row r="6">
      <c r="A6" s="193" t="s">
        <v>58</v>
      </c>
      <c r="B6" s="193" t="s">
        <v>442</v>
      </c>
      <c r="C6" s="194" t="s">
        <v>439</v>
      </c>
    </row>
    <row r="7">
      <c r="A7" s="193" t="s">
        <v>69</v>
      </c>
      <c r="B7" s="193" t="s">
        <v>443</v>
      </c>
      <c r="C7" s="194" t="s">
        <v>439</v>
      </c>
    </row>
    <row r="8">
      <c r="A8" s="193" t="s">
        <v>57</v>
      </c>
      <c r="B8" s="193" t="s">
        <v>444</v>
      </c>
      <c r="C8" s="194" t="s">
        <v>437</v>
      </c>
    </row>
    <row r="9">
      <c r="A9" s="193" t="s">
        <v>61</v>
      </c>
      <c r="B9" s="193" t="s">
        <v>445</v>
      </c>
      <c r="C9" s="194" t="s">
        <v>439</v>
      </c>
    </row>
    <row r="10">
      <c r="A10" s="193" t="s">
        <v>67</v>
      </c>
      <c r="B10" s="193" t="s">
        <v>446</v>
      </c>
      <c r="C10" s="194" t="s">
        <v>439</v>
      </c>
    </row>
    <row r="11">
      <c r="A11" s="193" t="s">
        <v>56</v>
      </c>
      <c r="B11" s="193" t="s">
        <v>447</v>
      </c>
      <c r="C11" s="194" t="s">
        <v>439</v>
      </c>
    </row>
    <row r="12">
      <c r="A12" s="193" t="s">
        <v>35</v>
      </c>
      <c r="B12" s="193" t="s">
        <v>448</v>
      </c>
      <c r="C12" s="194" t="s">
        <v>439</v>
      </c>
    </row>
    <row r="13">
      <c r="A13" s="193" t="s">
        <v>59</v>
      </c>
      <c r="B13" s="193" t="s">
        <v>449</v>
      </c>
      <c r="C13" s="194" t="s">
        <v>437</v>
      </c>
    </row>
    <row r="14">
      <c r="A14" s="193" t="s">
        <v>46</v>
      </c>
      <c r="B14" s="193" t="s">
        <v>450</v>
      </c>
      <c r="C14" s="194" t="s">
        <v>437</v>
      </c>
    </row>
  </sheetData>
  <autoFilter ref="$A$1:$C$14">
    <sortState ref="A1:C14">
      <sortCondition ref="A1:A14"/>
    </sortState>
  </autoFilter>
  <dataValidations>
    <dataValidation type="list" allowBlank="1" showErrorMessage="1" sqref="C2:C14">
      <formula1>"All Picks,Only when I make a pick and it's my turn to pick"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.88"/>
    <col customWidth="1" min="3" max="3" width="8.0"/>
    <col customWidth="1" min="4" max="4" width="7.63"/>
    <col customWidth="1" min="5" max="5" width="4.5"/>
  </cols>
  <sheetData>
    <row r="1">
      <c r="A1" s="23" t="s">
        <v>451</v>
      </c>
      <c r="B1" s="23" t="s">
        <v>452</v>
      </c>
      <c r="C1" s="23" t="s">
        <v>453</v>
      </c>
      <c r="D1" s="23" t="s">
        <v>454</v>
      </c>
      <c r="E1" s="23" t="s">
        <v>455</v>
      </c>
      <c r="F1" s="23" t="s">
        <v>456</v>
      </c>
    </row>
    <row r="2">
      <c r="A2" s="23">
        <v>2023.0</v>
      </c>
      <c r="B2" s="23">
        <v>13.0</v>
      </c>
      <c r="C2" s="195">
        <v>45149.0</v>
      </c>
      <c r="D2" s="195">
        <v>45163.0</v>
      </c>
      <c r="E2" s="23">
        <f t="shared" ref="E2:E10" si="1">D2-C2</f>
        <v>14</v>
      </c>
      <c r="F2" s="23"/>
    </row>
    <row r="3">
      <c r="A3" s="23">
        <v>2022.0</v>
      </c>
      <c r="B3" s="23">
        <v>13.0</v>
      </c>
      <c r="C3" s="195">
        <v>44781.0</v>
      </c>
      <c r="D3" s="195">
        <v>44788.0</v>
      </c>
      <c r="E3" s="23">
        <f t="shared" si="1"/>
        <v>7</v>
      </c>
      <c r="F3" s="23"/>
    </row>
    <row r="4">
      <c r="A4" s="23">
        <v>2021.0</v>
      </c>
      <c r="B4" s="23">
        <v>13.0</v>
      </c>
      <c r="C4" s="195">
        <v>44422.0</v>
      </c>
      <c r="D4" s="195">
        <v>44428.0</v>
      </c>
      <c r="E4" s="23">
        <f t="shared" si="1"/>
        <v>6</v>
      </c>
      <c r="F4" s="23" t="s">
        <v>457</v>
      </c>
    </row>
    <row r="5">
      <c r="A5" s="23">
        <v>2019.0</v>
      </c>
      <c r="B5" s="23">
        <v>12.0</v>
      </c>
      <c r="C5" s="195">
        <v>43689.0</v>
      </c>
      <c r="D5" s="195">
        <v>43695.0</v>
      </c>
      <c r="E5" s="23">
        <f t="shared" si="1"/>
        <v>6</v>
      </c>
      <c r="F5" s="23" t="s">
        <v>457</v>
      </c>
    </row>
    <row r="6">
      <c r="A6" s="23">
        <v>2018.0</v>
      </c>
      <c r="B6" s="23">
        <v>12.0</v>
      </c>
      <c r="C6" s="195">
        <v>43318.0</v>
      </c>
      <c r="D6" s="195">
        <v>43330.0</v>
      </c>
      <c r="E6" s="23">
        <f t="shared" si="1"/>
        <v>12</v>
      </c>
      <c r="F6" s="23" t="s">
        <v>457</v>
      </c>
    </row>
    <row r="7">
      <c r="A7" s="23">
        <v>2017.0</v>
      </c>
      <c r="B7" s="23">
        <v>12.0</v>
      </c>
      <c r="C7" s="195">
        <v>42965.0</v>
      </c>
      <c r="D7" s="195">
        <v>42971.0</v>
      </c>
      <c r="E7" s="23">
        <f t="shared" si="1"/>
        <v>6</v>
      </c>
      <c r="F7" s="23" t="s">
        <v>458</v>
      </c>
    </row>
    <row r="8">
      <c r="A8" s="23">
        <v>2016.0</v>
      </c>
      <c r="B8" s="23">
        <v>10.0</v>
      </c>
      <c r="C8" s="195">
        <v>42602.0</v>
      </c>
      <c r="D8" s="195">
        <v>42608.0</v>
      </c>
      <c r="E8" s="23">
        <f t="shared" si="1"/>
        <v>6</v>
      </c>
      <c r="F8" s="23" t="s">
        <v>459</v>
      </c>
    </row>
    <row r="9">
      <c r="A9" s="23">
        <v>2015.0</v>
      </c>
      <c r="B9" s="23">
        <v>10.0</v>
      </c>
      <c r="C9" s="195">
        <v>42239.0</v>
      </c>
      <c r="D9" s="195">
        <v>42246.0</v>
      </c>
      <c r="E9" s="23">
        <f t="shared" si="1"/>
        <v>7</v>
      </c>
      <c r="F9" s="23" t="s">
        <v>459</v>
      </c>
    </row>
    <row r="10">
      <c r="A10" s="23">
        <v>2014.0</v>
      </c>
      <c r="B10" s="23">
        <v>10.0</v>
      </c>
      <c r="C10" s="195">
        <v>41859.0</v>
      </c>
      <c r="D10" s="195">
        <v>41863.0</v>
      </c>
      <c r="E10" s="23">
        <f t="shared" si="1"/>
        <v>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t="str">
        <f t="array" ref="A1:O11">TRANSPOSE('Actual Conferences'!A1:K15)</f>
        <v>AAC</v>
      </c>
      <c r="B1" t="s">
        <v>246</v>
      </c>
      <c r="C1" t="s">
        <v>133</v>
      </c>
      <c r="D1" t="s">
        <v>118</v>
      </c>
      <c r="E1" t="s">
        <v>234</v>
      </c>
      <c r="F1" t="s">
        <v>221</v>
      </c>
      <c r="G1" t="s">
        <v>263</v>
      </c>
      <c r="H1" t="s">
        <v>139</v>
      </c>
      <c r="I1" t="s">
        <v>81</v>
      </c>
      <c r="J1" t="s">
        <v>182</v>
      </c>
      <c r="K1" t="s">
        <v>207</v>
      </c>
      <c r="L1" t="s">
        <v>271</v>
      </c>
      <c r="M1" t="s">
        <v>198</v>
      </c>
      <c r="N1" t="s">
        <v>253</v>
      </c>
      <c r="O1" t="s">
        <v>252</v>
      </c>
    </row>
    <row r="2">
      <c r="A2" t="s">
        <v>301</v>
      </c>
      <c r="B2" t="s">
        <v>248</v>
      </c>
      <c r="C2" t="s">
        <v>191</v>
      </c>
      <c r="D2" t="s">
        <v>187</v>
      </c>
      <c r="E2" t="s">
        <v>224</v>
      </c>
      <c r="F2" t="s">
        <v>229</v>
      </c>
      <c r="G2" t="s">
        <v>164</v>
      </c>
      <c r="H2" t="s">
        <v>79</v>
      </c>
      <c r="I2" t="s">
        <v>268</v>
      </c>
      <c r="J2" t="s">
        <v>216</v>
      </c>
      <c r="K2" t="s">
        <v>256</v>
      </c>
      <c r="L2" t="s">
        <v>130</v>
      </c>
      <c r="M2" t="s">
        <v>275</v>
      </c>
      <c r="N2" t="s">
        <v>113</v>
      </c>
      <c r="O2" t="s">
        <v>208</v>
      </c>
    </row>
    <row r="3">
      <c r="A3" t="s">
        <v>296</v>
      </c>
      <c r="B3" t="s">
        <v>242</v>
      </c>
      <c r="C3" t="s">
        <v>230</v>
      </c>
      <c r="D3" t="s">
        <v>119</v>
      </c>
      <c r="E3" t="s">
        <v>210</v>
      </c>
      <c r="F3" t="s">
        <v>124</v>
      </c>
      <c r="G3" t="s">
        <v>192</v>
      </c>
      <c r="H3" t="s">
        <v>74</v>
      </c>
      <c r="I3" t="s">
        <v>179</v>
      </c>
      <c r="J3" t="s">
        <v>267</v>
      </c>
      <c r="K3" t="s">
        <v>223</v>
      </c>
      <c r="L3" t="s">
        <v>239</v>
      </c>
      <c r="M3" t="s">
        <v>188</v>
      </c>
      <c r="N3" t="s">
        <v>257</v>
      </c>
      <c r="O3" t="s">
        <v>276</v>
      </c>
    </row>
    <row r="4">
      <c r="A4" t="s">
        <v>282</v>
      </c>
      <c r="B4" t="s">
        <v>186</v>
      </c>
      <c r="C4" t="s">
        <v>195</v>
      </c>
      <c r="D4" t="s">
        <v>266</v>
      </c>
      <c r="E4" t="s">
        <v>244</v>
      </c>
      <c r="F4" t="s">
        <v>209</v>
      </c>
      <c r="G4" t="s">
        <v>178</v>
      </c>
      <c r="H4" t="s">
        <v>116</v>
      </c>
      <c r="I4" t="s">
        <v>80</v>
      </c>
      <c r="J4" t="s">
        <v>261</v>
      </c>
      <c r="K4" t="s">
        <v>200</v>
      </c>
      <c r="L4" t="s">
        <v>135</v>
      </c>
      <c r="M4" t="s">
        <v>222</v>
      </c>
      <c r="N4" t="s">
        <v>255</v>
      </c>
      <c r="O4" t="s">
        <v>185</v>
      </c>
    </row>
    <row r="5">
      <c r="A5" t="s">
        <v>351</v>
      </c>
      <c r="B5" t="s">
        <v>220</v>
      </c>
      <c r="C5" t="s">
        <v>260</v>
      </c>
      <c r="D5" t="s">
        <v>102</v>
      </c>
      <c r="E5" t="s">
        <v>250</v>
      </c>
      <c r="F5" t="s">
        <v>228</v>
      </c>
      <c r="G5" t="s">
        <v>201</v>
      </c>
      <c r="H5" t="s">
        <v>78</v>
      </c>
      <c r="I5" t="s">
        <v>194</v>
      </c>
      <c r="J5" t="s">
        <v>215</v>
      </c>
      <c r="K5" t="s">
        <v>123</v>
      </c>
    </row>
    <row r="6">
      <c r="A6" t="s">
        <v>393</v>
      </c>
      <c r="B6" t="s">
        <v>236</v>
      </c>
      <c r="C6" t="s">
        <v>176</v>
      </c>
    </row>
    <row r="7">
      <c r="A7" t="s">
        <v>352</v>
      </c>
      <c r="B7" t="s">
        <v>189</v>
      </c>
      <c r="C7" t="s">
        <v>177</v>
      </c>
      <c r="D7" t="s">
        <v>226</v>
      </c>
      <c r="E7" t="s">
        <v>199</v>
      </c>
      <c r="F7" t="s">
        <v>265</v>
      </c>
      <c r="G7" t="s">
        <v>238</v>
      </c>
      <c r="H7" t="s">
        <v>75</v>
      </c>
      <c r="I7" t="s">
        <v>240</v>
      </c>
      <c r="J7" t="s">
        <v>117</v>
      </c>
      <c r="K7" t="s">
        <v>214</v>
      </c>
      <c r="L7" t="s">
        <v>120</v>
      </c>
      <c r="M7" t="s">
        <v>272</v>
      </c>
    </row>
    <row r="8">
      <c r="A8" t="s">
        <v>353</v>
      </c>
      <c r="B8" t="s">
        <v>243</v>
      </c>
      <c r="C8" t="s">
        <v>227</v>
      </c>
      <c r="D8" t="s">
        <v>105</v>
      </c>
      <c r="E8" t="s">
        <v>241</v>
      </c>
      <c r="F8" t="s">
        <v>173</v>
      </c>
      <c r="G8" t="s">
        <v>258</v>
      </c>
      <c r="H8" t="s">
        <v>88</v>
      </c>
      <c r="I8" t="s">
        <v>190</v>
      </c>
      <c r="J8" t="s">
        <v>129</v>
      </c>
      <c r="K8" t="s">
        <v>202</v>
      </c>
      <c r="L8" t="s">
        <v>273</v>
      </c>
      <c r="M8" t="s">
        <v>183</v>
      </c>
    </row>
    <row r="9">
      <c r="A9" t="s">
        <v>355</v>
      </c>
      <c r="B9" t="s">
        <v>218</v>
      </c>
      <c r="C9" t="s">
        <v>71</v>
      </c>
      <c r="D9" t="s">
        <v>254</v>
      </c>
      <c r="E9" t="s">
        <v>206</v>
      </c>
      <c r="F9" t="s">
        <v>245</v>
      </c>
      <c r="G9" t="s">
        <v>232</v>
      </c>
      <c r="H9" t="s">
        <v>262</v>
      </c>
      <c r="I9" t="s">
        <v>111</v>
      </c>
      <c r="J9" t="s">
        <v>270</v>
      </c>
      <c r="K9" t="s">
        <v>205</v>
      </c>
      <c r="L9" t="s">
        <v>197</v>
      </c>
      <c r="M9" t="s">
        <v>126</v>
      </c>
      <c r="N9" t="s">
        <v>181</v>
      </c>
      <c r="O9" t="s">
        <v>175</v>
      </c>
    </row>
    <row r="10">
      <c r="A10" t="s">
        <v>354</v>
      </c>
      <c r="B10" t="s">
        <v>217</v>
      </c>
      <c r="C10" t="s">
        <v>174</v>
      </c>
      <c r="D10" t="s">
        <v>251</v>
      </c>
      <c r="E10" t="s">
        <v>269</v>
      </c>
      <c r="F10" t="s">
        <v>38</v>
      </c>
      <c r="G10" t="s">
        <v>247</v>
      </c>
      <c r="H10" t="s">
        <v>193</v>
      </c>
      <c r="I10" t="s">
        <v>109</v>
      </c>
      <c r="J10" t="s">
        <v>204</v>
      </c>
      <c r="K10" t="s">
        <v>231</v>
      </c>
      <c r="L10" t="s">
        <v>180</v>
      </c>
      <c r="M10" t="s">
        <v>259</v>
      </c>
    </row>
    <row r="11">
      <c r="A11" t="s">
        <v>292</v>
      </c>
      <c r="B11" t="s">
        <v>137</v>
      </c>
      <c r="C11" t="s">
        <v>213</v>
      </c>
      <c r="D11" t="s">
        <v>112</v>
      </c>
      <c r="E11" t="s">
        <v>127</v>
      </c>
      <c r="F11" t="s">
        <v>63</v>
      </c>
      <c r="G11" t="s">
        <v>196</v>
      </c>
      <c r="H11" t="s">
        <v>219</v>
      </c>
      <c r="I11" t="s">
        <v>249</v>
      </c>
      <c r="J11" t="s">
        <v>237</v>
      </c>
      <c r="K11" t="s">
        <v>225</v>
      </c>
      <c r="L11" t="s">
        <v>184</v>
      </c>
      <c r="M11" t="s">
        <v>233</v>
      </c>
      <c r="N11" t="s">
        <v>264</v>
      </c>
      <c r="O11" t="s">
        <v>277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1.88"/>
    <col customWidth="1" min="3" max="3" width="7.75"/>
  </cols>
  <sheetData>
    <row r="1">
      <c r="A1" s="165"/>
      <c r="B1" s="196" t="s">
        <v>142</v>
      </c>
      <c r="C1" s="197" t="s">
        <v>460</v>
      </c>
    </row>
    <row r="2">
      <c r="A2" s="165">
        <v>1.0</v>
      </c>
      <c r="B2" s="198" t="s">
        <v>35</v>
      </c>
      <c r="C2" s="199">
        <f t="shared" ref="C2:C14" si="1">RAND()</f>
        <v>0.9764657327</v>
      </c>
    </row>
    <row r="3">
      <c r="A3" s="165">
        <v>2.0</v>
      </c>
      <c r="B3" s="198" t="s">
        <v>58</v>
      </c>
      <c r="C3" s="199">
        <f t="shared" si="1"/>
        <v>0.9375589579</v>
      </c>
    </row>
    <row r="4">
      <c r="A4" s="165">
        <v>3.0</v>
      </c>
      <c r="B4" s="198" t="s">
        <v>56</v>
      </c>
      <c r="C4" s="199">
        <f t="shared" si="1"/>
        <v>0.2342779972</v>
      </c>
    </row>
    <row r="5">
      <c r="A5" s="165">
        <v>4.0</v>
      </c>
      <c r="B5" s="198" t="s">
        <v>60</v>
      </c>
      <c r="C5" s="199">
        <f t="shared" si="1"/>
        <v>0.3104719979</v>
      </c>
    </row>
    <row r="6">
      <c r="A6" s="165">
        <v>5.0</v>
      </c>
      <c r="B6" s="198" t="s">
        <v>46</v>
      </c>
      <c r="C6" s="199">
        <f t="shared" si="1"/>
        <v>0.1586122655</v>
      </c>
    </row>
    <row r="7">
      <c r="A7" s="165">
        <v>6.0</v>
      </c>
      <c r="B7" s="198" t="s">
        <v>70</v>
      </c>
      <c r="C7" s="199">
        <f t="shared" si="1"/>
        <v>0.2729870859</v>
      </c>
    </row>
    <row r="8">
      <c r="A8" s="165">
        <v>7.0</v>
      </c>
      <c r="B8" s="198" t="s">
        <v>57</v>
      </c>
      <c r="C8" s="199">
        <f t="shared" si="1"/>
        <v>0.5650728682</v>
      </c>
    </row>
    <row r="9">
      <c r="A9" s="165">
        <v>8.0</v>
      </c>
      <c r="B9" s="198" t="s">
        <v>67</v>
      </c>
      <c r="C9" s="199">
        <f t="shared" si="1"/>
        <v>0.5585552595</v>
      </c>
    </row>
    <row r="10">
      <c r="A10" s="165">
        <v>9.0</v>
      </c>
      <c r="B10" s="198" t="s">
        <v>59</v>
      </c>
      <c r="C10" s="199">
        <f t="shared" si="1"/>
        <v>0.9583678753</v>
      </c>
    </row>
    <row r="11">
      <c r="A11" s="165">
        <v>10.0</v>
      </c>
      <c r="B11" s="198" t="s">
        <v>62</v>
      </c>
      <c r="C11" s="199">
        <f t="shared" si="1"/>
        <v>0.9549807748</v>
      </c>
    </row>
    <row r="12">
      <c r="A12" s="165">
        <v>11.0</v>
      </c>
      <c r="B12" s="198" t="s">
        <v>69</v>
      </c>
      <c r="C12" s="199">
        <f t="shared" si="1"/>
        <v>0.4116834842</v>
      </c>
    </row>
    <row r="13">
      <c r="A13" s="166">
        <v>12.0</v>
      </c>
      <c r="B13" s="198" t="s">
        <v>125</v>
      </c>
      <c r="C13" s="199">
        <f t="shared" si="1"/>
        <v>0.4841003499</v>
      </c>
    </row>
    <row r="14">
      <c r="A14" s="166">
        <v>13.0</v>
      </c>
      <c r="B14" s="198" t="s">
        <v>61</v>
      </c>
      <c r="C14" s="199">
        <f t="shared" si="1"/>
        <v>0.2927332517</v>
      </c>
    </row>
  </sheetData>
  <autoFilter ref="$A$1:$C$14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sheetData>
    <row r="1">
      <c r="A1" s="123" t="str">
        <f>'Picks by Player'!A1</f>
        <v>Nick G.</v>
      </c>
      <c r="B1" s="123" t="str">
        <f>'Picks by Player'!A1</f>
        <v>Nick G.</v>
      </c>
      <c r="C1" s="135" t="str">
        <f>'Picks by Player'!C1</f>
        <v>Janice/Mike</v>
      </c>
      <c r="D1" s="135" t="str">
        <f>'Picks by Player'!C1</f>
        <v>Janice/Mike</v>
      </c>
      <c r="E1" s="200" t="str">
        <f>'Picks by Player'!E1</f>
        <v>Nick A.</v>
      </c>
      <c r="F1" s="200" t="str">
        <f>'Picks by Player'!E1</f>
        <v>Nick A.</v>
      </c>
      <c r="G1" s="135" t="str">
        <f>'Picks by Player'!G1</f>
        <v>DavEmily</v>
      </c>
      <c r="H1" s="200" t="str">
        <f>'Picks by Player'!G1</f>
        <v>DavEmily</v>
      </c>
      <c r="I1" s="135" t="str">
        <f>'Picks by Player'!I1</f>
        <v>Vu</v>
      </c>
      <c r="J1" s="135" t="str">
        <f>'Picks by Player'!I1</f>
        <v>Vu</v>
      </c>
      <c r="K1" s="135" t="str">
        <f>'Picks by Player'!K1</f>
        <v>Dan</v>
      </c>
      <c r="L1" s="135" t="str">
        <f>'Picks by Player'!K1</f>
        <v>Dan</v>
      </c>
      <c r="M1" s="135" t="str">
        <f>'Picks by Player'!M1</f>
        <v>Josh</v>
      </c>
      <c r="N1" s="135" t="str">
        <f>'Picks by Player'!M1</f>
        <v>Josh</v>
      </c>
      <c r="O1" s="135" t="str">
        <f>'Picks by Player'!O1</f>
        <v>Masa</v>
      </c>
      <c r="P1" s="135" t="str">
        <f>'Picks by Player'!O1</f>
        <v>Masa</v>
      </c>
      <c r="Q1" s="135" t="str">
        <f>'Picks by Player'!Q1</f>
        <v>Nico</v>
      </c>
      <c r="R1" s="135" t="str">
        <f>'Picks by Player'!Q1</f>
        <v>Nico</v>
      </c>
      <c r="S1" s="135" t="str">
        <f>'Picks by Player'!S1</f>
        <v>Brad</v>
      </c>
      <c r="T1" s="135" t="str">
        <f>'Picks by Player'!S1</f>
        <v>Brad</v>
      </c>
      <c r="U1" s="135" t="str">
        <f>'Picks by Player'!U1</f>
        <v>Jeannine</v>
      </c>
      <c r="V1" s="135" t="str">
        <f>'Picks by Player'!U1</f>
        <v>Jeannine</v>
      </c>
      <c r="W1" s="135" t="str">
        <f>'Picks by Player'!W1</f>
        <v>Gary</v>
      </c>
      <c r="X1" s="135" t="str">
        <f>'Picks by Player'!W1</f>
        <v>Gary</v>
      </c>
      <c r="Y1" s="166" t="str">
        <f>'Picks by Player'!Y1</f>
        <v>Justin</v>
      </c>
      <c r="Z1" s="166" t="str">
        <f>'Picks by Player'!Y1</f>
        <v>Justin</v>
      </c>
    </row>
    <row r="2">
      <c r="A2" t="str">
        <f t="array" ref="A2:A135">if(DraftTracker!$D:$D=A1,DraftTracker!$E:$E,"")</f>
        <v/>
      </c>
      <c r="B2" t="str">
        <f t="array" ref="B2:B135">if(DraftTracker!$D:$D=B1,DraftTracker!$F:$F,"")</f>
        <v/>
      </c>
      <c r="C2" t="str">
        <f t="array" ref="C2:C135">if(DraftTracker!$D:$D=C1,DraftTracker!$E:$E,"")</f>
        <v/>
      </c>
      <c r="D2" t="str">
        <f t="array" ref="D2:D135">if(DraftTracker!$D:$D=D1,DraftTracker!$F:$F,"")</f>
        <v/>
      </c>
      <c r="E2" t="str">
        <f t="array" ref="E2:E135">if(DraftTracker!$D:$D=E1,DraftTracker!$E:$E,"")</f>
        <v/>
      </c>
      <c r="F2" t="str">
        <f t="array" ref="F2:F135">if(DraftTracker!$D:$D=F1,DraftTracker!$F:$F,"")</f>
        <v/>
      </c>
      <c r="G2" t="str">
        <f t="array" ref="G2:G135">if(DraftTracker!$D:$D=G1,DraftTracker!$E:$E,"")</f>
        <v/>
      </c>
      <c r="H2" t="str">
        <f t="array" ref="H2:H135">if(DraftTracker!$D:$D=H1,DraftTracker!$F:$F,"")</f>
        <v/>
      </c>
      <c r="I2" t="str">
        <f t="array" ref="I2:I135">if(DraftTracker!$D:$D=I1,DraftTracker!$E:$E,"")</f>
        <v/>
      </c>
      <c r="J2" t="str">
        <f t="array" ref="J2:J135">if(DraftTracker!$D:$D=J1,DraftTracker!$F:$F,"")</f>
        <v/>
      </c>
      <c r="K2" t="str">
        <f t="array" ref="K2:K135">if(DraftTracker!$D:$D=K1,DraftTracker!$E:$E,"")</f>
        <v/>
      </c>
      <c r="L2" t="str">
        <f t="array" ref="L2:L135">if(DraftTracker!$D:$D=L1,DraftTracker!$F:$F,"")</f>
        <v/>
      </c>
      <c r="M2" t="str">
        <f t="array" ref="M2:M135">if(DraftTracker!$D:$D=M1,DraftTracker!$E:$E,"")</f>
        <v/>
      </c>
      <c r="N2" t="str">
        <f t="array" ref="N2:N135">if(DraftTracker!$D:$D=N1,DraftTracker!$F:$F,"")</f>
        <v/>
      </c>
      <c r="O2" t="str">
        <f t="array" ref="O2:O135">if(DraftTracker!$D:$D=O1,DraftTracker!$E:$E,"")</f>
        <v/>
      </c>
      <c r="P2" t="str">
        <f t="array" ref="P2:P135">if(DraftTracker!$D:$D=P1,DraftTracker!$F:$F,"")</f>
        <v/>
      </c>
      <c r="Q2" t="str">
        <f t="array" ref="Q2:Q135">if(DraftTracker!$D:$D=Q1,DraftTracker!$E:$E,"")</f>
        <v/>
      </c>
      <c r="R2" t="str">
        <f t="array" ref="R2:R135">if(DraftTracker!$D:$D=R1,DraftTracker!$F:$F,"")</f>
        <v/>
      </c>
      <c r="S2" t="str">
        <f t="array" ref="S2:S135">if(DraftTracker!$D:$D=S1,DraftTracker!$E:$E,"")</f>
        <v/>
      </c>
      <c r="T2" t="str">
        <f t="array" ref="T2:T135">if(DraftTracker!$D:$D=T1,DraftTracker!$F:$F,"")</f>
        <v/>
      </c>
      <c r="U2" t="str">
        <f t="array" ref="U2:U135">if(DraftTracker!$D:$D=U1,DraftTracker!$E:$E,"")</f>
        <v/>
      </c>
      <c r="V2" t="str">
        <f t="array" ref="V2:V135">if(DraftTracker!$D:$D=V1,DraftTracker!$F:$F,"")</f>
        <v/>
      </c>
      <c r="W2" t="str">
        <f t="array" ref="W2:W135">if(DraftTracker!$D:$D=W1,DraftTracker!$E:$E,"")</f>
        <v/>
      </c>
      <c r="X2" t="str">
        <f t="array" ref="X2:X135">if(DraftTracker!$D:$D=X1,DraftTracker!$F:$F,"")</f>
        <v/>
      </c>
      <c r="Y2" t="str">
        <f t="array" ref="Y2:Y135">if(DraftTracker!$D:$D=Y1,DraftTracker!$E:$E,"")</f>
        <v/>
      </c>
      <c r="Z2" t="str">
        <f t="array" ref="Z2:Z135">if(DraftTracker!$D:$D=Z1,DraftTracker!$F:$F,"")</f>
        <v/>
      </c>
    </row>
    <row r="3">
      <c r="A3" t="s">
        <v>292</v>
      </c>
      <c r="B3" t="s">
        <v>63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 t="s">
        <v>64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</row>
    <row r="4">
      <c r="A4" t="s">
        <v>64</v>
      </c>
      <c r="B4" t="s">
        <v>64</v>
      </c>
      <c r="C4" t="s">
        <v>351</v>
      </c>
      <c r="D4" t="s">
        <v>102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64</v>
      </c>
      <c r="S4" t="s">
        <v>64</v>
      </c>
      <c r="T4" t="s">
        <v>64</v>
      </c>
      <c r="U4" t="s">
        <v>64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</row>
    <row r="5">
      <c r="A5" t="s">
        <v>64</v>
      </c>
      <c r="B5" t="s">
        <v>64</v>
      </c>
      <c r="C5" t="s">
        <v>64</v>
      </c>
      <c r="D5" t="s">
        <v>64</v>
      </c>
      <c r="E5" t="s">
        <v>352</v>
      </c>
      <c r="F5" t="s">
        <v>120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64</v>
      </c>
      <c r="O5" t="s">
        <v>64</v>
      </c>
      <c r="P5" t="s">
        <v>64</v>
      </c>
      <c r="Q5" t="s">
        <v>64</v>
      </c>
      <c r="R5" t="s">
        <v>64</v>
      </c>
      <c r="S5" t="s">
        <v>64</v>
      </c>
      <c r="T5" t="s">
        <v>64</v>
      </c>
      <c r="U5" t="s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</row>
    <row r="6">
      <c r="A6" t="s">
        <v>64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292</v>
      </c>
      <c r="H6" t="s">
        <v>137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 t="s">
        <v>64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</row>
    <row r="7">
      <c r="A7" t="s">
        <v>64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407</v>
      </c>
      <c r="J7" t="s">
        <v>182</v>
      </c>
      <c r="K7" t="s">
        <v>64</v>
      </c>
      <c r="L7" t="s">
        <v>64</v>
      </c>
      <c r="M7" t="s">
        <v>64</v>
      </c>
      <c r="N7" t="s">
        <v>64</v>
      </c>
      <c r="O7" t="s">
        <v>64</v>
      </c>
      <c r="P7" t="s">
        <v>64</v>
      </c>
      <c r="Q7" t="s">
        <v>64</v>
      </c>
      <c r="R7" t="s">
        <v>64</v>
      </c>
      <c r="S7" t="s">
        <v>64</v>
      </c>
      <c r="T7" t="s">
        <v>64</v>
      </c>
      <c r="U7" t="s">
        <v>64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</row>
    <row r="8">
      <c r="A8" t="s">
        <v>64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301</v>
      </c>
      <c r="L8" t="s">
        <v>191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 t="s">
        <v>64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</row>
    <row r="9">
      <c r="A9" t="s">
        <v>64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282</v>
      </c>
      <c r="N9" t="s">
        <v>200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</row>
    <row r="10">
      <c r="A10" t="s">
        <v>64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64</v>
      </c>
      <c r="O10" t="s">
        <v>355</v>
      </c>
      <c r="P10" t="s">
        <v>205</v>
      </c>
      <c r="Q10" t="s">
        <v>64</v>
      </c>
      <c r="R10" t="s">
        <v>64</v>
      </c>
      <c r="S10" t="s">
        <v>64</v>
      </c>
      <c r="T10" t="s">
        <v>64</v>
      </c>
      <c r="U10" t="s">
        <v>64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</row>
    <row r="11">
      <c r="A11" t="s">
        <v>64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282</v>
      </c>
      <c r="R11" t="s">
        <v>209</v>
      </c>
      <c r="S11" t="s">
        <v>64</v>
      </c>
      <c r="T11" t="s">
        <v>64</v>
      </c>
      <c r="U11" t="s">
        <v>64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</row>
    <row r="12">
      <c r="A12" t="s">
        <v>64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  <c r="Q12" t="s">
        <v>64</v>
      </c>
      <c r="R12" t="s">
        <v>64</v>
      </c>
      <c r="S12" t="s">
        <v>351</v>
      </c>
      <c r="T12" t="s">
        <v>215</v>
      </c>
      <c r="U12" t="s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</row>
    <row r="13">
      <c r="A13" t="s">
        <v>64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292</v>
      </c>
      <c r="V13" t="s">
        <v>219</v>
      </c>
      <c r="W13" t="s">
        <v>64</v>
      </c>
      <c r="X13" t="s">
        <v>64</v>
      </c>
      <c r="Y13" t="s">
        <v>64</v>
      </c>
      <c r="Z13" t="s">
        <v>64</v>
      </c>
    </row>
    <row r="14">
      <c r="A14" t="s">
        <v>64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 t="s">
        <v>64</v>
      </c>
      <c r="S14" t="s">
        <v>64</v>
      </c>
      <c r="T14" t="s">
        <v>64</v>
      </c>
      <c r="U14" t="s">
        <v>64</v>
      </c>
      <c r="V14" t="s">
        <v>64</v>
      </c>
      <c r="W14" t="s">
        <v>301</v>
      </c>
      <c r="X14" t="s">
        <v>224</v>
      </c>
      <c r="Y14" t="s">
        <v>64</v>
      </c>
      <c r="Z14" t="s">
        <v>64</v>
      </c>
    </row>
    <row r="15">
      <c r="A15" t="s">
        <v>64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64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351</v>
      </c>
      <c r="Z15" t="s">
        <v>228</v>
      </c>
    </row>
    <row r="16">
      <c r="A16" t="s">
        <v>64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64</v>
      </c>
      <c r="R16" t="s">
        <v>64</v>
      </c>
      <c r="S16" t="s">
        <v>64</v>
      </c>
      <c r="T16" t="s">
        <v>64</v>
      </c>
      <c r="U16" t="s">
        <v>64</v>
      </c>
      <c r="V16" t="s">
        <v>64</v>
      </c>
      <c r="W16" t="s">
        <v>64</v>
      </c>
      <c r="X16" t="s">
        <v>64</v>
      </c>
      <c r="Y16" t="s">
        <v>292</v>
      </c>
      <c r="Z16" t="s">
        <v>233</v>
      </c>
    </row>
    <row r="17">
      <c r="A17" t="s">
        <v>64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64</v>
      </c>
      <c r="S17" t="s">
        <v>64</v>
      </c>
      <c r="T17" t="s">
        <v>64</v>
      </c>
      <c r="U17" t="s">
        <v>64</v>
      </c>
      <c r="V17" t="s">
        <v>64</v>
      </c>
      <c r="W17" t="s">
        <v>296</v>
      </c>
      <c r="X17" t="s">
        <v>239</v>
      </c>
      <c r="Y17" t="s">
        <v>64</v>
      </c>
      <c r="Z17" t="s">
        <v>64</v>
      </c>
    </row>
    <row r="18">
      <c r="A18" t="s">
        <v>64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 t="s">
        <v>64</v>
      </c>
      <c r="U18" t="s">
        <v>353</v>
      </c>
      <c r="V18" t="s">
        <v>243</v>
      </c>
      <c r="W18" t="s">
        <v>64</v>
      </c>
      <c r="X18" t="s">
        <v>64</v>
      </c>
      <c r="Y18" t="s">
        <v>64</v>
      </c>
      <c r="Z18" t="s">
        <v>64</v>
      </c>
    </row>
    <row r="19">
      <c r="A19" t="s">
        <v>64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353</v>
      </c>
      <c r="T19" t="s">
        <v>241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</row>
    <row r="20">
      <c r="A20" t="s">
        <v>64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  <c r="Q20" t="s">
        <v>353</v>
      </c>
      <c r="R20" t="s">
        <v>227</v>
      </c>
      <c r="S20" t="s">
        <v>64</v>
      </c>
      <c r="T20" t="s">
        <v>64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</row>
    <row r="21">
      <c r="A21" t="s">
        <v>64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301</v>
      </c>
      <c r="P21" t="s">
        <v>216</v>
      </c>
      <c r="Q21" t="s">
        <v>64</v>
      </c>
      <c r="R21" t="s">
        <v>64</v>
      </c>
      <c r="S21" t="s">
        <v>64</v>
      </c>
      <c r="T21" t="s">
        <v>64</v>
      </c>
      <c r="U21" t="s">
        <v>64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</row>
    <row r="22">
      <c r="A22" t="s">
        <v>64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354</v>
      </c>
      <c r="N22" t="s">
        <v>204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</row>
    <row r="23">
      <c r="A23" t="s">
        <v>64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353</v>
      </c>
      <c r="L23" t="s">
        <v>190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</row>
    <row r="24">
      <c r="A24" t="s">
        <v>64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355</v>
      </c>
      <c r="J24" t="s">
        <v>181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 t="s">
        <v>64</v>
      </c>
      <c r="U24" t="s">
        <v>64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</row>
    <row r="25">
      <c r="A25" t="s">
        <v>64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296</v>
      </c>
      <c r="H25" t="s">
        <v>179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  <c r="O25" t="s">
        <v>64</v>
      </c>
      <c r="P25" t="s">
        <v>64</v>
      </c>
      <c r="Q25" t="s">
        <v>64</v>
      </c>
      <c r="R25" t="s">
        <v>64</v>
      </c>
      <c r="S25" t="s">
        <v>64</v>
      </c>
      <c r="T25" t="s">
        <v>64</v>
      </c>
      <c r="U25" t="s">
        <v>64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</row>
    <row r="26">
      <c r="A26" t="s">
        <v>64</v>
      </c>
      <c r="B26" t="s">
        <v>64</v>
      </c>
      <c r="C26" t="s">
        <v>64</v>
      </c>
      <c r="D26" t="s">
        <v>64</v>
      </c>
      <c r="E26" t="s">
        <v>282</v>
      </c>
      <c r="F26" t="s">
        <v>135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</row>
    <row r="27">
      <c r="A27" t="s">
        <v>64</v>
      </c>
      <c r="B27" t="s">
        <v>64</v>
      </c>
      <c r="C27" t="s">
        <v>407</v>
      </c>
      <c r="D27" t="s">
        <v>118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</row>
    <row r="28">
      <c r="A28" t="s">
        <v>354</v>
      </c>
      <c r="B28" t="s">
        <v>38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 t="s">
        <v>64</v>
      </c>
      <c r="U28" t="s">
        <v>64</v>
      </c>
      <c r="V28" t="s">
        <v>64</v>
      </c>
      <c r="W28" t="s">
        <v>64</v>
      </c>
      <c r="X28" t="s">
        <v>64</v>
      </c>
      <c r="Y28" t="s">
        <v>64</v>
      </c>
      <c r="Z28" t="s">
        <v>64</v>
      </c>
    </row>
    <row r="29">
      <c r="A29" t="s">
        <v>296</v>
      </c>
      <c r="B29" t="s">
        <v>74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64</v>
      </c>
      <c r="R29" t="s">
        <v>64</v>
      </c>
      <c r="S29" t="s">
        <v>64</v>
      </c>
      <c r="T29" t="s">
        <v>64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</row>
    <row r="30">
      <c r="A30" t="s">
        <v>64</v>
      </c>
      <c r="B30" t="s">
        <v>64</v>
      </c>
      <c r="C30" t="s">
        <v>354</v>
      </c>
      <c r="D30" t="s">
        <v>109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 t="s">
        <v>64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</row>
    <row r="31">
      <c r="A31" t="s">
        <v>64</v>
      </c>
      <c r="B31" t="s">
        <v>64</v>
      </c>
      <c r="C31" t="s">
        <v>64</v>
      </c>
      <c r="D31" t="s">
        <v>64</v>
      </c>
      <c r="E31" t="s">
        <v>354</v>
      </c>
      <c r="F31" t="s">
        <v>128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 t="s">
        <v>64</v>
      </c>
      <c r="U31" t="s">
        <v>64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</row>
    <row r="32">
      <c r="A32" t="s">
        <v>64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407</v>
      </c>
      <c r="H32" t="s">
        <v>139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 t="s">
        <v>64</v>
      </c>
      <c r="U32" t="s">
        <v>64</v>
      </c>
      <c r="V32" t="s">
        <v>64</v>
      </c>
      <c r="W32" t="s">
        <v>64</v>
      </c>
      <c r="X32" t="s">
        <v>64</v>
      </c>
      <c r="Y32" t="s">
        <v>64</v>
      </c>
      <c r="Z32" t="s">
        <v>64</v>
      </c>
    </row>
    <row r="33">
      <c r="A33" t="s">
        <v>64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354</v>
      </c>
      <c r="J33" t="s">
        <v>180</v>
      </c>
      <c r="K33" t="s">
        <v>64</v>
      </c>
      <c r="L33" t="s">
        <v>64</v>
      </c>
      <c r="M33" t="s">
        <v>64</v>
      </c>
      <c r="N33" t="s">
        <v>64</v>
      </c>
      <c r="O33" t="s">
        <v>64</v>
      </c>
      <c r="P33" t="s">
        <v>64</v>
      </c>
      <c r="Q33" t="s">
        <v>64</v>
      </c>
      <c r="R33" t="s">
        <v>64</v>
      </c>
      <c r="S33" t="s">
        <v>64</v>
      </c>
      <c r="T33" t="s">
        <v>64</v>
      </c>
      <c r="U33" t="s">
        <v>64</v>
      </c>
      <c r="V33" t="s">
        <v>64</v>
      </c>
      <c r="W33" t="s">
        <v>64</v>
      </c>
      <c r="X33" t="s">
        <v>64</v>
      </c>
      <c r="Y33" t="s">
        <v>64</v>
      </c>
      <c r="Z33" t="s">
        <v>64</v>
      </c>
    </row>
    <row r="34">
      <c r="A34" t="s">
        <v>64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407</v>
      </c>
      <c r="L34" t="s">
        <v>198</v>
      </c>
      <c r="M34" t="s">
        <v>64</v>
      </c>
      <c r="N34" t="s">
        <v>64</v>
      </c>
      <c r="O34" t="s">
        <v>64</v>
      </c>
      <c r="P34" t="s">
        <v>64</v>
      </c>
      <c r="Q34" t="s">
        <v>64</v>
      </c>
      <c r="R34" t="s">
        <v>64</v>
      </c>
      <c r="S34" t="s">
        <v>64</v>
      </c>
      <c r="T34" t="s">
        <v>64</v>
      </c>
      <c r="U34" t="s">
        <v>64</v>
      </c>
      <c r="V34" t="s">
        <v>64</v>
      </c>
      <c r="W34" t="s">
        <v>64</v>
      </c>
      <c r="X34" t="s">
        <v>64</v>
      </c>
      <c r="Y34" t="s">
        <v>64</v>
      </c>
      <c r="Z34" t="s">
        <v>64</v>
      </c>
    </row>
    <row r="35">
      <c r="A35" t="s">
        <v>64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352</v>
      </c>
      <c r="N35" t="s">
        <v>214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 t="s">
        <v>64</v>
      </c>
      <c r="U35" t="s">
        <v>64</v>
      </c>
      <c r="V35" t="s">
        <v>64</v>
      </c>
      <c r="W35" t="s">
        <v>64</v>
      </c>
      <c r="X35" t="s">
        <v>64</v>
      </c>
      <c r="Y35" t="s">
        <v>64</v>
      </c>
      <c r="Z35" t="s">
        <v>64</v>
      </c>
    </row>
    <row r="36">
      <c r="A36" t="s">
        <v>64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296</v>
      </c>
      <c r="P36" t="s">
        <v>223</v>
      </c>
      <c r="Q36" t="s">
        <v>64</v>
      </c>
      <c r="R36" t="s">
        <v>64</v>
      </c>
      <c r="S36" t="s">
        <v>64</v>
      </c>
      <c r="T36" t="s">
        <v>64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</row>
    <row r="37">
      <c r="A37" t="s">
        <v>64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  <c r="P37" t="s">
        <v>64</v>
      </c>
      <c r="Q37" t="s">
        <v>354</v>
      </c>
      <c r="R37" t="s">
        <v>231</v>
      </c>
      <c r="S37" t="s">
        <v>64</v>
      </c>
      <c r="T37" t="s">
        <v>64</v>
      </c>
      <c r="U37" t="s">
        <v>64</v>
      </c>
      <c r="V37" t="s">
        <v>64</v>
      </c>
      <c r="W37" t="s">
        <v>64</v>
      </c>
      <c r="X37" t="s">
        <v>64</v>
      </c>
      <c r="Y37" t="s">
        <v>64</v>
      </c>
      <c r="Z37" t="s">
        <v>64</v>
      </c>
    </row>
    <row r="38">
      <c r="A38" t="s">
        <v>64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 t="s">
        <v>64</v>
      </c>
      <c r="S38" t="s">
        <v>354</v>
      </c>
      <c r="T38" t="s">
        <v>247</v>
      </c>
      <c r="U38" t="s">
        <v>64</v>
      </c>
      <c r="V38" t="s">
        <v>64</v>
      </c>
      <c r="W38" t="s">
        <v>64</v>
      </c>
      <c r="X38" t="s">
        <v>64</v>
      </c>
      <c r="Y38" t="s">
        <v>64</v>
      </c>
      <c r="Z38" t="s">
        <v>64</v>
      </c>
    </row>
    <row r="39">
      <c r="A39" t="s">
        <v>64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 t="s">
        <v>64</v>
      </c>
      <c r="U39" t="s">
        <v>282</v>
      </c>
      <c r="V39" t="s">
        <v>255</v>
      </c>
      <c r="W39" t="s">
        <v>64</v>
      </c>
      <c r="X39" t="s">
        <v>64</v>
      </c>
      <c r="Y39" t="s">
        <v>64</v>
      </c>
      <c r="Z39" t="s">
        <v>64</v>
      </c>
    </row>
    <row r="40">
      <c r="A40" t="s">
        <v>64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64</v>
      </c>
      <c r="P40" t="s">
        <v>64</v>
      </c>
      <c r="Q40" t="s">
        <v>64</v>
      </c>
      <c r="R40" t="s">
        <v>64</v>
      </c>
      <c r="S40" t="s">
        <v>64</v>
      </c>
      <c r="T40" t="s">
        <v>64</v>
      </c>
      <c r="U40" t="s">
        <v>64</v>
      </c>
      <c r="V40" t="s">
        <v>64</v>
      </c>
      <c r="W40" t="s">
        <v>354</v>
      </c>
      <c r="X40" t="s">
        <v>259</v>
      </c>
      <c r="Y40" t="s">
        <v>64</v>
      </c>
      <c r="Z40" t="s">
        <v>64</v>
      </c>
    </row>
    <row r="41">
      <c r="A41" t="s">
        <v>64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t="s">
        <v>296</v>
      </c>
      <c r="Z41" t="s">
        <v>267</v>
      </c>
    </row>
    <row r="42">
      <c r="A42" t="s">
        <v>64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  <c r="O42" t="s">
        <v>64</v>
      </c>
      <c r="P42" t="s">
        <v>64</v>
      </c>
      <c r="Q42" t="s">
        <v>64</v>
      </c>
      <c r="R42" t="s">
        <v>64</v>
      </c>
      <c r="S42" t="s">
        <v>64</v>
      </c>
      <c r="T42" t="s">
        <v>64</v>
      </c>
      <c r="U42" t="s">
        <v>64</v>
      </c>
      <c r="V42" t="s">
        <v>64</v>
      </c>
      <c r="W42" t="s">
        <v>64</v>
      </c>
      <c r="X42" t="s">
        <v>64</v>
      </c>
      <c r="Y42" t="s">
        <v>282</v>
      </c>
      <c r="Z42" t="s">
        <v>266</v>
      </c>
    </row>
    <row r="43">
      <c r="A43" t="s">
        <v>64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 t="s">
        <v>64</v>
      </c>
      <c r="U43" t="s">
        <v>64</v>
      </c>
      <c r="V43" t="s">
        <v>64</v>
      </c>
      <c r="W43" t="s">
        <v>355</v>
      </c>
      <c r="X43" t="s">
        <v>262</v>
      </c>
      <c r="Y43" t="s">
        <v>64</v>
      </c>
      <c r="Z43" t="s">
        <v>64</v>
      </c>
    </row>
    <row r="44">
      <c r="A44" t="s">
        <v>64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 t="s">
        <v>64</v>
      </c>
      <c r="U44" t="s">
        <v>351</v>
      </c>
      <c r="V44" t="s">
        <v>250</v>
      </c>
      <c r="W44" t="s">
        <v>64</v>
      </c>
      <c r="X44" t="s">
        <v>64</v>
      </c>
      <c r="Y44" t="s">
        <v>64</v>
      </c>
      <c r="Z44" t="s">
        <v>64</v>
      </c>
    </row>
    <row r="45">
      <c r="A45" t="s">
        <v>64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64</v>
      </c>
      <c r="R45" t="s">
        <v>64</v>
      </c>
      <c r="S45" t="s">
        <v>352</v>
      </c>
      <c r="T45" t="s">
        <v>240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</row>
    <row r="46">
      <c r="A46" t="s">
        <v>64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352</v>
      </c>
      <c r="R46" t="s">
        <v>238</v>
      </c>
      <c r="S46" t="s">
        <v>64</v>
      </c>
      <c r="T46" t="s">
        <v>64</v>
      </c>
      <c r="U46" t="s">
        <v>64</v>
      </c>
      <c r="V46" t="s">
        <v>64</v>
      </c>
      <c r="W46" t="s">
        <v>64</v>
      </c>
      <c r="X46" t="s">
        <v>64</v>
      </c>
      <c r="Y46" t="s">
        <v>64</v>
      </c>
      <c r="Z46" t="s">
        <v>64</v>
      </c>
    </row>
    <row r="47">
      <c r="A47" t="s">
        <v>64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292</v>
      </c>
      <c r="P47" t="s">
        <v>225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</row>
    <row r="48">
      <c r="A48" t="s">
        <v>64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355</v>
      </c>
      <c r="N48" t="s">
        <v>206</v>
      </c>
      <c r="O48" t="s">
        <v>64</v>
      </c>
      <c r="P48" t="s">
        <v>64</v>
      </c>
      <c r="Q48" t="s">
        <v>64</v>
      </c>
      <c r="R48" t="s">
        <v>64</v>
      </c>
      <c r="S48" t="s">
        <v>64</v>
      </c>
      <c r="T48" t="s">
        <v>64</v>
      </c>
      <c r="U48" t="s">
        <v>64</v>
      </c>
      <c r="V48" t="s">
        <v>64</v>
      </c>
      <c r="W48" t="s">
        <v>64</v>
      </c>
      <c r="X48" t="s">
        <v>64</v>
      </c>
      <c r="Y48" t="s">
        <v>64</v>
      </c>
      <c r="Z48" t="s">
        <v>64</v>
      </c>
    </row>
    <row r="49">
      <c r="A49" t="s">
        <v>64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352</v>
      </c>
      <c r="L49" t="s">
        <v>199</v>
      </c>
      <c r="M49" t="s">
        <v>64</v>
      </c>
      <c r="N49" t="s">
        <v>64</v>
      </c>
      <c r="O49" t="s">
        <v>64</v>
      </c>
      <c r="P49" t="s">
        <v>64</v>
      </c>
      <c r="Q49" t="s">
        <v>64</v>
      </c>
      <c r="R49" t="s">
        <v>64</v>
      </c>
      <c r="S49" t="s">
        <v>64</v>
      </c>
      <c r="T49" t="s">
        <v>64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</row>
    <row r="50">
      <c r="A50" t="s">
        <v>64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296</v>
      </c>
      <c r="J50" t="s">
        <v>188</v>
      </c>
      <c r="K50" t="s">
        <v>64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 t="s">
        <v>64</v>
      </c>
      <c r="S50" t="s">
        <v>64</v>
      </c>
      <c r="T50" t="s">
        <v>64</v>
      </c>
      <c r="U50" t="s">
        <v>64</v>
      </c>
      <c r="V50" t="s">
        <v>64</v>
      </c>
      <c r="W50" t="s">
        <v>64</v>
      </c>
      <c r="X50" t="s">
        <v>64</v>
      </c>
      <c r="Y50" t="s">
        <v>64</v>
      </c>
      <c r="Z50" t="s">
        <v>64</v>
      </c>
    </row>
    <row r="51">
      <c r="A51" t="s">
        <v>64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301</v>
      </c>
      <c r="H51" t="s">
        <v>164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 t="s">
        <v>64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</row>
    <row r="52">
      <c r="A52" t="s">
        <v>64</v>
      </c>
      <c r="B52" t="s">
        <v>64</v>
      </c>
      <c r="C52" t="s">
        <v>64</v>
      </c>
      <c r="D52" t="s">
        <v>64</v>
      </c>
      <c r="E52" t="s">
        <v>407</v>
      </c>
      <c r="F52" t="s">
        <v>133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 t="s">
        <v>64</v>
      </c>
      <c r="U52" t="s">
        <v>64</v>
      </c>
      <c r="V52" t="s">
        <v>64</v>
      </c>
      <c r="W52" t="s">
        <v>64</v>
      </c>
      <c r="X52" t="s">
        <v>64</v>
      </c>
      <c r="Y52" t="s">
        <v>64</v>
      </c>
      <c r="Z52" t="s">
        <v>64</v>
      </c>
    </row>
    <row r="53">
      <c r="A53" t="s">
        <v>64</v>
      </c>
      <c r="B53" t="s">
        <v>64</v>
      </c>
      <c r="C53" t="s">
        <v>355</v>
      </c>
      <c r="D53" t="s">
        <v>111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</row>
    <row r="54">
      <c r="A54" t="s">
        <v>301</v>
      </c>
      <c r="B54" t="s">
        <v>79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64</v>
      </c>
      <c r="O54" t="s">
        <v>64</v>
      </c>
      <c r="P54" t="s">
        <v>64</v>
      </c>
      <c r="Q54" t="s">
        <v>64</v>
      </c>
      <c r="R54" t="s">
        <v>64</v>
      </c>
      <c r="S54" t="s">
        <v>64</v>
      </c>
      <c r="T54" t="s">
        <v>64</v>
      </c>
      <c r="U54" t="s">
        <v>64</v>
      </c>
      <c r="V54" t="s">
        <v>64</v>
      </c>
      <c r="W54" t="s">
        <v>64</v>
      </c>
      <c r="X54" t="s">
        <v>64</v>
      </c>
      <c r="Y54" t="s">
        <v>64</v>
      </c>
      <c r="Z54" t="s">
        <v>64</v>
      </c>
    </row>
    <row r="55">
      <c r="A55" t="s">
        <v>355</v>
      </c>
      <c r="B55" t="s">
        <v>71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 t="s">
        <v>64</v>
      </c>
      <c r="Y55" t="s">
        <v>64</v>
      </c>
      <c r="Z55" t="s">
        <v>64</v>
      </c>
    </row>
    <row r="56">
      <c r="A56" t="s">
        <v>64</v>
      </c>
      <c r="B56" t="s">
        <v>64</v>
      </c>
      <c r="C56" t="s">
        <v>352</v>
      </c>
      <c r="D56" t="s">
        <v>117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64</v>
      </c>
      <c r="O56" t="s">
        <v>64</v>
      </c>
      <c r="P56" t="s">
        <v>64</v>
      </c>
      <c r="Q56" t="s">
        <v>64</v>
      </c>
      <c r="R56" t="s">
        <v>64</v>
      </c>
      <c r="S56" t="s">
        <v>64</v>
      </c>
      <c r="T56" t="s">
        <v>64</v>
      </c>
      <c r="U56" t="s">
        <v>64</v>
      </c>
      <c r="V56" t="s">
        <v>64</v>
      </c>
      <c r="W56" t="s">
        <v>64</v>
      </c>
      <c r="X56" t="s">
        <v>64</v>
      </c>
      <c r="Y56" t="s">
        <v>64</v>
      </c>
      <c r="Z56" t="s">
        <v>64</v>
      </c>
    </row>
    <row r="57">
      <c r="A57" t="s">
        <v>64</v>
      </c>
      <c r="B57" t="s">
        <v>64</v>
      </c>
      <c r="C57" t="s">
        <v>64</v>
      </c>
      <c r="D57" t="s">
        <v>64</v>
      </c>
      <c r="E57" t="s">
        <v>351</v>
      </c>
      <c r="F57" t="s">
        <v>123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64</v>
      </c>
      <c r="R57" t="s">
        <v>64</v>
      </c>
      <c r="S57" t="s">
        <v>64</v>
      </c>
      <c r="T57" t="s">
        <v>64</v>
      </c>
      <c r="U57" t="s">
        <v>64</v>
      </c>
      <c r="V57" t="s">
        <v>64</v>
      </c>
      <c r="W57" t="s">
        <v>64</v>
      </c>
      <c r="X57" t="s">
        <v>64</v>
      </c>
      <c r="Y57" t="s">
        <v>64</v>
      </c>
      <c r="Z57" t="s">
        <v>64</v>
      </c>
    </row>
    <row r="58">
      <c r="A58" t="s">
        <v>64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355</v>
      </c>
      <c r="H58" t="s">
        <v>175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 t="s">
        <v>64</v>
      </c>
      <c r="U58" t="s">
        <v>64</v>
      </c>
      <c r="V58" t="s">
        <v>64</v>
      </c>
      <c r="W58" t="s">
        <v>64</v>
      </c>
      <c r="X58" t="s">
        <v>64</v>
      </c>
      <c r="Y58" t="s">
        <v>64</v>
      </c>
      <c r="Z58" t="s">
        <v>64</v>
      </c>
    </row>
    <row r="59">
      <c r="A59" t="s">
        <v>64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353</v>
      </c>
      <c r="J59" t="s">
        <v>183</v>
      </c>
      <c r="K59" t="s">
        <v>64</v>
      </c>
      <c r="L59" t="s">
        <v>64</v>
      </c>
      <c r="M59" t="s">
        <v>64</v>
      </c>
      <c r="N59" t="s">
        <v>64</v>
      </c>
      <c r="O59" t="s">
        <v>64</v>
      </c>
      <c r="P59" t="s">
        <v>64</v>
      </c>
      <c r="Q59" t="s">
        <v>64</v>
      </c>
      <c r="R59" t="s">
        <v>64</v>
      </c>
      <c r="S59" t="s">
        <v>64</v>
      </c>
      <c r="T59" t="s">
        <v>64</v>
      </c>
      <c r="U59" t="s">
        <v>64</v>
      </c>
      <c r="V59" t="s">
        <v>64</v>
      </c>
      <c r="W59" t="s">
        <v>64</v>
      </c>
      <c r="X59" t="s">
        <v>64</v>
      </c>
      <c r="Y59" t="s">
        <v>64</v>
      </c>
      <c r="Z59" t="s">
        <v>64</v>
      </c>
    </row>
    <row r="60">
      <c r="A60" t="s">
        <v>64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351</v>
      </c>
      <c r="L60" t="s">
        <v>194</v>
      </c>
      <c r="M60" t="s">
        <v>64</v>
      </c>
      <c r="N60" t="s">
        <v>64</v>
      </c>
      <c r="O60" t="s">
        <v>64</v>
      </c>
      <c r="P60" t="s">
        <v>64</v>
      </c>
      <c r="Q60" t="s">
        <v>64</v>
      </c>
      <c r="R60" t="s">
        <v>64</v>
      </c>
      <c r="S60" t="s">
        <v>64</v>
      </c>
      <c r="T60" t="s">
        <v>64</v>
      </c>
      <c r="U60" t="s">
        <v>64</v>
      </c>
      <c r="V60" t="s">
        <v>64</v>
      </c>
      <c r="W60" t="s">
        <v>64</v>
      </c>
      <c r="X60" t="s">
        <v>64</v>
      </c>
      <c r="Y60" t="s">
        <v>64</v>
      </c>
      <c r="Z60" t="s">
        <v>64</v>
      </c>
    </row>
    <row r="61">
      <c r="A61" t="s">
        <v>64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351</v>
      </c>
      <c r="N61" t="s">
        <v>201</v>
      </c>
      <c r="O61" t="s">
        <v>64</v>
      </c>
      <c r="P61" t="s">
        <v>64</v>
      </c>
      <c r="Q61" t="s">
        <v>64</v>
      </c>
      <c r="R61" t="s">
        <v>64</v>
      </c>
      <c r="S61" t="s">
        <v>64</v>
      </c>
      <c r="T61" t="s">
        <v>64</v>
      </c>
      <c r="U61" t="s">
        <v>64</v>
      </c>
      <c r="V61" t="s">
        <v>64</v>
      </c>
      <c r="W61" t="s">
        <v>64</v>
      </c>
      <c r="X61" t="s">
        <v>64</v>
      </c>
      <c r="Y61" t="s">
        <v>64</v>
      </c>
      <c r="Z61" t="s">
        <v>64</v>
      </c>
    </row>
    <row r="62">
      <c r="A62" t="s">
        <v>64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64</v>
      </c>
      <c r="O62" t="s">
        <v>407</v>
      </c>
      <c r="P62" t="s">
        <v>221</v>
      </c>
      <c r="Q62" t="s">
        <v>64</v>
      </c>
      <c r="R62" t="s">
        <v>64</v>
      </c>
      <c r="S62" t="s">
        <v>64</v>
      </c>
      <c r="T62" t="s">
        <v>64</v>
      </c>
      <c r="U62" t="s">
        <v>64</v>
      </c>
      <c r="V62" t="s">
        <v>64</v>
      </c>
      <c r="W62" t="s">
        <v>64</v>
      </c>
      <c r="X62" t="s">
        <v>64</v>
      </c>
      <c r="Y62" t="s">
        <v>64</v>
      </c>
      <c r="Z62" t="s">
        <v>64</v>
      </c>
    </row>
    <row r="63">
      <c r="A63" t="s">
        <v>64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64</v>
      </c>
      <c r="O63" t="s">
        <v>64</v>
      </c>
      <c r="P63" t="s">
        <v>64</v>
      </c>
      <c r="Q63" t="s">
        <v>296</v>
      </c>
      <c r="R63" t="s">
        <v>230</v>
      </c>
      <c r="S63" t="s">
        <v>64</v>
      </c>
      <c r="T63" t="s">
        <v>64</v>
      </c>
      <c r="U63" t="s">
        <v>64</v>
      </c>
      <c r="V63" t="s">
        <v>64</v>
      </c>
      <c r="W63" t="s">
        <v>64</v>
      </c>
      <c r="X63" t="s">
        <v>64</v>
      </c>
      <c r="Y63" t="s">
        <v>64</v>
      </c>
      <c r="Z63" t="s">
        <v>64</v>
      </c>
    </row>
    <row r="64">
      <c r="A64" t="s">
        <v>64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64</v>
      </c>
      <c r="O64" t="s">
        <v>64</v>
      </c>
      <c r="P64" t="s">
        <v>64</v>
      </c>
      <c r="Q64" t="s">
        <v>64</v>
      </c>
      <c r="R64" t="s">
        <v>64</v>
      </c>
      <c r="S64" t="s">
        <v>282</v>
      </c>
      <c r="T64" t="s">
        <v>244</v>
      </c>
      <c r="U64" t="s">
        <v>64</v>
      </c>
      <c r="V64" t="s">
        <v>64</v>
      </c>
      <c r="W64" t="s">
        <v>64</v>
      </c>
      <c r="X64" t="s">
        <v>64</v>
      </c>
      <c r="Y64" t="s">
        <v>64</v>
      </c>
      <c r="Z64" t="s">
        <v>64</v>
      </c>
    </row>
    <row r="65">
      <c r="A65" t="s">
        <v>64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64</v>
      </c>
      <c r="O65" t="s">
        <v>64</v>
      </c>
      <c r="P65" t="s">
        <v>64</v>
      </c>
      <c r="Q65" t="s">
        <v>64</v>
      </c>
      <c r="R65" t="s">
        <v>64</v>
      </c>
      <c r="S65" t="s">
        <v>64</v>
      </c>
      <c r="T65" t="s">
        <v>64</v>
      </c>
      <c r="U65" t="s">
        <v>301</v>
      </c>
      <c r="V65" t="s">
        <v>256</v>
      </c>
      <c r="W65" t="s">
        <v>64</v>
      </c>
      <c r="X65" t="s">
        <v>64</v>
      </c>
      <c r="Y65" t="s">
        <v>64</v>
      </c>
      <c r="Z65" t="s">
        <v>64</v>
      </c>
    </row>
    <row r="66">
      <c r="A66" t="s">
        <v>64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64</v>
      </c>
      <c r="R66" t="s">
        <v>64</v>
      </c>
      <c r="S66" t="s">
        <v>64</v>
      </c>
      <c r="T66" t="s">
        <v>64</v>
      </c>
      <c r="U66" t="s">
        <v>64</v>
      </c>
      <c r="V66" t="s">
        <v>64</v>
      </c>
      <c r="W66" t="s">
        <v>352</v>
      </c>
      <c r="X66" t="s">
        <v>265</v>
      </c>
      <c r="Y66" t="s">
        <v>64</v>
      </c>
      <c r="Z66" t="s">
        <v>64</v>
      </c>
    </row>
    <row r="67">
      <c r="A67" t="s">
        <v>64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64</v>
      </c>
      <c r="O67" t="s">
        <v>64</v>
      </c>
      <c r="P67" t="s">
        <v>64</v>
      </c>
      <c r="Q67" t="s">
        <v>64</v>
      </c>
      <c r="R67" t="s">
        <v>64</v>
      </c>
      <c r="S67" t="s">
        <v>64</v>
      </c>
      <c r="T67" t="s">
        <v>64</v>
      </c>
      <c r="U67" t="s">
        <v>64</v>
      </c>
      <c r="V67" t="s">
        <v>64</v>
      </c>
      <c r="W67" t="s">
        <v>64</v>
      </c>
      <c r="X67" t="s">
        <v>64</v>
      </c>
      <c r="Y67" t="s">
        <v>353</v>
      </c>
      <c r="Z67" t="s">
        <v>273</v>
      </c>
    </row>
    <row r="68">
      <c r="A68" t="s">
        <v>64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 t="s">
        <v>64</v>
      </c>
      <c r="U68" t="s">
        <v>64</v>
      </c>
      <c r="V68" t="s">
        <v>64</v>
      </c>
      <c r="W68" t="s">
        <v>64</v>
      </c>
      <c r="X68" t="s">
        <v>64</v>
      </c>
      <c r="Y68" t="s">
        <v>301</v>
      </c>
      <c r="Z68" t="s">
        <v>268</v>
      </c>
    </row>
    <row r="69">
      <c r="A69" t="s">
        <v>64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 t="s">
        <v>64</v>
      </c>
      <c r="U69" t="s">
        <v>64</v>
      </c>
      <c r="V69" t="s">
        <v>64</v>
      </c>
      <c r="W69" t="s">
        <v>351</v>
      </c>
      <c r="X69" t="s">
        <v>260</v>
      </c>
      <c r="Y69" t="s">
        <v>64</v>
      </c>
      <c r="Z69" t="s">
        <v>64</v>
      </c>
    </row>
    <row r="70">
      <c r="A70" t="s">
        <v>64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64</v>
      </c>
      <c r="O70" t="s">
        <v>64</v>
      </c>
      <c r="P70" t="s">
        <v>64</v>
      </c>
      <c r="Q70" t="s">
        <v>64</v>
      </c>
      <c r="R70" t="s">
        <v>64</v>
      </c>
      <c r="S70" t="s">
        <v>64</v>
      </c>
      <c r="T70" t="s">
        <v>64</v>
      </c>
      <c r="U70" t="s">
        <v>296</v>
      </c>
      <c r="V70" t="s">
        <v>257</v>
      </c>
      <c r="W70" t="s">
        <v>64</v>
      </c>
      <c r="X70" t="s">
        <v>64</v>
      </c>
      <c r="Y70" t="s">
        <v>64</v>
      </c>
      <c r="Z70" t="s">
        <v>64</v>
      </c>
    </row>
    <row r="71">
      <c r="A71" t="s">
        <v>64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64</v>
      </c>
      <c r="O71" t="s">
        <v>64</v>
      </c>
      <c r="P71" t="s">
        <v>64</v>
      </c>
      <c r="Q71" t="s">
        <v>64</v>
      </c>
      <c r="R71" t="s">
        <v>64</v>
      </c>
      <c r="S71" t="s">
        <v>355</v>
      </c>
      <c r="T71" t="s">
        <v>245</v>
      </c>
      <c r="U71" t="s">
        <v>64</v>
      </c>
      <c r="V71" t="s">
        <v>64</v>
      </c>
      <c r="W71" t="s">
        <v>64</v>
      </c>
      <c r="X71" t="s">
        <v>64</v>
      </c>
      <c r="Y71" t="s">
        <v>64</v>
      </c>
      <c r="Z71" t="s">
        <v>64</v>
      </c>
    </row>
    <row r="72">
      <c r="A72" t="s">
        <v>64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64</v>
      </c>
      <c r="O72" t="s">
        <v>64</v>
      </c>
      <c r="P72" t="s">
        <v>64</v>
      </c>
      <c r="Q72" t="s">
        <v>355</v>
      </c>
      <c r="R72" t="s">
        <v>232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</row>
    <row r="73">
      <c r="A73" t="s">
        <v>64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64</v>
      </c>
      <c r="O73" t="s">
        <v>282</v>
      </c>
      <c r="P73" t="s">
        <v>222</v>
      </c>
      <c r="Q73" t="s">
        <v>64</v>
      </c>
      <c r="R73" t="s">
        <v>64</v>
      </c>
      <c r="S73" t="s">
        <v>64</v>
      </c>
      <c r="T73" t="s">
        <v>64</v>
      </c>
      <c r="U73" t="s">
        <v>64</v>
      </c>
      <c r="V73" t="s">
        <v>64</v>
      </c>
      <c r="W73" t="s">
        <v>64</v>
      </c>
      <c r="X73" t="s">
        <v>64</v>
      </c>
      <c r="Y73" t="s">
        <v>64</v>
      </c>
      <c r="Z73" t="s">
        <v>64</v>
      </c>
    </row>
    <row r="74">
      <c r="A74" t="s">
        <v>64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353</v>
      </c>
      <c r="N74" t="s">
        <v>202</v>
      </c>
      <c r="O74" t="s">
        <v>64</v>
      </c>
      <c r="P74" t="s">
        <v>64</v>
      </c>
      <c r="Q74" t="s">
        <v>64</v>
      </c>
      <c r="R74" t="s">
        <v>64</v>
      </c>
      <c r="S74" t="s">
        <v>64</v>
      </c>
      <c r="T74" t="s">
        <v>64</v>
      </c>
      <c r="U74" t="s">
        <v>64</v>
      </c>
      <c r="V74" t="s">
        <v>64</v>
      </c>
      <c r="W74" t="s">
        <v>64</v>
      </c>
      <c r="X74" t="s">
        <v>64</v>
      </c>
      <c r="Y74" t="s">
        <v>64</v>
      </c>
      <c r="Z74" t="s">
        <v>64</v>
      </c>
    </row>
    <row r="75">
      <c r="A75" t="s">
        <v>64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355</v>
      </c>
      <c r="L75" t="s">
        <v>197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 t="s">
        <v>64</v>
      </c>
      <c r="U75" t="s">
        <v>64</v>
      </c>
      <c r="V75" t="s">
        <v>64</v>
      </c>
      <c r="W75" t="s">
        <v>64</v>
      </c>
      <c r="X75" t="s">
        <v>64</v>
      </c>
      <c r="Y75" t="s">
        <v>64</v>
      </c>
      <c r="Z75" t="s">
        <v>64</v>
      </c>
    </row>
    <row r="76">
      <c r="A76" t="s">
        <v>64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282</v>
      </c>
      <c r="J76" t="s">
        <v>186</v>
      </c>
      <c r="K76" t="s">
        <v>64</v>
      </c>
      <c r="L76" t="s">
        <v>64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 t="s">
        <v>64</v>
      </c>
      <c r="U76" t="s">
        <v>64</v>
      </c>
      <c r="V76" t="s">
        <v>64</v>
      </c>
      <c r="W76" t="s">
        <v>64</v>
      </c>
      <c r="X76" t="s">
        <v>64</v>
      </c>
      <c r="Y76" t="s">
        <v>64</v>
      </c>
      <c r="Z76" t="s">
        <v>64</v>
      </c>
    </row>
    <row r="77">
      <c r="A77" t="s">
        <v>64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352</v>
      </c>
      <c r="H77" t="s">
        <v>177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64</v>
      </c>
      <c r="O77" t="s">
        <v>64</v>
      </c>
      <c r="P77" t="s">
        <v>64</v>
      </c>
      <c r="Q77" t="s">
        <v>64</v>
      </c>
      <c r="R77" t="s">
        <v>64</v>
      </c>
      <c r="S77" t="s">
        <v>64</v>
      </c>
      <c r="T77" t="s">
        <v>64</v>
      </c>
      <c r="U77" t="s">
        <v>64</v>
      </c>
      <c r="V77" t="s">
        <v>64</v>
      </c>
      <c r="W77" t="s">
        <v>64</v>
      </c>
      <c r="X77" t="s">
        <v>64</v>
      </c>
      <c r="Y77" t="s">
        <v>64</v>
      </c>
      <c r="Z77" t="s">
        <v>64</v>
      </c>
    </row>
    <row r="78">
      <c r="A78" t="s">
        <v>64</v>
      </c>
      <c r="B78" t="s">
        <v>64</v>
      </c>
      <c r="C78" t="s">
        <v>64</v>
      </c>
      <c r="D78" t="s">
        <v>64</v>
      </c>
      <c r="E78" t="s">
        <v>353</v>
      </c>
      <c r="F78" t="s">
        <v>129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64</v>
      </c>
      <c r="O78" t="s">
        <v>64</v>
      </c>
      <c r="P78" t="s">
        <v>64</v>
      </c>
      <c r="Q78" t="s">
        <v>64</v>
      </c>
      <c r="R78" t="s">
        <v>64</v>
      </c>
      <c r="S78" t="s">
        <v>64</v>
      </c>
      <c r="T78" t="s">
        <v>64</v>
      </c>
      <c r="U78" t="s">
        <v>64</v>
      </c>
      <c r="V78" t="s">
        <v>64</v>
      </c>
      <c r="W78" t="s">
        <v>64</v>
      </c>
      <c r="X78" t="s">
        <v>64</v>
      </c>
      <c r="Y78" t="s">
        <v>64</v>
      </c>
      <c r="Z78" t="s">
        <v>64</v>
      </c>
    </row>
    <row r="79">
      <c r="A79" t="s">
        <v>64</v>
      </c>
      <c r="B79" t="s">
        <v>64</v>
      </c>
      <c r="C79" t="s">
        <v>282</v>
      </c>
      <c r="D79" t="s">
        <v>116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64</v>
      </c>
      <c r="O79" t="s">
        <v>64</v>
      </c>
      <c r="P79" t="s">
        <v>64</v>
      </c>
      <c r="Q79" t="s">
        <v>64</v>
      </c>
      <c r="R79" t="s">
        <v>64</v>
      </c>
      <c r="S79" t="s">
        <v>64</v>
      </c>
      <c r="T79" t="s">
        <v>64</v>
      </c>
      <c r="U79" t="s">
        <v>64</v>
      </c>
      <c r="V79" t="s">
        <v>64</v>
      </c>
      <c r="W79" t="s">
        <v>64</v>
      </c>
      <c r="X79" t="s">
        <v>64</v>
      </c>
      <c r="Y79" t="s">
        <v>64</v>
      </c>
      <c r="Z79" t="s">
        <v>64</v>
      </c>
    </row>
    <row r="80">
      <c r="A80" t="s">
        <v>407</v>
      </c>
      <c r="B80" t="s">
        <v>81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64</v>
      </c>
      <c r="O80" t="s">
        <v>64</v>
      </c>
      <c r="P80" t="s">
        <v>64</v>
      </c>
      <c r="Q80" t="s">
        <v>64</v>
      </c>
      <c r="R80" t="s">
        <v>64</v>
      </c>
      <c r="S80" t="s">
        <v>64</v>
      </c>
      <c r="T80" t="s">
        <v>64</v>
      </c>
      <c r="U80" t="s">
        <v>64</v>
      </c>
      <c r="V80" t="s">
        <v>64</v>
      </c>
      <c r="W80" t="s">
        <v>64</v>
      </c>
      <c r="X80" t="s">
        <v>64</v>
      </c>
      <c r="Y80" t="s">
        <v>64</v>
      </c>
      <c r="Z80" t="s">
        <v>64</v>
      </c>
    </row>
    <row r="81">
      <c r="A81" t="s">
        <v>282</v>
      </c>
      <c r="B81" t="s">
        <v>80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64</v>
      </c>
      <c r="S81" t="s">
        <v>64</v>
      </c>
      <c r="T81" t="s">
        <v>64</v>
      </c>
      <c r="U81" t="s">
        <v>64</v>
      </c>
      <c r="V81" t="s">
        <v>64</v>
      </c>
      <c r="W81" t="s">
        <v>64</v>
      </c>
      <c r="X81" t="s">
        <v>64</v>
      </c>
      <c r="Y81" t="s">
        <v>64</v>
      </c>
      <c r="Z81" t="s">
        <v>64</v>
      </c>
    </row>
    <row r="82">
      <c r="A82" t="s">
        <v>64</v>
      </c>
      <c r="B82" t="s">
        <v>64</v>
      </c>
      <c r="C82" t="s">
        <v>353</v>
      </c>
      <c r="D82" t="s">
        <v>105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64</v>
      </c>
      <c r="O82" t="s">
        <v>64</v>
      </c>
      <c r="P82" t="s">
        <v>64</v>
      </c>
      <c r="Q82" t="s">
        <v>64</v>
      </c>
      <c r="R82" t="s">
        <v>64</v>
      </c>
      <c r="S82" t="s">
        <v>64</v>
      </c>
      <c r="T82" t="s">
        <v>64</v>
      </c>
      <c r="U82" t="s">
        <v>64</v>
      </c>
      <c r="V82" t="s">
        <v>64</v>
      </c>
      <c r="W82" t="s">
        <v>64</v>
      </c>
      <c r="X82" t="s">
        <v>64</v>
      </c>
      <c r="Y82" t="s">
        <v>64</v>
      </c>
      <c r="Z82" t="s">
        <v>64</v>
      </c>
    </row>
    <row r="83">
      <c r="A83" t="s">
        <v>64</v>
      </c>
      <c r="B83" t="s">
        <v>64</v>
      </c>
      <c r="C83" t="s">
        <v>64</v>
      </c>
      <c r="D83" t="s">
        <v>64</v>
      </c>
      <c r="E83" t="s">
        <v>301</v>
      </c>
      <c r="F83" t="s">
        <v>130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s">
        <v>64</v>
      </c>
      <c r="W83" t="s">
        <v>64</v>
      </c>
      <c r="X83" t="s">
        <v>64</v>
      </c>
      <c r="Y83" t="s">
        <v>64</v>
      </c>
      <c r="Z83" t="s">
        <v>64</v>
      </c>
    </row>
    <row r="84">
      <c r="A84" t="s">
        <v>64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282</v>
      </c>
      <c r="H84" t="s">
        <v>178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 t="s">
        <v>64</v>
      </c>
      <c r="U84" t="s">
        <v>64</v>
      </c>
      <c r="V84" t="s">
        <v>64</v>
      </c>
      <c r="W84" t="s">
        <v>64</v>
      </c>
      <c r="X84" t="s">
        <v>64</v>
      </c>
      <c r="Y84" t="s">
        <v>64</v>
      </c>
      <c r="Z84" t="s">
        <v>64</v>
      </c>
    </row>
    <row r="85">
      <c r="A85" t="s">
        <v>64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301</v>
      </c>
      <c r="J85" t="s">
        <v>187</v>
      </c>
      <c r="K85" t="s">
        <v>64</v>
      </c>
      <c r="L85" t="s">
        <v>64</v>
      </c>
      <c r="M85" t="s">
        <v>64</v>
      </c>
      <c r="N85" t="s">
        <v>64</v>
      </c>
      <c r="O85" t="s">
        <v>64</v>
      </c>
      <c r="P85" t="s">
        <v>64</v>
      </c>
      <c r="Q85" t="s">
        <v>64</v>
      </c>
      <c r="R85" t="s">
        <v>64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64</v>
      </c>
      <c r="Y85" t="s">
        <v>64</v>
      </c>
      <c r="Z85" t="s">
        <v>64</v>
      </c>
    </row>
    <row r="86">
      <c r="A86" t="s">
        <v>64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296</v>
      </c>
      <c r="L86" t="s">
        <v>192</v>
      </c>
      <c r="M86" t="s">
        <v>64</v>
      </c>
      <c r="N86" t="s">
        <v>64</v>
      </c>
      <c r="O86" t="s">
        <v>64</v>
      </c>
      <c r="P86" t="s">
        <v>64</v>
      </c>
      <c r="Q86" t="s">
        <v>64</v>
      </c>
      <c r="R86" t="s">
        <v>64</v>
      </c>
      <c r="S86" t="s">
        <v>64</v>
      </c>
      <c r="T86" t="s">
        <v>64</v>
      </c>
      <c r="U86" t="s">
        <v>64</v>
      </c>
      <c r="V86" t="s">
        <v>64</v>
      </c>
      <c r="W86" t="s">
        <v>64</v>
      </c>
      <c r="X86" t="s">
        <v>64</v>
      </c>
      <c r="Y86" t="s">
        <v>64</v>
      </c>
      <c r="Z86" t="s">
        <v>64</v>
      </c>
    </row>
    <row r="87">
      <c r="A87" t="s">
        <v>64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301</v>
      </c>
      <c r="N87" t="s">
        <v>208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 t="s">
        <v>64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</row>
    <row r="88">
      <c r="A88" t="s">
        <v>64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64</v>
      </c>
      <c r="O88" t="s">
        <v>352</v>
      </c>
      <c r="P88" t="s">
        <v>226</v>
      </c>
      <c r="Q88" t="s">
        <v>64</v>
      </c>
      <c r="R88" t="s">
        <v>64</v>
      </c>
      <c r="S88" t="s">
        <v>64</v>
      </c>
      <c r="T88" t="s">
        <v>64</v>
      </c>
      <c r="U88" t="s">
        <v>64</v>
      </c>
      <c r="V88" t="s">
        <v>64</v>
      </c>
      <c r="W88" t="s">
        <v>64</v>
      </c>
      <c r="X88" t="s">
        <v>64</v>
      </c>
      <c r="Y88" t="s">
        <v>64</v>
      </c>
      <c r="Z88" t="s">
        <v>64</v>
      </c>
    </row>
    <row r="89">
      <c r="A89" t="s">
        <v>64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64</v>
      </c>
      <c r="O89" t="s">
        <v>64</v>
      </c>
      <c r="P89" t="s">
        <v>64</v>
      </c>
      <c r="Q89" t="s">
        <v>407</v>
      </c>
      <c r="R89" t="s">
        <v>234</v>
      </c>
      <c r="S89" t="s">
        <v>64</v>
      </c>
      <c r="T89" t="s">
        <v>64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</row>
    <row r="90">
      <c r="A90" t="s">
        <v>64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 t="s">
        <v>64</v>
      </c>
      <c r="S90" t="s">
        <v>407</v>
      </c>
      <c r="T90" t="s">
        <v>246</v>
      </c>
      <c r="U90" t="s">
        <v>64</v>
      </c>
      <c r="V90" t="s">
        <v>64</v>
      </c>
      <c r="W90" t="s">
        <v>64</v>
      </c>
      <c r="X90" t="s">
        <v>64</v>
      </c>
      <c r="Y90" t="s">
        <v>64</v>
      </c>
      <c r="Z90" t="s">
        <v>64</v>
      </c>
    </row>
    <row r="91">
      <c r="A91" t="s">
        <v>64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 t="s">
        <v>64</v>
      </c>
      <c r="U91" t="s">
        <v>355</v>
      </c>
      <c r="V91" t="s">
        <v>254</v>
      </c>
      <c r="W91" t="s">
        <v>64</v>
      </c>
      <c r="X91" t="s">
        <v>64</v>
      </c>
      <c r="Y91" t="s">
        <v>64</v>
      </c>
      <c r="Z91" t="s">
        <v>64</v>
      </c>
    </row>
    <row r="92">
      <c r="A92" t="s">
        <v>64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64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 t="s">
        <v>64</v>
      </c>
      <c r="U92" t="s">
        <v>64</v>
      </c>
      <c r="V92" t="s">
        <v>64</v>
      </c>
      <c r="W92" t="s">
        <v>292</v>
      </c>
      <c r="X92" t="s">
        <v>264</v>
      </c>
      <c r="Y92" t="s">
        <v>64</v>
      </c>
      <c r="Z92" t="s">
        <v>64</v>
      </c>
    </row>
    <row r="93">
      <c r="A93" t="s">
        <v>64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  <c r="O93" t="s">
        <v>64</v>
      </c>
      <c r="P93" t="s">
        <v>64</v>
      </c>
      <c r="Q93" t="s">
        <v>64</v>
      </c>
      <c r="R93" t="s">
        <v>64</v>
      </c>
      <c r="S93" t="s">
        <v>64</v>
      </c>
      <c r="T93" t="s">
        <v>64</v>
      </c>
      <c r="U93" t="s">
        <v>64</v>
      </c>
      <c r="V93" t="s">
        <v>64</v>
      </c>
      <c r="W93" t="s">
        <v>64</v>
      </c>
      <c r="X93" t="s">
        <v>64</v>
      </c>
      <c r="Y93" t="s">
        <v>407</v>
      </c>
      <c r="Z93" t="s">
        <v>271</v>
      </c>
    </row>
    <row r="94">
      <c r="A94" t="s">
        <v>64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 t="s">
        <v>64</v>
      </c>
      <c r="S94" t="s">
        <v>64</v>
      </c>
      <c r="T94" t="s">
        <v>64</v>
      </c>
      <c r="U94" t="s">
        <v>64</v>
      </c>
      <c r="V94" t="s">
        <v>64</v>
      </c>
      <c r="W94" t="s">
        <v>64</v>
      </c>
      <c r="X94" t="s">
        <v>64</v>
      </c>
      <c r="Y94" t="s">
        <v>352</v>
      </c>
      <c r="Z94" t="s">
        <v>272</v>
      </c>
    </row>
    <row r="95">
      <c r="A95" t="s">
        <v>64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64</v>
      </c>
      <c r="O95" t="s">
        <v>64</v>
      </c>
      <c r="P95" t="s">
        <v>64</v>
      </c>
      <c r="Q95" t="s">
        <v>64</v>
      </c>
      <c r="R95" t="s">
        <v>64</v>
      </c>
      <c r="S95" t="s">
        <v>64</v>
      </c>
      <c r="T95" t="s">
        <v>64</v>
      </c>
      <c r="U95" t="s">
        <v>64</v>
      </c>
      <c r="V95" t="s">
        <v>64</v>
      </c>
      <c r="W95" t="s">
        <v>353</v>
      </c>
      <c r="X95" t="s">
        <v>258</v>
      </c>
      <c r="Y95" t="s">
        <v>64</v>
      </c>
      <c r="Z95" t="s">
        <v>64</v>
      </c>
    </row>
    <row r="96">
      <c r="A96" t="s">
        <v>64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 t="s">
        <v>64</v>
      </c>
      <c r="U96" t="s">
        <v>354</v>
      </c>
      <c r="V96" t="s">
        <v>251</v>
      </c>
      <c r="W96" t="s">
        <v>64</v>
      </c>
      <c r="X96" t="s">
        <v>64</v>
      </c>
      <c r="Y96" t="s">
        <v>64</v>
      </c>
      <c r="Z96" t="s">
        <v>64</v>
      </c>
    </row>
    <row r="97">
      <c r="A97" t="s">
        <v>64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64</v>
      </c>
      <c r="O97" t="s">
        <v>64</v>
      </c>
      <c r="P97" t="s">
        <v>64</v>
      </c>
      <c r="Q97" t="s">
        <v>64</v>
      </c>
      <c r="R97" t="s">
        <v>64</v>
      </c>
      <c r="S97" t="s">
        <v>296</v>
      </c>
      <c r="T97" t="s">
        <v>242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</row>
    <row r="98">
      <c r="A98" t="s">
        <v>64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64</v>
      </c>
      <c r="O98" t="s">
        <v>64</v>
      </c>
      <c r="P98" t="s">
        <v>64</v>
      </c>
      <c r="Q98" t="s">
        <v>351</v>
      </c>
      <c r="R98" t="s">
        <v>236</v>
      </c>
      <c r="S98" t="s">
        <v>64</v>
      </c>
      <c r="T98" t="s">
        <v>64</v>
      </c>
      <c r="U98" t="s">
        <v>64</v>
      </c>
      <c r="V98" t="s">
        <v>64</v>
      </c>
      <c r="W98" t="s">
        <v>64</v>
      </c>
      <c r="X98" t="s">
        <v>64</v>
      </c>
      <c r="Y98" t="s">
        <v>64</v>
      </c>
      <c r="Z98" t="s">
        <v>64</v>
      </c>
    </row>
    <row r="99">
      <c r="A99" t="s">
        <v>64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64</v>
      </c>
      <c r="O99" t="s">
        <v>354</v>
      </c>
      <c r="P99" t="s">
        <v>217</v>
      </c>
      <c r="Q99" t="s">
        <v>64</v>
      </c>
      <c r="R99" t="s">
        <v>64</v>
      </c>
      <c r="S99" t="s">
        <v>64</v>
      </c>
      <c r="T99" t="s">
        <v>64</v>
      </c>
      <c r="U99" t="s">
        <v>64</v>
      </c>
      <c r="V99" t="s">
        <v>64</v>
      </c>
      <c r="W99" t="s">
        <v>64</v>
      </c>
      <c r="X99" t="s">
        <v>64</v>
      </c>
      <c r="Y99" t="s">
        <v>64</v>
      </c>
      <c r="Z99" t="s">
        <v>64</v>
      </c>
    </row>
    <row r="100">
      <c r="A100" t="s">
        <v>64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292</v>
      </c>
      <c r="N100" t="s">
        <v>213</v>
      </c>
      <c r="O100" t="s">
        <v>64</v>
      </c>
      <c r="P100" t="s">
        <v>64</v>
      </c>
      <c r="Q100" t="s">
        <v>64</v>
      </c>
      <c r="R100" t="s">
        <v>64</v>
      </c>
      <c r="S100" t="s">
        <v>64</v>
      </c>
      <c r="T100" t="s">
        <v>64</v>
      </c>
      <c r="U100" t="s">
        <v>64</v>
      </c>
      <c r="V100" t="s">
        <v>64</v>
      </c>
      <c r="W100" t="s">
        <v>64</v>
      </c>
      <c r="X100" t="s">
        <v>64</v>
      </c>
      <c r="Y100" t="s">
        <v>64</v>
      </c>
      <c r="Z100" t="s">
        <v>64</v>
      </c>
    </row>
    <row r="101">
      <c r="A101" t="s">
        <v>64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292</v>
      </c>
      <c r="L101" t="s">
        <v>196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  <c r="R101" t="s">
        <v>64</v>
      </c>
      <c r="S101" t="s">
        <v>64</v>
      </c>
      <c r="T101" t="s">
        <v>64</v>
      </c>
      <c r="U101" t="s">
        <v>64</v>
      </c>
      <c r="V101" t="s">
        <v>64</v>
      </c>
      <c r="W101" t="s">
        <v>64</v>
      </c>
      <c r="X101" t="s">
        <v>64</v>
      </c>
      <c r="Y101" t="s">
        <v>64</v>
      </c>
      <c r="Z101" t="s">
        <v>64</v>
      </c>
    </row>
    <row r="102">
      <c r="A102" t="s">
        <v>64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292</v>
      </c>
      <c r="J102" t="s">
        <v>184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 t="s">
        <v>64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</row>
    <row r="103">
      <c r="A103" t="s">
        <v>64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353</v>
      </c>
      <c r="H103" t="s">
        <v>173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 t="s">
        <v>64</v>
      </c>
      <c r="U103" t="s">
        <v>64</v>
      </c>
      <c r="V103" t="s">
        <v>64</v>
      </c>
      <c r="W103" t="s">
        <v>64</v>
      </c>
      <c r="X103" t="s">
        <v>64</v>
      </c>
      <c r="Y103" t="s">
        <v>64</v>
      </c>
      <c r="Z103" t="s">
        <v>64</v>
      </c>
    </row>
    <row r="104">
      <c r="A104" t="s">
        <v>64</v>
      </c>
      <c r="B104" t="s">
        <v>64</v>
      </c>
      <c r="C104" t="s">
        <v>64</v>
      </c>
      <c r="D104" t="s">
        <v>64</v>
      </c>
      <c r="E104" t="s">
        <v>296</v>
      </c>
      <c r="F104" t="s">
        <v>124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</row>
    <row r="105">
      <c r="A105" t="s">
        <v>64</v>
      </c>
      <c r="B105" t="s">
        <v>64</v>
      </c>
      <c r="C105" t="s">
        <v>296</v>
      </c>
      <c r="D105" t="s">
        <v>119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 t="s">
        <v>64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64</v>
      </c>
    </row>
    <row r="106">
      <c r="A106" t="s">
        <v>351</v>
      </c>
      <c r="B106" t="s">
        <v>78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</row>
    <row r="107">
      <c r="A107" t="s">
        <v>353</v>
      </c>
      <c r="B107" t="s">
        <v>88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  <c r="R107" t="s">
        <v>64</v>
      </c>
      <c r="S107" t="s">
        <v>64</v>
      </c>
      <c r="T107" t="s">
        <v>64</v>
      </c>
      <c r="U107" t="s">
        <v>64</v>
      </c>
      <c r="V107" t="s">
        <v>64</v>
      </c>
      <c r="W107" t="s">
        <v>64</v>
      </c>
      <c r="X107" t="s">
        <v>64</v>
      </c>
      <c r="Y107" t="s">
        <v>64</v>
      </c>
      <c r="Z107" t="s">
        <v>64</v>
      </c>
    </row>
    <row r="108">
      <c r="A108" t="s">
        <v>64</v>
      </c>
      <c r="B108" t="s">
        <v>64</v>
      </c>
      <c r="C108" t="s">
        <v>292</v>
      </c>
      <c r="D108" t="s">
        <v>112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64</v>
      </c>
      <c r="O108" t="s">
        <v>64</v>
      </c>
      <c r="P108" t="s">
        <v>64</v>
      </c>
      <c r="Q108" t="s">
        <v>64</v>
      </c>
      <c r="R108" t="s">
        <v>64</v>
      </c>
      <c r="S108" t="s">
        <v>64</v>
      </c>
      <c r="T108" t="s">
        <v>64</v>
      </c>
      <c r="U108" t="s">
        <v>64</v>
      </c>
      <c r="V108" t="s">
        <v>64</v>
      </c>
      <c r="W108" t="s">
        <v>64</v>
      </c>
      <c r="X108" t="s">
        <v>64</v>
      </c>
      <c r="Y108" t="s">
        <v>64</v>
      </c>
      <c r="Z108" t="s">
        <v>64</v>
      </c>
    </row>
    <row r="109">
      <c r="A109" t="s">
        <v>64</v>
      </c>
      <c r="B109" t="s">
        <v>64</v>
      </c>
      <c r="C109" t="s">
        <v>64</v>
      </c>
      <c r="D109" t="s">
        <v>64</v>
      </c>
      <c r="E109" t="s">
        <v>355</v>
      </c>
      <c r="F109" t="s">
        <v>126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64</v>
      </c>
      <c r="O109" t="s">
        <v>64</v>
      </c>
      <c r="P109" t="s">
        <v>64</v>
      </c>
      <c r="Q109" t="s">
        <v>64</v>
      </c>
      <c r="R109" t="s">
        <v>64</v>
      </c>
      <c r="S109" t="s">
        <v>64</v>
      </c>
      <c r="T109" t="s">
        <v>64</v>
      </c>
      <c r="U109" t="s">
        <v>64</v>
      </c>
      <c r="V109" t="s">
        <v>64</v>
      </c>
      <c r="W109" t="s">
        <v>64</v>
      </c>
      <c r="X109" t="s">
        <v>64</v>
      </c>
      <c r="Y109" t="s">
        <v>64</v>
      </c>
      <c r="Z109" t="s">
        <v>64</v>
      </c>
    </row>
    <row r="110">
      <c r="A110" t="s">
        <v>64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354</v>
      </c>
      <c r="H110" t="s">
        <v>174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64</v>
      </c>
      <c r="O110" t="s">
        <v>64</v>
      </c>
      <c r="P110" t="s">
        <v>64</v>
      </c>
      <c r="Q110" t="s">
        <v>64</v>
      </c>
      <c r="R110" t="s">
        <v>64</v>
      </c>
      <c r="S110" t="s">
        <v>64</v>
      </c>
      <c r="T110" t="s">
        <v>64</v>
      </c>
      <c r="U110" t="s">
        <v>64</v>
      </c>
      <c r="V110" t="s">
        <v>64</v>
      </c>
      <c r="W110" t="s">
        <v>64</v>
      </c>
      <c r="X110" t="s">
        <v>64</v>
      </c>
      <c r="Y110" t="s">
        <v>64</v>
      </c>
      <c r="Z110" t="s">
        <v>64</v>
      </c>
    </row>
    <row r="111">
      <c r="A111" t="s">
        <v>64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351</v>
      </c>
      <c r="J111" t="s">
        <v>185</v>
      </c>
      <c r="K111" t="s">
        <v>64</v>
      </c>
      <c r="L111" t="s">
        <v>64</v>
      </c>
      <c r="M111" t="s">
        <v>64</v>
      </c>
      <c r="N111" t="s">
        <v>64</v>
      </c>
      <c r="O111" t="s">
        <v>64</v>
      </c>
      <c r="P111" t="s">
        <v>64</v>
      </c>
      <c r="Q111" t="s">
        <v>64</v>
      </c>
      <c r="R111" t="s">
        <v>64</v>
      </c>
      <c r="S111" t="s">
        <v>64</v>
      </c>
      <c r="T111" t="s">
        <v>64</v>
      </c>
      <c r="U111" t="s">
        <v>64</v>
      </c>
      <c r="V111" t="s">
        <v>64</v>
      </c>
      <c r="W111" t="s">
        <v>64</v>
      </c>
      <c r="X111" t="s">
        <v>64</v>
      </c>
      <c r="Y111" t="s">
        <v>64</v>
      </c>
      <c r="Z111" t="s">
        <v>64</v>
      </c>
    </row>
    <row r="112">
      <c r="A112" t="s">
        <v>64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282</v>
      </c>
      <c r="L112" t="s">
        <v>195</v>
      </c>
      <c r="M112" t="s">
        <v>64</v>
      </c>
      <c r="N112" t="s">
        <v>64</v>
      </c>
      <c r="O112" t="s">
        <v>64</v>
      </c>
      <c r="P112" t="s">
        <v>64</v>
      </c>
      <c r="Q112" t="s">
        <v>64</v>
      </c>
      <c r="R112" t="s">
        <v>64</v>
      </c>
      <c r="S112" t="s">
        <v>64</v>
      </c>
      <c r="T112" t="s">
        <v>64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</row>
    <row r="113">
      <c r="A113" t="s">
        <v>64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407</v>
      </c>
      <c r="N113" t="s">
        <v>207</v>
      </c>
      <c r="O113" t="s">
        <v>64</v>
      </c>
      <c r="P113" t="s">
        <v>64</v>
      </c>
      <c r="Q113" t="s">
        <v>64</v>
      </c>
      <c r="R113" t="s">
        <v>64</v>
      </c>
      <c r="S113" t="s">
        <v>64</v>
      </c>
      <c r="T113" t="s">
        <v>64</v>
      </c>
      <c r="U113" t="s">
        <v>64</v>
      </c>
      <c r="V113" t="s">
        <v>64</v>
      </c>
      <c r="W113" t="s">
        <v>64</v>
      </c>
      <c r="X113" t="s">
        <v>64</v>
      </c>
      <c r="Y113" t="s">
        <v>64</v>
      </c>
      <c r="Z113" t="s">
        <v>64</v>
      </c>
    </row>
    <row r="114">
      <c r="A114" t="s">
        <v>64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64</v>
      </c>
      <c r="O114" t="s">
        <v>351</v>
      </c>
      <c r="P114" t="s">
        <v>220</v>
      </c>
      <c r="Q114" t="s">
        <v>64</v>
      </c>
      <c r="R114" t="s">
        <v>64</v>
      </c>
      <c r="S114" t="s">
        <v>64</v>
      </c>
      <c r="T114" t="s">
        <v>64</v>
      </c>
      <c r="U114" t="s">
        <v>64</v>
      </c>
      <c r="V114" t="s">
        <v>64</v>
      </c>
      <c r="W114" t="s">
        <v>64</v>
      </c>
      <c r="X114" t="s">
        <v>64</v>
      </c>
      <c r="Y114" t="s">
        <v>64</v>
      </c>
      <c r="Z114" t="s">
        <v>64</v>
      </c>
    </row>
    <row r="115">
      <c r="A115" t="s">
        <v>64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64</v>
      </c>
      <c r="O115" t="s">
        <v>64</v>
      </c>
      <c r="P115" t="s">
        <v>64</v>
      </c>
      <c r="Q115" t="s">
        <v>292</v>
      </c>
      <c r="R115" t="s">
        <v>237</v>
      </c>
      <c r="S115" t="s">
        <v>64</v>
      </c>
      <c r="T115" t="s">
        <v>64</v>
      </c>
      <c r="U115" t="s">
        <v>64</v>
      </c>
      <c r="V115" t="s">
        <v>64</v>
      </c>
      <c r="W115" t="s">
        <v>64</v>
      </c>
      <c r="X115" t="s">
        <v>64</v>
      </c>
      <c r="Y115" t="s">
        <v>64</v>
      </c>
      <c r="Z115" t="s">
        <v>64</v>
      </c>
    </row>
    <row r="116">
      <c r="A116" t="s">
        <v>64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64</v>
      </c>
      <c r="O116" t="s">
        <v>64</v>
      </c>
      <c r="P116" t="s">
        <v>64</v>
      </c>
      <c r="Q116" t="s">
        <v>64</v>
      </c>
      <c r="R116" t="s">
        <v>64</v>
      </c>
      <c r="S116" t="s">
        <v>301</v>
      </c>
      <c r="T116" t="s">
        <v>248</v>
      </c>
      <c r="U116" t="s">
        <v>64</v>
      </c>
      <c r="V116" t="s">
        <v>64</v>
      </c>
      <c r="W116" t="s">
        <v>64</v>
      </c>
      <c r="X116" t="s">
        <v>64</v>
      </c>
      <c r="Y116" t="s">
        <v>64</v>
      </c>
      <c r="Z116" t="s">
        <v>64</v>
      </c>
    </row>
    <row r="117">
      <c r="A117" t="s">
        <v>64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 t="s">
        <v>64</v>
      </c>
      <c r="U117" t="s">
        <v>407</v>
      </c>
      <c r="V117" t="s">
        <v>253</v>
      </c>
      <c r="W117" t="s">
        <v>64</v>
      </c>
      <c r="X117" t="s">
        <v>64</v>
      </c>
      <c r="Y117" t="s">
        <v>64</v>
      </c>
      <c r="Z117" t="s">
        <v>64</v>
      </c>
    </row>
    <row r="118">
      <c r="A118" t="s">
        <v>64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64</v>
      </c>
      <c r="O118" t="s">
        <v>64</v>
      </c>
      <c r="P118" t="s">
        <v>64</v>
      </c>
      <c r="Q118" t="s">
        <v>64</v>
      </c>
      <c r="R118" t="s">
        <v>64</v>
      </c>
      <c r="S118" t="s">
        <v>64</v>
      </c>
      <c r="T118" t="s">
        <v>64</v>
      </c>
      <c r="U118" t="s">
        <v>64</v>
      </c>
      <c r="V118" t="s">
        <v>64</v>
      </c>
      <c r="W118" t="s">
        <v>282</v>
      </c>
      <c r="X118" t="s">
        <v>261</v>
      </c>
      <c r="Y118" t="s">
        <v>64</v>
      </c>
      <c r="Z118" t="s">
        <v>64</v>
      </c>
    </row>
    <row r="119">
      <c r="A119" t="s">
        <v>64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64</v>
      </c>
      <c r="O119" t="s">
        <v>64</v>
      </c>
      <c r="P119" t="s">
        <v>64</v>
      </c>
      <c r="Q119" t="s">
        <v>64</v>
      </c>
      <c r="R119" t="s">
        <v>64</v>
      </c>
      <c r="S119" t="s">
        <v>64</v>
      </c>
      <c r="T119" t="s">
        <v>64</v>
      </c>
      <c r="U119" t="s">
        <v>64</v>
      </c>
      <c r="V119" t="s">
        <v>64</v>
      </c>
      <c r="W119" t="s">
        <v>64</v>
      </c>
      <c r="X119" t="s">
        <v>64</v>
      </c>
      <c r="Y119" t="s">
        <v>354</v>
      </c>
      <c r="Z119" t="s">
        <v>269</v>
      </c>
    </row>
    <row r="120">
      <c r="A120" t="s">
        <v>64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 t="s">
        <v>64</v>
      </c>
      <c r="U120" t="s">
        <v>64</v>
      </c>
      <c r="V120" t="s">
        <v>64</v>
      </c>
      <c r="W120" t="s">
        <v>64</v>
      </c>
      <c r="X120" t="s">
        <v>64</v>
      </c>
      <c r="Y120" t="s">
        <v>355</v>
      </c>
      <c r="Z120" t="s">
        <v>270</v>
      </c>
    </row>
    <row r="121">
      <c r="A121" t="s">
        <v>64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64</v>
      </c>
      <c r="O121" t="s">
        <v>64</v>
      </c>
      <c r="P121" t="s">
        <v>64</v>
      </c>
      <c r="Q121" t="s">
        <v>64</v>
      </c>
      <c r="R121" t="s">
        <v>64</v>
      </c>
      <c r="S121" t="s">
        <v>64</v>
      </c>
      <c r="T121" t="s">
        <v>64</v>
      </c>
      <c r="U121" t="s">
        <v>64</v>
      </c>
      <c r="V121" t="s">
        <v>64</v>
      </c>
      <c r="W121" t="s">
        <v>407</v>
      </c>
      <c r="X121" t="s">
        <v>263</v>
      </c>
      <c r="Y121" t="s">
        <v>64</v>
      </c>
      <c r="Z121" t="s">
        <v>64</v>
      </c>
    </row>
    <row r="122">
      <c r="A122" t="s">
        <v>64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64</v>
      </c>
      <c r="O122" t="s">
        <v>64</v>
      </c>
      <c r="P122" t="s">
        <v>64</v>
      </c>
      <c r="Q122" t="s">
        <v>64</v>
      </c>
      <c r="R122" t="s">
        <v>64</v>
      </c>
      <c r="S122" t="s">
        <v>64</v>
      </c>
      <c r="T122" t="s">
        <v>64</v>
      </c>
      <c r="U122" t="s">
        <v>352</v>
      </c>
      <c r="V122" t="s">
        <v>252</v>
      </c>
      <c r="W122" t="s">
        <v>64</v>
      </c>
      <c r="X122" t="s">
        <v>64</v>
      </c>
      <c r="Y122" t="s">
        <v>64</v>
      </c>
      <c r="Z122" t="s">
        <v>64</v>
      </c>
    </row>
    <row r="123">
      <c r="A123" t="s">
        <v>64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  <c r="R123" t="s">
        <v>64</v>
      </c>
      <c r="S123" t="s">
        <v>292</v>
      </c>
      <c r="T123" t="s">
        <v>249</v>
      </c>
      <c r="U123" t="s">
        <v>64</v>
      </c>
      <c r="V123" t="s">
        <v>64</v>
      </c>
      <c r="W123" t="s">
        <v>64</v>
      </c>
      <c r="X123" t="s">
        <v>64</v>
      </c>
      <c r="Y123" t="s">
        <v>64</v>
      </c>
      <c r="Z123" t="s">
        <v>64</v>
      </c>
    </row>
    <row r="124">
      <c r="A124" t="s">
        <v>64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64</v>
      </c>
      <c r="O124" t="s">
        <v>64</v>
      </c>
      <c r="P124" t="s">
        <v>64</v>
      </c>
      <c r="Q124" t="s">
        <v>301</v>
      </c>
      <c r="R124" t="s">
        <v>229</v>
      </c>
      <c r="S124" t="s">
        <v>64</v>
      </c>
      <c r="T124" t="s">
        <v>64</v>
      </c>
      <c r="U124" t="s">
        <v>64</v>
      </c>
      <c r="V124" t="s">
        <v>64</v>
      </c>
      <c r="W124" t="s">
        <v>64</v>
      </c>
      <c r="X124" t="s">
        <v>64</v>
      </c>
      <c r="Y124" t="s">
        <v>64</v>
      </c>
      <c r="Z124" t="s">
        <v>64</v>
      </c>
    </row>
    <row r="125">
      <c r="A125" t="s">
        <v>64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64</v>
      </c>
      <c r="O125" t="s">
        <v>353</v>
      </c>
      <c r="P125" t="s">
        <v>218</v>
      </c>
      <c r="Q125" t="s">
        <v>64</v>
      </c>
      <c r="R125" t="s">
        <v>64</v>
      </c>
      <c r="S125" t="s">
        <v>64</v>
      </c>
      <c r="T125" t="s">
        <v>64</v>
      </c>
      <c r="U125" t="s">
        <v>64</v>
      </c>
      <c r="V125" t="s">
        <v>64</v>
      </c>
      <c r="W125" t="s">
        <v>64</v>
      </c>
      <c r="X125" t="s">
        <v>64</v>
      </c>
      <c r="Y125" t="s">
        <v>64</v>
      </c>
      <c r="Z125" t="s">
        <v>64</v>
      </c>
    </row>
    <row r="126">
      <c r="A126" t="s">
        <v>64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296</v>
      </c>
      <c r="N126" t="s">
        <v>210</v>
      </c>
      <c r="O126" t="s">
        <v>64</v>
      </c>
      <c r="P126" t="s">
        <v>64</v>
      </c>
      <c r="Q126" t="s">
        <v>64</v>
      </c>
      <c r="R126" t="s">
        <v>64</v>
      </c>
      <c r="S126" t="s">
        <v>64</v>
      </c>
      <c r="T126" t="s">
        <v>64</v>
      </c>
      <c r="U126" t="s">
        <v>64</v>
      </c>
      <c r="V126" t="s">
        <v>64</v>
      </c>
      <c r="W126" t="s">
        <v>64</v>
      </c>
      <c r="X126" t="s">
        <v>64</v>
      </c>
      <c r="Y126" t="s">
        <v>64</v>
      </c>
      <c r="Z126" t="s">
        <v>64</v>
      </c>
    </row>
    <row r="127">
      <c r="A127" t="s">
        <v>64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354</v>
      </c>
      <c r="L127" t="s">
        <v>193</v>
      </c>
      <c r="M127" t="s">
        <v>64</v>
      </c>
      <c r="N127" t="s">
        <v>64</v>
      </c>
      <c r="O127" t="s">
        <v>64</v>
      </c>
      <c r="P127" t="s">
        <v>64</v>
      </c>
      <c r="Q127" t="s">
        <v>64</v>
      </c>
      <c r="R127" t="s">
        <v>64</v>
      </c>
      <c r="S127" t="s">
        <v>64</v>
      </c>
      <c r="T127" t="s">
        <v>64</v>
      </c>
      <c r="U127" t="s">
        <v>64</v>
      </c>
      <c r="V127" t="s">
        <v>64</v>
      </c>
      <c r="W127" t="s">
        <v>64</v>
      </c>
      <c r="X127" t="s">
        <v>64</v>
      </c>
      <c r="Y127" t="s">
        <v>64</v>
      </c>
      <c r="Z127" t="s">
        <v>64</v>
      </c>
    </row>
    <row r="128">
      <c r="A128" t="s">
        <v>64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352</v>
      </c>
      <c r="J128" t="s">
        <v>189</v>
      </c>
      <c r="K128" t="s">
        <v>64</v>
      </c>
      <c r="L128" t="s">
        <v>64</v>
      </c>
      <c r="M128" t="s">
        <v>64</v>
      </c>
      <c r="N128" t="s">
        <v>64</v>
      </c>
      <c r="O128" t="s">
        <v>64</v>
      </c>
      <c r="P128" t="s">
        <v>64</v>
      </c>
      <c r="Q128" t="s">
        <v>64</v>
      </c>
      <c r="R128" t="s">
        <v>64</v>
      </c>
      <c r="S128" t="s">
        <v>64</v>
      </c>
      <c r="T128" t="s">
        <v>64</v>
      </c>
      <c r="U128" t="s">
        <v>64</v>
      </c>
      <c r="V128" t="s">
        <v>64</v>
      </c>
      <c r="W128" t="s">
        <v>64</v>
      </c>
      <c r="X128" t="s">
        <v>64</v>
      </c>
      <c r="Y128" t="s">
        <v>64</v>
      </c>
      <c r="Z128" t="s">
        <v>64</v>
      </c>
    </row>
    <row r="129">
      <c r="A129" t="s">
        <v>64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351</v>
      </c>
      <c r="H129" t="s">
        <v>176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64</v>
      </c>
      <c r="O129" t="s">
        <v>64</v>
      </c>
      <c r="P129" t="s">
        <v>64</v>
      </c>
      <c r="Q129" t="s">
        <v>64</v>
      </c>
      <c r="R129" t="s">
        <v>64</v>
      </c>
      <c r="S129" t="s">
        <v>64</v>
      </c>
      <c r="T129" t="s">
        <v>64</v>
      </c>
      <c r="U129" t="s">
        <v>64</v>
      </c>
      <c r="V129" t="s">
        <v>64</v>
      </c>
      <c r="W129" t="s">
        <v>64</v>
      </c>
      <c r="X129" t="s">
        <v>64</v>
      </c>
      <c r="Y129" t="s">
        <v>64</v>
      </c>
      <c r="Z129" t="s">
        <v>64</v>
      </c>
    </row>
    <row r="130">
      <c r="A130" t="s">
        <v>64</v>
      </c>
      <c r="B130" t="s">
        <v>64</v>
      </c>
      <c r="C130" t="s">
        <v>64</v>
      </c>
      <c r="D130" t="s">
        <v>64</v>
      </c>
      <c r="E130" t="s">
        <v>292</v>
      </c>
      <c r="F130" t="s">
        <v>127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64</v>
      </c>
      <c r="O130" t="s">
        <v>64</v>
      </c>
      <c r="P130" t="s">
        <v>64</v>
      </c>
      <c r="Q130" t="s">
        <v>64</v>
      </c>
      <c r="R130" t="s">
        <v>64</v>
      </c>
      <c r="S130" t="s">
        <v>64</v>
      </c>
      <c r="T130" t="s">
        <v>64</v>
      </c>
      <c r="U130" t="s">
        <v>64</v>
      </c>
      <c r="V130" t="s">
        <v>64</v>
      </c>
      <c r="W130" t="s">
        <v>64</v>
      </c>
      <c r="X130" t="s">
        <v>64</v>
      </c>
      <c r="Y130" t="s">
        <v>64</v>
      </c>
      <c r="Z130" t="s">
        <v>64</v>
      </c>
    </row>
    <row r="131">
      <c r="A131" t="s">
        <v>64</v>
      </c>
      <c r="B131" t="s">
        <v>64</v>
      </c>
      <c r="C131" t="s">
        <v>301</v>
      </c>
      <c r="D131" t="s">
        <v>113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  <c r="T131" t="s">
        <v>64</v>
      </c>
      <c r="U131" t="s">
        <v>64</v>
      </c>
      <c r="V131" t="s">
        <v>64</v>
      </c>
      <c r="W131" t="s">
        <v>64</v>
      </c>
      <c r="X131" t="s">
        <v>64</v>
      </c>
      <c r="Y131" t="s">
        <v>64</v>
      </c>
      <c r="Z131" t="s">
        <v>64</v>
      </c>
    </row>
    <row r="132">
      <c r="A132" t="s">
        <v>352</v>
      </c>
      <c r="B132" t="s">
        <v>75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64</v>
      </c>
      <c r="O132" t="s">
        <v>64</v>
      </c>
      <c r="P132" t="s">
        <v>64</v>
      </c>
      <c r="Q132" t="s">
        <v>64</v>
      </c>
      <c r="R132" t="s">
        <v>64</v>
      </c>
      <c r="S132" t="s">
        <v>64</v>
      </c>
      <c r="T132" t="s">
        <v>64</v>
      </c>
      <c r="U132" t="s">
        <v>64</v>
      </c>
      <c r="V132" t="s">
        <v>64</v>
      </c>
      <c r="W132" t="s">
        <v>64</v>
      </c>
      <c r="X132" t="s">
        <v>64</v>
      </c>
      <c r="Y132" t="s">
        <v>64</v>
      </c>
      <c r="Z132" t="s">
        <v>64</v>
      </c>
    </row>
    <row r="133">
      <c r="A133" t="s">
        <v>64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64</v>
      </c>
      <c r="O133" t="s">
        <v>64</v>
      </c>
      <c r="P133" t="s">
        <v>64</v>
      </c>
      <c r="Q133" t="s">
        <v>64</v>
      </c>
      <c r="R133" t="s">
        <v>64</v>
      </c>
      <c r="S133" t="s">
        <v>64</v>
      </c>
      <c r="T133" t="s">
        <v>64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</row>
    <row r="134">
      <c r="A134" t="s">
        <v>64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  <c r="R134" t="s">
        <v>64</v>
      </c>
      <c r="S134" t="s">
        <v>64</v>
      </c>
      <c r="T134" t="s">
        <v>64</v>
      </c>
      <c r="U134" t="s">
        <v>64</v>
      </c>
      <c r="V134" t="s">
        <v>64</v>
      </c>
      <c r="W134" t="s">
        <v>64</v>
      </c>
      <c r="X134" t="s">
        <v>64</v>
      </c>
      <c r="Y134" t="s">
        <v>64</v>
      </c>
      <c r="Z134" t="s">
        <v>64</v>
      </c>
    </row>
    <row r="135">
      <c r="A135" t="s">
        <v>64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  <c r="R135" t="s">
        <v>64</v>
      </c>
      <c r="S135" t="s">
        <v>64</v>
      </c>
      <c r="T135" t="s">
        <v>64</v>
      </c>
      <c r="U135" t="s">
        <v>64</v>
      </c>
      <c r="V135" t="s">
        <v>64</v>
      </c>
      <c r="W135" t="s">
        <v>64</v>
      </c>
      <c r="X135" t="s">
        <v>64</v>
      </c>
      <c r="Y135" t="s">
        <v>64</v>
      </c>
      <c r="Z135" t="s">
        <v>64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461</v>
      </c>
      <c r="B1" s="23" t="s">
        <v>462</v>
      </c>
    </row>
    <row r="2">
      <c r="A2" s="23" t="s">
        <v>463</v>
      </c>
      <c r="B2" s="23">
        <v>2.05231245E8</v>
      </c>
    </row>
    <row r="3">
      <c r="A3" s="23" t="s">
        <v>464</v>
      </c>
      <c r="B3" s="23">
        <v>2.080297583E9</v>
      </c>
    </row>
    <row r="4">
      <c r="A4" s="23" t="s">
        <v>465</v>
      </c>
      <c r="B4" s="23">
        <v>2.046708162E9</v>
      </c>
    </row>
    <row r="5">
      <c r="A5" s="23" t="s">
        <v>466</v>
      </c>
      <c r="B5" s="23">
        <v>1.003255996E9</v>
      </c>
    </row>
    <row r="6">
      <c r="A6" s="23" t="s">
        <v>467</v>
      </c>
      <c r="B6" s="23">
        <v>1.312315598E9</v>
      </c>
    </row>
    <row r="7">
      <c r="A7" s="23" t="s">
        <v>468</v>
      </c>
      <c r="B7" s="23">
        <v>2.6726793E7</v>
      </c>
    </row>
    <row r="8">
      <c r="A8" s="23" t="s">
        <v>469</v>
      </c>
      <c r="B8" s="23">
        <v>1.273506506E9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</v>
      </c>
      <c r="B1" s="201" t="s">
        <v>470</v>
      </c>
      <c r="C1" s="201" t="s">
        <v>471</v>
      </c>
    </row>
    <row r="2">
      <c r="A2" t="s">
        <v>243</v>
      </c>
      <c r="B2" t="s">
        <v>472</v>
      </c>
      <c r="C2" t="s">
        <v>473</v>
      </c>
    </row>
    <row r="3">
      <c r="A3" t="s">
        <v>189</v>
      </c>
      <c r="B3" t="s">
        <v>474</v>
      </c>
      <c r="C3" t="s">
        <v>475</v>
      </c>
    </row>
    <row r="4">
      <c r="A4" t="s">
        <v>137</v>
      </c>
      <c r="B4" t="s">
        <v>476</v>
      </c>
      <c r="C4" s="201" t="s">
        <v>477</v>
      </c>
    </row>
    <row r="5">
      <c r="A5" t="s">
        <v>71</v>
      </c>
      <c r="B5" t="s">
        <v>478</v>
      </c>
      <c r="C5" t="s">
        <v>479</v>
      </c>
    </row>
    <row r="6">
      <c r="A6" t="s">
        <v>217</v>
      </c>
      <c r="B6" t="s">
        <v>480</v>
      </c>
      <c r="C6" t="s">
        <v>481</v>
      </c>
    </row>
    <row r="7">
      <c r="A7" t="s">
        <v>174</v>
      </c>
      <c r="B7" t="s">
        <v>482</v>
      </c>
      <c r="C7" t="s">
        <v>483</v>
      </c>
    </row>
    <row r="8">
      <c r="A8" t="s">
        <v>213</v>
      </c>
      <c r="B8" t="s">
        <v>476</v>
      </c>
      <c r="C8" s="201" t="s">
        <v>477</v>
      </c>
    </row>
    <row r="9">
      <c r="A9" t="s">
        <v>254</v>
      </c>
      <c r="B9" t="s">
        <v>484</v>
      </c>
      <c r="C9" t="s">
        <v>479</v>
      </c>
    </row>
    <row r="10">
      <c r="A10" t="s">
        <v>123</v>
      </c>
      <c r="B10" t="s">
        <v>485</v>
      </c>
      <c r="C10" t="s">
        <v>479</v>
      </c>
    </row>
    <row r="11">
      <c r="A11" t="s">
        <v>112</v>
      </c>
      <c r="B11" t="s">
        <v>486</v>
      </c>
      <c r="C11" t="s">
        <v>487</v>
      </c>
    </row>
    <row r="12">
      <c r="A12" t="s">
        <v>177</v>
      </c>
      <c r="B12" t="s">
        <v>488</v>
      </c>
      <c r="C12" t="s">
        <v>479</v>
      </c>
    </row>
    <row r="13">
      <c r="A13" t="s">
        <v>230</v>
      </c>
      <c r="B13" t="s">
        <v>489</v>
      </c>
      <c r="C13" t="s">
        <v>490</v>
      </c>
    </row>
    <row r="14">
      <c r="A14" t="s">
        <v>227</v>
      </c>
      <c r="B14" t="s">
        <v>472</v>
      </c>
      <c r="C14" t="s">
        <v>487</v>
      </c>
    </row>
    <row r="15">
      <c r="A15" t="s">
        <v>248</v>
      </c>
      <c r="B15" t="s">
        <v>491</v>
      </c>
      <c r="C15" t="s">
        <v>492</v>
      </c>
    </row>
    <row r="16">
      <c r="A16" t="s">
        <v>226</v>
      </c>
      <c r="B16" t="s">
        <v>493</v>
      </c>
      <c r="C16" t="s">
        <v>494</v>
      </c>
    </row>
    <row r="17">
      <c r="A17" t="s">
        <v>199</v>
      </c>
      <c r="B17" t="s">
        <v>495</v>
      </c>
      <c r="C17" s="201" t="s">
        <v>477</v>
      </c>
    </row>
    <row r="18">
      <c r="A18" s="201" t="s">
        <v>119</v>
      </c>
      <c r="B18" t="s">
        <v>496</v>
      </c>
      <c r="C18" t="s">
        <v>497</v>
      </c>
    </row>
    <row r="19">
      <c r="A19" t="s">
        <v>251</v>
      </c>
      <c r="B19" t="s">
        <v>498</v>
      </c>
      <c r="C19" t="s">
        <v>499</v>
      </c>
    </row>
    <row r="20">
      <c r="A20" t="s">
        <v>265</v>
      </c>
      <c r="B20" t="s">
        <v>500</v>
      </c>
      <c r="C20" t="s">
        <v>499</v>
      </c>
    </row>
    <row r="21">
      <c r="A21" t="s">
        <v>252</v>
      </c>
      <c r="B21" t="s">
        <v>501</v>
      </c>
      <c r="C21" t="s">
        <v>502</v>
      </c>
    </row>
    <row r="22">
      <c r="A22" t="s">
        <v>242</v>
      </c>
      <c r="B22" t="s">
        <v>503</v>
      </c>
      <c r="C22" t="s">
        <v>479</v>
      </c>
    </row>
    <row r="23">
      <c r="A23" t="s">
        <v>191</v>
      </c>
      <c r="B23" t="s">
        <v>504</v>
      </c>
      <c r="C23" t="s">
        <v>505</v>
      </c>
    </row>
    <row r="24">
      <c r="A24" t="s">
        <v>206</v>
      </c>
      <c r="B24" t="s">
        <v>506</v>
      </c>
      <c r="C24" t="s">
        <v>507</v>
      </c>
    </row>
    <row r="25">
      <c r="A25" t="s">
        <v>269</v>
      </c>
      <c r="B25" t="s">
        <v>508</v>
      </c>
      <c r="C25" t="s">
        <v>479</v>
      </c>
    </row>
    <row r="26">
      <c r="A26" t="s">
        <v>105</v>
      </c>
      <c r="B26" t="s">
        <v>509</v>
      </c>
      <c r="C26" t="s">
        <v>510</v>
      </c>
    </row>
    <row r="27">
      <c r="A27" t="s">
        <v>187</v>
      </c>
      <c r="B27" t="s">
        <v>511</v>
      </c>
      <c r="C27" s="201" t="s">
        <v>477</v>
      </c>
    </row>
    <row r="28">
      <c r="A28" t="s">
        <v>246</v>
      </c>
      <c r="B28" t="s">
        <v>512</v>
      </c>
      <c r="C28" t="s">
        <v>513</v>
      </c>
    </row>
    <row r="29">
      <c r="A29" t="s">
        <v>238</v>
      </c>
      <c r="B29" t="s">
        <v>514</v>
      </c>
      <c r="C29" t="s">
        <v>479</v>
      </c>
    </row>
    <row r="30">
      <c r="A30" t="s">
        <v>127</v>
      </c>
      <c r="B30" t="s">
        <v>515</v>
      </c>
      <c r="C30" t="s">
        <v>516</v>
      </c>
    </row>
    <row r="31">
      <c r="A31" t="s">
        <v>133</v>
      </c>
      <c r="B31" t="s">
        <v>481</v>
      </c>
      <c r="C31" t="s">
        <v>517</v>
      </c>
    </row>
    <row r="32">
      <c r="A32" t="s">
        <v>220</v>
      </c>
      <c r="B32" t="s">
        <v>518</v>
      </c>
      <c r="C32" t="s">
        <v>519</v>
      </c>
    </row>
    <row r="33">
      <c r="A33" t="s">
        <v>224</v>
      </c>
      <c r="B33" t="s">
        <v>520</v>
      </c>
      <c r="C33" t="s">
        <v>521</v>
      </c>
    </row>
    <row r="34">
      <c r="A34" t="s">
        <v>241</v>
      </c>
      <c r="B34" t="s">
        <v>522</v>
      </c>
      <c r="C34" t="s">
        <v>523</v>
      </c>
    </row>
    <row r="35">
      <c r="A35" t="s">
        <v>63</v>
      </c>
      <c r="B35" t="s">
        <v>524</v>
      </c>
      <c r="C35" t="s">
        <v>525</v>
      </c>
    </row>
    <row r="36">
      <c r="A36" t="s">
        <v>245</v>
      </c>
      <c r="B36" t="s">
        <v>526</v>
      </c>
      <c r="C36" t="s">
        <v>510</v>
      </c>
    </row>
    <row r="37">
      <c r="A37" t="s">
        <v>232</v>
      </c>
      <c r="B37" t="s">
        <v>527</v>
      </c>
      <c r="C37" s="201" t="s">
        <v>477</v>
      </c>
    </row>
    <row r="38">
      <c r="A38" t="s">
        <v>229</v>
      </c>
      <c r="B38" t="s">
        <v>528</v>
      </c>
      <c r="C38" t="s">
        <v>529</v>
      </c>
    </row>
    <row r="39">
      <c r="A39" t="s">
        <v>173</v>
      </c>
      <c r="B39" t="s">
        <v>530</v>
      </c>
      <c r="C39" t="s">
        <v>531</v>
      </c>
    </row>
    <row r="40">
      <c r="A40" t="s">
        <v>210</v>
      </c>
      <c r="B40" t="s">
        <v>517</v>
      </c>
      <c r="C40" s="201" t="s">
        <v>477</v>
      </c>
    </row>
    <row r="41">
      <c r="A41" s="201" t="s">
        <v>186</v>
      </c>
      <c r="B41" t="s">
        <v>498</v>
      </c>
      <c r="C41" t="s">
        <v>532</v>
      </c>
    </row>
    <row r="42">
      <c r="A42" t="s">
        <v>195</v>
      </c>
      <c r="B42" t="s">
        <v>476</v>
      </c>
      <c r="C42" s="201" t="s">
        <v>477</v>
      </c>
    </row>
    <row r="43">
      <c r="A43" t="s">
        <v>266</v>
      </c>
      <c r="B43" t="s">
        <v>533</v>
      </c>
      <c r="C43" t="s">
        <v>479</v>
      </c>
    </row>
    <row r="44">
      <c r="A44" t="s">
        <v>124</v>
      </c>
      <c r="B44" t="s">
        <v>534</v>
      </c>
      <c r="C44" t="s">
        <v>535</v>
      </c>
    </row>
    <row r="45">
      <c r="A45" s="201" t="s">
        <v>262</v>
      </c>
      <c r="B45" s="23" t="s">
        <v>536</v>
      </c>
      <c r="C45" s="23" t="s">
        <v>537</v>
      </c>
    </row>
    <row r="46">
      <c r="A46" t="s">
        <v>192</v>
      </c>
      <c r="B46" t="s">
        <v>538</v>
      </c>
      <c r="C46" t="s">
        <v>539</v>
      </c>
    </row>
    <row r="47">
      <c r="A47" t="s">
        <v>74</v>
      </c>
      <c r="B47" t="s">
        <v>540</v>
      </c>
      <c r="C47" t="s">
        <v>541</v>
      </c>
    </row>
    <row r="48">
      <c r="A48" t="s">
        <v>75</v>
      </c>
      <c r="B48" t="s">
        <v>542</v>
      </c>
      <c r="C48" t="s">
        <v>543</v>
      </c>
    </row>
    <row r="49">
      <c r="A49" t="s">
        <v>196</v>
      </c>
      <c r="B49" t="s">
        <v>527</v>
      </c>
      <c r="C49" s="201" t="s">
        <v>477</v>
      </c>
    </row>
    <row r="50">
      <c r="A50" t="s">
        <v>102</v>
      </c>
      <c r="B50" s="201" t="s">
        <v>544</v>
      </c>
      <c r="C50" s="201" t="s">
        <v>545</v>
      </c>
    </row>
    <row r="51">
      <c r="A51" t="s">
        <v>250</v>
      </c>
      <c r="B51" t="s">
        <v>546</v>
      </c>
      <c r="C51" t="s">
        <v>547</v>
      </c>
    </row>
    <row r="52">
      <c r="A52" t="s">
        <v>164</v>
      </c>
      <c r="B52" t="s">
        <v>548</v>
      </c>
      <c r="C52" t="s">
        <v>479</v>
      </c>
    </row>
    <row r="53">
      <c r="A53" s="201" t="s">
        <v>219</v>
      </c>
      <c r="B53" t="s">
        <v>549</v>
      </c>
      <c r="C53" t="s">
        <v>550</v>
      </c>
    </row>
    <row r="54">
      <c r="A54" t="s">
        <v>111</v>
      </c>
      <c r="B54" t="s">
        <v>551</v>
      </c>
      <c r="C54" t="s">
        <v>479</v>
      </c>
    </row>
    <row r="55">
      <c r="A55" t="s">
        <v>244</v>
      </c>
      <c r="B55" t="s">
        <v>552</v>
      </c>
      <c r="C55" t="s">
        <v>553</v>
      </c>
    </row>
    <row r="56">
      <c r="A56" t="s">
        <v>118</v>
      </c>
      <c r="B56" t="s">
        <v>554</v>
      </c>
      <c r="C56" t="s">
        <v>555</v>
      </c>
    </row>
    <row r="57">
      <c r="A57" s="201" t="s">
        <v>79</v>
      </c>
      <c r="B57" t="s">
        <v>556</v>
      </c>
      <c r="C57" t="s">
        <v>557</v>
      </c>
    </row>
    <row r="58">
      <c r="A58" s="201" t="s">
        <v>240</v>
      </c>
      <c r="B58" t="s">
        <v>552</v>
      </c>
      <c r="C58" t="s">
        <v>558</v>
      </c>
    </row>
    <row r="59">
      <c r="A59" t="s">
        <v>209</v>
      </c>
      <c r="B59" t="s">
        <v>559</v>
      </c>
      <c r="C59" t="s">
        <v>560</v>
      </c>
    </row>
    <row r="60">
      <c r="A60" t="s">
        <v>178</v>
      </c>
      <c r="B60" t="s">
        <v>561</v>
      </c>
      <c r="C60" s="201" t="s">
        <v>477</v>
      </c>
    </row>
    <row r="61">
      <c r="A61" t="s">
        <v>228</v>
      </c>
      <c r="B61" t="s">
        <v>562</v>
      </c>
      <c r="C61" t="s">
        <v>563</v>
      </c>
    </row>
    <row r="62">
      <c r="A62" t="s">
        <v>116</v>
      </c>
      <c r="B62" t="s">
        <v>564</v>
      </c>
      <c r="C62" t="s">
        <v>565</v>
      </c>
    </row>
    <row r="63">
      <c r="A63" t="s">
        <v>249</v>
      </c>
      <c r="B63" t="s">
        <v>566</v>
      </c>
      <c r="C63" s="201" t="s">
        <v>477</v>
      </c>
    </row>
    <row r="64">
      <c r="A64" t="s">
        <v>237</v>
      </c>
      <c r="B64" t="s">
        <v>567</v>
      </c>
      <c r="C64" t="s">
        <v>479</v>
      </c>
    </row>
    <row r="65">
      <c r="A65" t="s">
        <v>234</v>
      </c>
      <c r="B65" t="s">
        <v>568</v>
      </c>
      <c r="C65" t="s">
        <v>569</v>
      </c>
    </row>
    <row r="66">
      <c r="A66" t="s">
        <v>268</v>
      </c>
      <c r="B66" t="s">
        <v>570</v>
      </c>
      <c r="C66" t="s">
        <v>479</v>
      </c>
    </row>
    <row r="67">
      <c r="A67" s="201" t="s">
        <v>80</v>
      </c>
      <c r="B67" t="s">
        <v>552</v>
      </c>
      <c r="C67" s="201" t="s">
        <v>477</v>
      </c>
    </row>
    <row r="68">
      <c r="A68" t="s">
        <v>258</v>
      </c>
      <c r="B68" t="s">
        <v>481</v>
      </c>
      <c r="C68" t="s">
        <v>571</v>
      </c>
    </row>
    <row r="69">
      <c r="A69" t="s">
        <v>88</v>
      </c>
      <c r="B69" t="s">
        <v>572</v>
      </c>
      <c r="C69" t="s">
        <v>573</v>
      </c>
    </row>
    <row r="70">
      <c r="A70" t="s">
        <v>201</v>
      </c>
      <c r="B70" t="s">
        <v>574</v>
      </c>
      <c r="C70" s="201" t="s">
        <v>477</v>
      </c>
    </row>
    <row r="71">
      <c r="A71" t="s">
        <v>216</v>
      </c>
      <c r="B71" t="s">
        <v>575</v>
      </c>
      <c r="C71" s="201" t="s">
        <v>477</v>
      </c>
    </row>
    <row r="72">
      <c r="A72" t="s">
        <v>221</v>
      </c>
      <c r="B72" t="s">
        <v>576</v>
      </c>
      <c r="C72" s="201" t="s">
        <v>477</v>
      </c>
    </row>
    <row r="73">
      <c r="A73" t="s">
        <v>117</v>
      </c>
      <c r="B73" t="s">
        <v>517</v>
      </c>
      <c r="C73" t="s">
        <v>577</v>
      </c>
    </row>
    <row r="74">
      <c r="A74" t="s">
        <v>261</v>
      </c>
      <c r="B74" t="s">
        <v>578</v>
      </c>
      <c r="C74" s="201" t="s">
        <v>477</v>
      </c>
    </row>
    <row r="75">
      <c r="A75" t="s">
        <v>128</v>
      </c>
      <c r="B75" t="s">
        <v>579</v>
      </c>
      <c r="C75" t="s">
        <v>580</v>
      </c>
    </row>
    <row r="76">
      <c r="A76" t="s">
        <v>214</v>
      </c>
      <c r="B76" t="s">
        <v>581</v>
      </c>
      <c r="C76" t="s">
        <v>479</v>
      </c>
    </row>
    <row r="77">
      <c r="A77" t="s">
        <v>200</v>
      </c>
      <c r="B77" t="s">
        <v>582</v>
      </c>
      <c r="C77" t="s">
        <v>583</v>
      </c>
    </row>
    <row r="78">
      <c r="A78" t="s">
        <v>179</v>
      </c>
      <c r="B78" t="s">
        <v>584</v>
      </c>
      <c r="C78" s="201" t="s">
        <v>477</v>
      </c>
    </row>
    <row r="79">
      <c r="A79" t="s">
        <v>267</v>
      </c>
      <c r="B79" t="s">
        <v>585</v>
      </c>
      <c r="C79" t="s">
        <v>586</v>
      </c>
    </row>
    <row r="80">
      <c r="A80" t="s">
        <v>270</v>
      </c>
      <c r="B80" t="s">
        <v>587</v>
      </c>
      <c r="C80" t="s">
        <v>473</v>
      </c>
    </row>
    <row r="81">
      <c r="A81" s="201" t="s">
        <v>225</v>
      </c>
      <c r="B81" t="s">
        <v>588</v>
      </c>
      <c r="C81" t="s">
        <v>589</v>
      </c>
    </row>
    <row r="82">
      <c r="A82" t="s">
        <v>38</v>
      </c>
      <c r="B82" t="s">
        <v>590</v>
      </c>
      <c r="C82" t="s">
        <v>591</v>
      </c>
    </row>
    <row r="83">
      <c r="A83" t="s">
        <v>247</v>
      </c>
      <c r="B83" t="s">
        <v>592</v>
      </c>
      <c r="C83" t="s">
        <v>479</v>
      </c>
    </row>
    <row r="84">
      <c r="A84" t="s">
        <v>135</v>
      </c>
      <c r="B84" t="s">
        <v>593</v>
      </c>
      <c r="C84" s="201" t="s">
        <v>477</v>
      </c>
    </row>
    <row r="85">
      <c r="A85" t="s">
        <v>256</v>
      </c>
      <c r="B85" t="s">
        <v>594</v>
      </c>
      <c r="C85" t="s">
        <v>595</v>
      </c>
    </row>
    <row r="86">
      <c r="A86" t="s">
        <v>222</v>
      </c>
      <c r="B86" t="s">
        <v>510</v>
      </c>
      <c r="C86" t="s">
        <v>558</v>
      </c>
    </row>
    <row r="87">
      <c r="A87" t="s">
        <v>263</v>
      </c>
      <c r="B87" t="s">
        <v>523</v>
      </c>
      <c r="C87" t="s">
        <v>596</v>
      </c>
    </row>
    <row r="88">
      <c r="A88" t="s">
        <v>185</v>
      </c>
      <c r="B88" t="s">
        <v>597</v>
      </c>
      <c r="C88" t="s">
        <v>598</v>
      </c>
    </row>
    <row r="89">
      <c r="A89" t="s">
        <v>190</v>
      </c>
      <c r="B89" t="s">
        <v>599</v>
      </c>
      <c r="C89" t="s">
        <v>508</v>
      </c>
    </row>
    <row r="90">
      <c r="A90" t="s">
        <v>129</v>
      </c>
      <c r="B90" t="s">
        <v>600</v>
      </c>
      <c r="C90" t="s">
        <v>601</v>
      </c>
    </row>
    <row r="91">
      <c r="A91" s="201" t="s">
        <v>139</v>
      </c>
      <c r="B91" t="s">
        <v>602</v>
      </c>
      <c r="C91" t="s">
        <v>603</v>
      </c>
    </row>
    <row r="92">
      <c r="A92" t="s">
        <v>205</v>
      </c>
      <c r="B92" t="s">
        <v>604</v>
      </c>
      <c r="C92" t="s">
        <v>605</v>
      </c>
    </row>
    <row r="93">
      <c r="A93" t="s">
        <v>184</v>
      </c>
      <c r="B93" t="s">
        <v>606</v>
      </c>
      <c r="C93" t="s">
        <v>479</v>
      </c>
    </row>
    <row r="94">
      <c r="A94" t="s">
        <v>253</v>
      </c>
      <c r="B94" t="s">
        <v>607</v>
      </c>
      <c r="C94" t="s">
        <v>608</v>
      </c>
    </row>
    <row r="95">
      <c r="A95" t="s">
        <v>197</v>
      </c>
      <c r="B95" t="s">
        <v>609</v>
      </c>
      <c r="C95" t="s">
        <v>479</v>
      </c>
    </row>
    <row r="96">
      <c r="A96" t="s">
        <v>193</v>
      </c>
      <c r="B96" t="s">
        <v>610</v>
      </c>
      <c r="C96" t="s">
        <v>611</v>
      </c>
    </row>
    <row r="97">
      <c r="A97" t="s">
        <v>130</v>
      </c>
      <c r="B97" t="s">
        <v>612</v>
      </c>
      <c r="C97" t="s">
        <v>613</v>
      </c>
    </row>
    <row r="98">
      <c r="A98" s="201" t="s">
        <v>223</v>
      </c>
      <c r="B98" t="s">
        <v>614</v>
      </c>
      <c r="C98" s="201" t="s">
        <v>477</v>
      </c>
    </row>
    <row r="99">
      <c r="A99" t="s">
        <v>81</v>
      </c>
      <c r="B99" t="s">
        <v>615</v>
      </c>
      <c r="C99" s="201" t="s">
        <v>477</v>
      </c>
    </row>
    <row r="100">
      <c r="A100" t="s">
        <v>233</v>
      </c>
      <c r="B100" t="s">
        <v>616</v>
      </c>
      <c r="C100" s="201" t="s">
        <v>477</v>
      </c>
    </row>
    <row r="101">
      <c r="A101" t="s">
        <v>239</v>
      </c>
      <c r="B101" t="s">
        <v>617</v>
      </c>
      <c r="C101" s="201" t="s">
        <v>477</v>
      </c>
    </row>
    <row r="102">
      <c r="A102" t="s">
        <v>264</v>
      </c>
      <c r="B102" t="s">
        <v>618</v>
      </c>
      <c r="C102" t="s">
        <v>619</v>
      </c>
    </row>
    <row r="103">
      <c r="A103" t="s">
        <v>126</v>
      </c>
      <c r="B103" t="s">
        <v>620</v>
      </c>
      <c r="C103" t="s">
        <v>621</v>
      </c>
    </row>
    <row r="104">
      <c r="A104" t="s">
        <v>188</v>
      </c>
      <c r="B104" t="s">
        <v>517</v>
      </c>
      <c r="C104" t="s">
        <v>479</v>
      </c>
    </row>
    <row r="105">
      <c r="A105" t="s">
        <v>120</v>
      </c>
      <c r="B105" t="s">
        <v>622</v>
      </c>
      <c r="C105" t="s">
        <v>478</v>
      </c>
    </row>
    <row r="106">
      <c r="A106" t="s">
        <v>181</v>
      </c>
      <c r="B106" t="s">
        <v>623</v>
      </c>
      <c r="C106" t="s">
        <v>624</v>
      </c>
    </row>
    <row r="107">
      <c r="A107" t="s">
        <v>182</v>
      </c>
      <c r="B107" t="s">
        <v>625</v>
      </c>
      <c r="C107" t="s">
        <v>626</v>
      </c>
    </row>
    <row r="108">
      <c r="A108" t="s">
        <v>207</v>
      </c>
      <c r="B108" t="s">
        <v>627</v>
      </c>
      <c r="C108" t="s">
        <v>628</v>
      </c>
    </row>
    <row r="109">
      <c r="A109" t="s">
        <v>271</v>
      </c>
      <c r="B109" s="201" t="s">
        <v>629</v>
      </c>
      <c r="C109" s="201" t="s">
        <v>630</v>
      </c>
    </row>
    <row r="110">
      <c r="A110" t="s">
        <v>257</v>
      </c>
      <c r="B110" t="s">
        <v>510</v>
      </c>
      <c r="C110" t="s">
        <v>479</v>
      </c>
    </row>
    <row r="111">
      <c r="A111" s="201" t="s">
        <v>109</v>
      </c>
      <c r="B111" t="s">
        <v>631</v>
      </c>
      <c r="C111" t="s">
        <v>499</v>
      </c>
    </row>
    <row r="112">
      <c r="A112" t="s">
        <v>236</v>
      </c>
      <c r="B112" t="s">
        <v>632</v>
      </c>
      <c r="C112" t="s">
        <v>633</v>
      </c>
    </row>
    <row r="113">
      <c r="A113" t="s">
        <v>175</v>
      </c>
      <c r="B113" t="s">
        <v>634</v>
      </c>
      <c r="C113" t="s">
        <v>635</v>
      </c>
    </row>
    <row r="114">
      <c r="A114" t="s">
        <v>218</v>
      </c>
      <c r="B114" t="s">
        <v>636</v>
      </c>
      <c r="C114" t="s">
        <v>510</v>
      </c>
    </row>
    <row r="115">
      <c r="A115" t="s">
        <v>176</v>
      </c>
      <c r="B115" t="s">
        <v>636</v>
      </c>
      <c r="C115" s="201" t="s">
        <v>477</v>
      </c>
    </row>
    <row r="116">
      <c r="A116" s="201" t="s">
        <v>202</v>
      </c>
      <c r="B116" t="s">
        <v>570</v>
      </c>
      <c r="C116" t="s">
        <v>637</v>
      </c>
    </row>
    <row r="117">
      <c r="A117" s="201" t="s">
        <v>204</v>
      </c>
      <c r="B117" t="s">
        <v>544</v>
      </c>
      <c r="C117" t="s">
        <v>638</v>
      </c>
    </row>
    <row r="118">
      <c r="A118" t="s">
        <v>231</v>
      </c>
      <c r="B118" t="s">
        <v>517</v>
      </c>
      <c r="C118" t="s">
        <v>479</v>
      </c>
    </row>
    <row r="119">
      <c r="A119" t="s">
        <v>273</v>
      </c>
      <c r="B119" t="s">
        <v>639</v>
      </c>
      <c r="C119" t="s">
        <v>640</v>
      </c>
    </row>
    <row r="120">
      <c r="A120" s="201" t="s">
        <v>194</v>
      </c>
      <c r="B120" t="s">
        <v>641</v>
      </c>
      <c r="C120" t="s">
        <v>642</v>
      </c>
    </row>
    <row r="121">
      <c r="A121" s="201" t="s">
        <v>198</v>
      </c>
      <c r="B121" t="s">
        <v>643</v>
      </c>
      <c r="C121" t="s">
        <v>557</v>
      </c>
    </row>
    <row r="122">
      <c r="A122" t="s">
        <v>277</v>
      </c>
      <c r="B122" t="s">
        <v>644</v>
      </c>
      <c r="C122" t="s">
        <v>479</v>
      </c>
    </row>
    <row r="123">
      <c r="A123" t="s">
        <v>275</v>
      </c>
      <c r="B123" t="s">
        <v>645</v>
      </c>
      <c r="C123" t="s">
        <v>646</v>
      </c>
    </row>
    <row r="124">
      <c r="A124" t="s">
        <v>113</v>
      </c>
      <c r="B124" t="s">
        <v>566</v>
      </c>
      <c r="C124" t="s">
        <v>647</v>
      </c>
    </row>
    <row r="125">
      <c r="A125" t="s">
        <v>208</v>
      </c>
      <c r="B125" t="s">
        <v>648</v>
      </c>
      <c r="C125" t="s">
        <v>479</v>
      </c>
    </row>
    <row r="126">
      <c r="A126" t="s">
        <v>180</v>
      </c>
      <c r="B126" t="s">
        <v>649</v>
      </c>
      <c r="C126" t="s">
        <v>650</v>
      </c>
    </row>
    <row r="127">
      <c r="A127" t="s">
        <v>259</v>
      </c>
      <c r="B127" t="s">
        <v>651</v>
      </c>
      <c r="C127" t="s">
        <v>652</v>
      </c>
    </row>
    <row r="128">
      <c r="A128" t="s">
        <v>276</v>
      </c>
      <c r="B128" t="s">
        <v>653</v>
      </c>
      <c r="C128" t="s">
        <v>654</v>
      </c>
    </row>
    <row r="129">
      <c r="A129" t="s">
        <v>215</v>
      </c>
      <c r="B129" t="s">
        <v>655</v>
      </c>
      <c r="C129" t="s">
        <v>479</v>
      </c>
    </row>
    <row r="130">
      <c r="A130" t="s">
        <v>272</v>
      </c>
      <c r="B130" t="s">
        <v>656</v>
      </c>
      <c r="C130" t="s">
        <v>657</v>
      </c>
    </row>
    <row r="131">
      <c r="A131" t="s">
        <v>255</v>
      </c>
      <c r="B131" t="s">
        <v>658</v>
      </c>
      <c r="C131" s="201" t="s">
        <v>477</v>
      </c>
    </row>
    <row r="132">
      <c r="A132" t="s">
        <v>183</v>
      </c>
      <c r="B132" t="s">
        <v>659</v>
      </c>
      <c r="C132" t="s">
        <v>660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143</v>
      </c>
      <c r="B1" s="201" t="s">
        <v>470</v>
      </c>
      <c r="C1" s="201" t="s">
        <v>471</v>
      </c>
    </row>
    <row r="2">
      <c r="A2" t="s">
        <v>296</v>
      </c>
      <c r="B2" s="23" t="s">
        <v>661</v>
      </c>
      <c r="C2" s="23" t="s">
        <v>662</v>
      </c>
    </row>
    <row r="3">
      <c r="A3" t="s">
        <v>301</v>
      </c>
      <c r="B3" s="23" t="s">
        <v>663</v>
      </c>
      <c r="C3" s="23" t="s">
        <v>664</v>
      </c>
    </row>
    <row r="4">
      <c r="A4" t="s">
        <v>407</v>
      </c>
      <c r="B4" s="23" t="s">
        <v>665</v>
      </c>
      <c r="C4" s="23" t="s">
        <v>666</v>
      </c>
    </row>
    <row r="5">
      <c r="A5" t="s">
        <v>355</v>
      </c>
      <c r="B5" s="23" t="s">
        <v>667</v>
      </c>
      <c r="C5" s="23" t="s">
        <v>668</v>
      </c>
    </row>
    <row r="6">
      <c r="A6" t="s">
        <v>351</v>
      </c>
      <c r="B6" s="23" t="s">
        <v>669</v>
      </c>
      <c r="C6" s="23" t="s">
        <v>670</v>
      </c>
    </row>
    <row r="7">
      <c r="A7" t="s">
        <v>352</v>
      </c>
      <c r="B7" s="23" t="s">
        <v>671</v>
      </c>
      <c r="C7" s="23" t="s">
        <v>672</v>
      </c>
    </row>
    <row r="8">
      <c r="A8" t="s">
        <v>282</v>
      </c>
      <c r="B8" s="23" t="s">
        <v>673</v>
      </c>
      <c r="C8" s="23" t="s">
        <v>479</v>
      </c>
    </row>
    <row r="9">
      <c r="A9" t="s">
        <v>292</v>
      </c>
      <c r="B9" s="23" t="s">
        <v>674</v>
      </c>
      <c r="C9" s="23" t="s">
        <v>675</v>
      </c>
    </row>
    <row r="10">
      <c r="A10" t="s">
        <v>353</v>
      </c>
      <c r="B10" s="23" t="s">
        <v>676</v>
      </c>
      <c r="C10" s="23" t="s">
        <v>677</v>
      </c>
    </row>
    <row r="11">
      <c r="A11" t="s">
        <v>354</v>
      </c>
      <c r="B11" s="23" t="s">
        <v>678</v>
      </c>
      <c r="C11" s="23" t="s">
        <v>679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680</v>
      </c>
      <c r="B1" s="23" t="s">
        <v>3</v>
      </c>
      <c r="C1" s="23" t="s">
        <v>279</v>
      </c>
      <c r="D1" s="23" t="s">
        <v>280</v>
      </c>
    </row>
    <row r="2">
      <c r="A2" s="202">
        <v>45173.0</v>
      </c>
      <c r="B2" s="23" t="s">
        <v>243</v>
      </c>
      <c r="C2" s="201">
        <v>7.6979999999999995</v>
      </c>
      <c r="D2" s="23" t="s">
        <v>69</v>
      </c>
    </row>
    <row r="3">
      <c r="A3" s="202">
        <v>45173.0</v>
      </c>
      <c r="B3" s="23" t="s">
        <v>189</v>
      </c>
      <c r="C3" s="201">
        <v>4.084</v>
      </c>
      <c r="D3" s="23" t="s">
        <v>46</v>
      </c>
    </row>
    <row r="4">
      <c r="A4" s="202">
        <v>45173.0</v>
      </c>
      <c r="B4" s="23" t="s">
        <v>137</v>
      </c>
      <c r="C4" s="201">
        <v>10.615</v>
      </c>
      <c r="D4" s="23" t="s">
        <v>60</v>
      </c>
    </row>
    <row r="5">
      <c r="A5" s="202">
        <v>45173.0</v>
      </c>
      <c r="B5" s="23" t="s">
        <v>71</v>
      </c>
      <c r="C5" s="201">
        <v>5.929</v>
      </c>
      <c r="D5" s="23" t="s">
        <v>35</v>
      </c>
    </row>
    <row r="6">
      <c r="A6" s="202">
        <v>45173.0</v>
      </c>
      <c r="B6" s="23" t="s">
        <v>174</v>
      </c>
      <c r="C6" s="201">
        <v>3.2</v>
      </c>
      <c r="D6" s="23" t="s">
        <v>60</v>
      </c>
    </row>
    <row r="7">
      <c r="A7" s="202">
        <v>45173.0</v>
      </c>
      <c r="B7" s="23" t="s">
        <v>217</v>
      </c>
      <c r="C7" s="201">
        <v>5.8950000000000005</v>
      </c>
      <c r="D7" s="23" t="s">
        <v>67</v>
      </c>
    </row>
    <row r="8">
      <c r="A8" s="202">
        <v>45173.0</v>
      </c>
      <c r="B8" s="23" t="s">
        <v>213</v>
      </c>
      <c r="C8" s="201">
        <v>6.399</v>
      </c>
      <c r="D8" s="23" t="s">
        <v>57</v>
      </c>
    </row>
    <row r="9">
      <c r="A9" s="202">
        <v>45173.0</v>
      </c>
      <c r="B9" s="23" t="s">
        <v>254</v>
      </c>
      <c r="C9" s="201">
        <v>3.795</v>
      </c>
      <c r="D9" s="23" t="s">
        <v>69</v>
      </c>
    </row>
    <row r="10">
      <c r="A10" s="202">
        <v>45173.0</v>
      </c>
      <c r="B10" s="23" t="s">
        <v>123</v>
      </c>
      <c r="C10" s="201">
        <v>5.1</v>
      </c>
      <c r="D10" s="23" t="s">
        <v>56</v>
      </c>
    </row>
    <row r="11">
      <c r="A11" s="202">
        <v>45173.0</v>
      </c>
      <c r="B11" s="23" t="s">
        <v>112</v>
      </c>
      <c r="C11" s="201">
        <v>6.793</v>
      </c>
      <c r="D11" s="23" t="s">
        <v>58</v>
      </c>
    </row>
    <row r="12">
      <c r="A12" s="202">
        <v>45173.0</v>
      </c>
      <c r="B12" s="23" t="s">
        <v>177</v>
      </c>
      <c r="C12" s="201">
        <v>5.3500000000000005</v>
      </c>
      <c r="D12" s="23" t="s">
        <v>60</v>
      </c>
    </row>
    <row r="13">
      <c r="A13" s="202">
        <v>45173.0</v>
      </c>
      <c r="B13" s="23" t="s">
        <v>230</v>
      </c>
      <c r="C13" s="201">
        <v>4.796</v>
      </c>
      <c r="D13" s="23" t="s">
        <v>59</v>
      </c>
    </row>
    <row r="14">
      <c r="A14" s="202">
        <v>45173.0</v>
      </c>
      <c r="B14" s="23" t="s">
        <v>227</v>
      </c>
      <c r="C14" s="201">
        <v>6.5200000000000005</v>
      </c>
      <c r="D14" s="23" t="s">
        <v>59</v>
      </c>
    </row>
    <row r="15">
      <c r="A15" s="202">
        <v>45173.0</v>
      </c>
      <c r="B15" s="23" t="s">
        <v>248</v>
      </c>
      <c r="C15" s="201">
        <v>4.0</v>
      </c>
      <c r="D15" s="23" t="s">
        <v>62</v>
      </c>
    </row>
    <row r="16">
      <c r="A16" s="202">
        <v>45173.0</v>
      </c>
      <c r="B16" s="23" t="s">
        <v>226</v>
      </c>
      <c r="C16" s="201">
        <v>3.984</v>
      </c>
      <c r="D16" s="23" t="s">
        <v>67</v>
      </c>
    </row>
    <row r="17">
      <c r="A17" s="202">
        <v>45173.0</v>
      </c>
      <c r="B17" s="23" t="s">
        <v>199</v>
      </c>
      <c r="C17" s="201">
        <v>6.663</v>
      </c>
      <c r="D17" s="23" t="s">
        <v>70</v>
      </c>
    </row>
    <row r="18">
      <c r="A18" s="202">
        <v>45173.0</v>
      </c>
      <c r="B18" s="23" t="s">
        <v>119</v>
      </c>
      <c r="C18" s="201">
        <v>4.7989999999999995</v>
      </c>
      <c r="D18" s="23" t="s">
        <v>58</v>
      </c>
    </row>
    <row r="19">
      <c r="A19" s="202">
        <v>45173.0</v>
      </c>
      <c r="B19" s="23" t="s">
        <v>251</v>
      </c>
      <c r="C19" s="201">
        <v>6.979</v>
      </c>
      <c r="D19" s="23" t="s">
        <v>69</v>
      </c>
    </row>
    <row r="20">
      <c r="A20" s="202">
        <v>45173.0</v>
      </c>
      <c r="B20" s="23" t="s">
        <v>265</v>
      </c>
      <c r="C20" s="201">
        <v>5.052</v>
      </c>
      <c r="D20" s="23" t="s">
        <v>125</v>
      </c>
    </row>
    <row r="21">
      <c r="A21" s="202">
        <v>45173.0</v>
      </c>
      <c r="B21" s="23" t="s">
        <v>252</v>
      </c>
      <c r="C21" s="201">
        <v>4.497</v>
      </c>
      <c r="D21" s="23" t="s">
        <v>69</v>
      </c>
    </row>
    <row r="22">
      <c r="A22" s="202">
        <v>45173.0</v>
      </c>
      <c r="B22" s="23" t="s">
        <v>242</v>
      </c>
      <c r="C22" s="201">
        <v>7.5649999999999995</v>
      </c>
      <c r="D22" s="23" t="s">
        <v>62</v>
      </c>
    </row>
    <row r="23">
      <c r="A23" s="202">
        <v>45173.0</v>
      </c>
      <c r="B23" s="23" t="s">
        <v>191</v>
      </c>
      <c r="C23" s="201">
        <v>9.309</v>
      </c>
      <c r="D23" s="23" t="s">
        <v>70</v>
      </c>
    </row>
    <row r="24">
      <c r="A24" s="202">
        <v>45173.0</v>
      </c>
      <c r="B24" s="23" t="s">
        <v>206</v>
      </c>
      <c r="C24" s="201">
        <v>6.962</v>
      </c>
      <c r="D24" s="23" t="s">
        <v>57</v>
      </c>
    </row>
    <row r="25">
      <c r="A25" s="202">
        <v>45173.0</v>
      </c>
      <c r="B25" s="23" t="s">
        <v>269</v>
      </c>
      <c r="C25" s="201">
        <v>4.7989999999999995</v>
      </c>
      <c r="D25" s="23" t="s">
        <v>61</v>
      </c>
    </row>
    <row r="26">
      <c r="A26" s="202">
        <v>45173.0</v>
      </c>
      <c r="B26" s="23" t="s">
        <v>105</v>
      </c>
      <c r="C26" s="201">
        <v>3.896</v>
      </c>
      <c r="D26" s="23" t="s">
        <v>58</v>
      </c>
    </row>
    <row r="27">
      <c r="A27" s="202">
        <v>45173.0</v>
      </c>
      <c r="B27" s="23" t="s">
        <v>187</v>
      </c>
      <c r="C27" s="201">
        <v>4.898000000000001</v>
      </c>
      <c r="D27" s="23" t="s">
        <v>46</v>
      </c>
    </row>
    <row r="28">
      <c r="A28" s="202">
        <v>45173.0</v>
      </c>
      <c r="B28" s="23" t="s">
        <v>246</v>
      </c>
      <c r="C28" s="201">
        <v>6.268</v>
      </c>
      <c r="D28" s="23" t="s">
        <v>62</v>
      </c>
    </row>
    <row r="29">
      <c r="A29" s="202">
        <v>45173.0</v>
      </c>
      <c r="B29" s="23" t="s">
        <v>238</v>
      </c>
      <c r="C29" s="201">
        <v>4.692</v>
      </c>
      <c r="D29" s="23" t="s">
        <v>59</v>
      </c>
    </row>
    <row r="30">
      <c r="A30" s="202">
        <v>45173.0</v>
      </c>
      <c r="B30" s="23" t="s">
        <v>133</v>
      </c>
      <c r="C30" s="201">
        <v>5.782</v>
      </c>
      <c r="D30" s="23" t="s">
        <v>56</v>
      </c>
    </row>
    <row r="31">
      <c r="A31" s="202">
        <v>45173.0</v>
      </c>
      <c r="B31" s="23" t="s">
        <v>127</v>
      </c>
      <c r="C31" s="201">
        <v>5.695</v>
      </c>
      <c r="D31" s="23" t="s">
        <v>56</v>
      </c>
    </row>
    <row r="32">
      <c r="A32" s="202">
        <v>45173.0</v>
      </c>
      <c r="B32" s="23" t="s">
        <v>220</v>
      </c>
      <c r="C32" s="201">
        <v>3.993</v>
      </c>
      <c r="D32" s="23" t="s">
        <v>67</v>
      </c>
    </row>
    <row r="33">
      <c r="A33" s="202">
        <v>45173.0</v>
      </c>
      <c r="B33" s="23" t="s">
        <v>224</v>
      </c>
      <c r="C33" s="201">
        <v>8.235000000000001</v>
      </c>
      <c r="D33" s="23" t="s">
        <v>125</v>
      </c>
    </row>
    <row r="34">
      <c r="A34" s="202">
        <v>45173.0</v>
      </c>
      <c r="B34" s="23" t="s">
        <v>241</v>
      </c>
      <c r="C34" s="201">
        <v>9.078000000000001</v>
      </c>
      <c r="D34" s="23" t="s">
        <v>62</v>
      </c>
    </row>
    <row r="35">
      <c r="A35" s="202">
        <v>45173.0</v>
      </c>
      <c r="B35" s="23" t="s">
        <v>63</v>
      </c>
      <c r="C35" s="201">
        <v>10.499</v>
      </c>
      <c r="D35" s="23" t="s">
        <v>35</v>
      </c>
    </row>
    <row r="36">
      <c r="A36" s="202">
        <v>45173.0</v>
      </c>
      <c r="B36" s="23" t="s">
        <v>245</v>
      </c>
      <c r="C36" s="201">
        <v>6.692</v>
      </c>
      <c r="D36" s="23" t="s">
        <v>62</v>
      </c>
    </row>
    <row r="37">
      <c r="A37" s="202">
        <v>45173.0</v>
      </c>
      <c r="B37" s="23" t="s">
        <v>232</v>
      </c>
      <c r="C37" s="201">
        <v>5.566</v>
      </c>
      <c r="D37" s="23" t="s">
        <v>59</v>
      </c>
    </row>
    <row r="38">
      <c r="A38" s="202">
        <v>45173.0</v>
      </c>
      <c r="B38" s="23" t="s">
        <v>229</v>
      </c>
      <c r="C38" s="201">
        <v>4.699</v>
      </c>
      <c r="D38" s="23" t="s">
        <v>59</v>
      </c>
    </row>
    <row r="39">
      <c r="A39" s="202">
        <v>45173.0</v>
      </c>
      <c r="B39" s="23" t="s">
        <v>173</v>
      </c>
      <c r="C39" s="201">
        <v>5.569999999999999</v>
      </c>
      <c r="D39" s="23" t="s">
        <v>60</v>
      </c>
    </row>
    <row r="40">
      <c r="A40" s="202">
        <v>45173.0</v>
      </c>
      <c r="B40" s="23" t="s">
        <v>210</v>
      </c>
      <c r="C40" s="201">
        <v>5.598</v>
      </c>
      <c r="D40" s="23" t="s">
        <v>57</v>
      </c>
    </row>
    <row r="41">
      <c r="A41" s="202">
        <v>45173.0</v>
      </c>
      <c r="B41" s="23" t="s">
        <v>186</v>
      </c>
      <c r="C41" s="201">
        <v>6.686</v>
      </c>
      <c r="D41" s="23" t="s">
        <v>46</v>
      </c>
    </row>
    <row r="42">
      <c r="A42" s="202">
        <v>45173.0</v>
      </c>
      <c r="B42" s="23" t="s">
        <v>195</v>
      </c>
      <c r="C42" s="201">
        <v>4.8</v>
      </c>
      <c r="D42" s="23" t="s">
        <v>70</v>
      </c>
    </row>
    <row r="43">
      <c r="A43" s="202">
        <v>45173.0</v>
      </c>
      <c r="B43" s="23" t="s">
        <v>266</v>
      </c>
      <c r="C43" s="201">
        <v>7.082</v>
      </c>
      <c r="D43" s="23" t="s">
        <v>61</v>
      </c>
    </row>
    <row r="44">
      <c r="A44" s="202">
        <v>45173.0</v>
      </c>
      <c r="B44" s="23" t="s">
        <v>124</v>
      </c>
      <c r="C44" s="201">
        <v>6.491</v>
      </c>
      <c r="D44" s="23" t="s">
        <v>56</v>
      </c>
    </row>
    <row r="45">
      <c r="A45" s="202">
        <v>45173.0</v>
      </c>
      <c r="B45" s="23" t="s">
        <v>262</v>
      </c>
      <c r="C45" s="201">
        <v>6.8</v>
      </c>
      <c r="D45" s="23" t="s">
        <v>125</v>
      </c>
    </row>
    <row r="46">
      <c r="A46" s="202">
        <v>45173.0</v>
      </c>
      <c r="B46" s="23" t="s">
        <v>192</v>
      </c>
      <c r="C46" s="201">
        <v>4.5</v>
      </c>
      <c r="D46" s="23" t="s">
        <v>70</v>
      </c>
    </row>
    <row r="47">
      <c r="A47" s="202">
        <v>45173.0</v>
      </c>
      <c r="B47" s="23" t="s">
        <v>74</v>
      </c>
      <c r="C47" s="201">
        <v>8.043</v>
      </c>
      <c r="D47" s="23" t="s">
        <v>35</v>
      </c>
    </row>
    <row r="48">
      <c r="A48" s="202">
        <v>45173.0</v>
      </c>
      <c r="B48" s="23" t="s">
        <v>75</v>
      </c>
      <c r="C48" s="201">
        <v>3.884</v>
      </c>
      <c r="D48" s="23" t="s">
        <v>35</v>
      </c>
    </row>
    <row r="49">
      <c r="A49" s="202">
        <v>45173.0</v>
      </c>
      <c r="B49" s="23" t="s">
        <v>196</v>
      </c>
      <c r="C49" s="201">
        <v>7.389</v>
      </c>
      <c r="D49" s="23" t="s">
        <v>70</v>
      </c>
    </row>
    <row r="50">
      <c r="A50" s="202">
        <v>45173.0</v>
      </c>
      <c r="B50" s="23" t="s">
        <v>102</v>
      </c>
      <c r="C50" s="201">
        <v>7.509</v>
      </c>
      <c r="D50" s="23" t="s">
        <v>58</v>
      </c>
    </row>
    <row r="51">
      <c r="A51" s="202">
        <v>45173.0</v>
      </c>
      <c r="B51" s="23" t="s">
        <v>175</v>
      </c>
      <c r="C51" s="201">
        <v>6.710999999999999</v>
      </c>
      <c r="D51" s="23" t="s">
        <v>60</v>
      </c>
    </row>
    <row r="52">
      <c r="A52" s="202">
        <v>45173.0</v>
      </c>
      <c r="B52" s="23" t="s">
        <v>250</v>
      </c>
      <c r="C52" s="201">
        <v>5.718999999999999</v>
      </c>
      <c r="D52" s="23" t="s">
        <v>69</v>
      </c>
    </row>
    <row r="53">
      <c r="A53" s="202">
        <v>45173.0</v>
      </c>
      <c r="B53" s="23" t="s">
        <v>164</v>
      </c>
      <c r="C53" s="201">
        <v>7.36</v>
      </c>
      <c r="D53" s="23" t="s">
        <v>60</v>
      </c>
    </row>
    <row r="54">
      <c r="A54" s="202">
        <v>45173.0</v>
      </c>
      <c r="B54" s="23" t="s">
        <v>219</v>
      </c>
      <c r="C54" s="201">
        <v>8.826</v>
      </c>
      <c r="D54" s="23" t="s">
        <v>69</v>
      </c>
    </row>
    <row r="55">
      <c r="A55" s="202">
        <v>45173.0</v>
      </c>
      <c r="B55" s="23" t="s">
        <v>111</v>
      </c>
      <c r="C55" s="201">
        <v>7.309</v>
      </c>
      <c r="D55" s="23" t="s">
        <v>58</v>
      </c>
    </row>
    <row r="56">
      <c r="A56" s="202">
        <v>45173.0</v>
      </c>
      <c r="B56" s="23" t="s">
        <v>244</v>
      </c>
      <c r="C56" s="201">
        <v>6.896000000000001</v>
      </c>
      <c r="D56" s="23" t="s">
        <v>62</v>
      </c>
    </row>
    <row r="57">
      <c r="A57" s="202">
        <v>45173.0</v>
      </c>
      <c r="B57" s="23" t="s">
        <v>118</v>
      </c>
      <c r="C57" s="201">
        <v>8.267</v>
      </c>
      <c r="D57" s="23" t="s">
        <v>58</v>
      </c>
    </row>
    <row r="58">
      <c r="A58" s="202">
        <v>45173.0</v>
      </c>
      <c r="B58" s="23" t="s">
        <v>240</v>
      </c>
      <c r="C58" s="201">
        <v>6.285</v>
      </c>
      <c r="D58" s="23" t="s">
        <v>62</v>
      </c>
    </row>
    <row r="59">
      <c r="A59" s="202">
        <v>45173.0</v>
      </c>
      <c r="B59" s="23" t="s">
        <v>79</v>
      </c>
      <c r="C59" s="201">
        <v>8.588</v>
      </c>
      <c r="D59" s="23" t="s">
        <v>35</v>
      </c>
    </row>
    <row r="60">
      <c r="A60" s="202">
        <v>45173.0</v>
      </c>
      <c r="B60" s="23" t="s">
        <v>178</v>
      </c>
      <c r="C60" s="201">
        <v>6.694</v>
      </c>
      <c r="D60" s="23" t="s">
        <v>60</v>
      </c>
    </row>
    <row r="61">
      <c r="A61" s="202">
        <v>45173.0</v>
      </c>
      <c r="B61" s="23" t="s">
        <v>209</v>
      </c>
      <c r="C61" s="201">
        <v>9.749</v>
      </c>
      <c r="D61" s="23" t="s">
        <v>59</v>
      </c>
    </row>
    <row r="62">
      <c r="A62" s="202">
        <v>45173.0</v>
      </c>
      <c r="B62" s="23" t="s">
        <v>228</v>
      </c>
      <c r="C62" s="201">
        <v>5.889</v>
      </c>
      <c r="D62" s="23" t="s">
        <v>61</v>
      </c>
    </row>
    <row r="63">
      <c r="A63" s="202">
        <v>45173.0</v>
      </c>
      <c r="B63" s="23" t="s">
        <v>116</v>
      </c>
      <c r="C63" s="201">
        <v>6.484</v>
      </c>
      <c r="D63" s="23" t="s">
        <v>58</v>
      </c>
    </row>
    <row r="64">
      <c r="A64" s="202">
        <v>45173.0</v>
      </c>
      <c r="B64" s="23" t="s">
        <v>249</v>
      </c>
      <c r="C64" s="201">
        <v>6.596</v>
      </c>
      <c r="D64" s="23" t="s">
        <v>62</v>
      </c>
    </row>
    <row r="65">
      <c r="A65" s="202">
        <v>45173.0</v>
      </c>
      <c r="B65" s="23" t="s">
        <v>237</v>
      </c>
      <c r="C65" s="201">
        <v>6.297</v>
      </c>
      <c r="D65" s="23" t="s">
        <v>59</v>
      </c>
    </row>
    <row r="66">
      <c r="A66" s="202">
        <v>45173.0</v>
      </c>
      <c r="B66" s="23" t="s">
        <v>234</v>
      </c>
      <c r="C66" s="201">
        <v>4.798</v>
      </c>
      <c r="D66" s="23" t="s">
        <v>59</v>
      </c>
    </row>
    <row r="67">
      <c r="A67" s="202">
        <v>45173.0</v>
      </c>
      <c r="B67" s="23" t="s">
        <v>268</v>
      </c>
      <c r="C67" s="201">
        <v>7.268</v>
      </c>
      <c r="D67" s="23" t="s">
        <v>61</v>
      </c>
    </row>
    <row r="68">
      <c r="A68" s="202">
        <v>45173.0</v>
      </c>
      <c r="B68" s="23" t="s">
        <v>80</v>
      </c>
      <c r="C68" s="201">
        <v>5.596</v>
      </c>
      <c r="D68" s="23" t="s">
        <v>35</v>
      </c>
    </row>
    <row r="69">
      <c r="A69" s="202">
        <v>45173.0</v>
      </c>
      <c r="B69" s="23" t="s">
        <v>258</v>
      </c>
      <c r="C69" s="201">
        <v>4.390000000000001</v>
      </c>
      <c r="D69" s="23" t="s">
        <v>125</v>
      </c>
    </row>
    <row r="70">
      <c r="A70" s="202">
        <v>45173.0</v>
      </c>
      <c r="B70" s="23" t="s">
        <v>88</v>
      </c>
      <c r="C70" s="201">
        <v>3.799</v>
      </c>
      <c r="D70" s="23" t="s">
        <v>35</v>
      </c>
    </row>
    <row r="71">
      <c r="A71" s="202">
        <v>45173.0</v>
      </c>
      <c r="B71" s="23" t="s">
        <v>201</v>
      </c>
      <c r="C71" s="201">
        <v>5.5489999999999995</v>
      </c>
      <c r="D71" s="23" t="s">
        <v>57</v>
      </c>
    </row>
    <row r="72">
      <c r="A72" s="202">
        <v>45173.0</v>
      </c>
      <c r="B72" s="23" t="s">
        <v>216</v>
      </c>
      <c r="C72" s="201">
        <v>8.698</v>
      </c>
      <c r="D72" s="23" t="s">
        <v>67</v>
      </c>
    </row>
    <row r="73">
      <c r="A73" s="202">
        <v>45173.0</v>
      </c>
      <c r="B73" s="23" t="s">
        <v>221</v>
      </c>
      <c r="C73" s="201">
        <v>3.5</v>
      </c>
      <c r="D73" s="23" t="s">
        <v>67</v>
      </c>
    </row>
    <row r="74">
      <c r="A74" s="202">
        <v>45173.0</v>
      </c>
      <c r="B74" s="23" t="s">
        <v>117</v>
      </c>
      <c r="C74" s="201">
        <v>7.581</v>
      </c>
      <c r="D74" s="23" t="s">
        <v>58</v>
      </c>
    </row>
    <row r="75">
      <c r="A75" s="202">
        <v>45173.0</v>
      </c>
      <c r="B75" s="23" t="s">
        <v>261</v>
      </c>
      <c r="C75" s="201">
        <v>5.198</v>
      </c>
      <c r="D75" s="23" t="s">
        <v>125</v>
      </c>
    </row>
    <row r="76">
      <c r="A76" s="202">
        <v>45173.0</v>
      </c>
      <c r="B76" s="23" t="s">
        <v>128</v>
      </c>
      <c r="C76" s="201">
        <v>9.5</v>
      </c>
      <c r="D76" s="23" t="s">
        <v>56</v>
      </c>
    </row>
    <row r="77">
      <c r="A77" s="202">
        <v>45173.0</v>
      </c>
      <c r="B77" s="23" t="s">
        <v>214</v>
      </c>
      <c r="C77" s="201">
        <v>5.8260000000000005</v>
      </c>
      <c r="D77" s="23" t="s">
        <v>57</v>
      </c>
    </row>
    <row r="78">
      <c r="A78" s="202">
        <v>45173.0</v>
      </c>
      <c r="B78" s="23" t="s">
        <v>200</v>
      </c>
      <c r="C78" s="201">
        <v>10.719000000000001</v>
      </c>
      <c r="D78" s="23" t="s">
        <v>57</v>
      </c>
    </row>
    <row r="79">
      <c r="A79" s="202">
        <v>45173.0</v>
      </c>
      <c r="B79" s="23" t="s">
        <v>179</v>
      </c>
      <c r="C79" s="201">
        <v>10.409</v>
      </c>
      <c r="D79" s="23" t="s">
        <v>60</v>
      </c>
    </row>
    <row r="80">
      <c r="A80" s="202">
        <v>45173.0</v>
      </c>
      <c r="B80" s="23" t="s">
        <v>267</v>
      </c>
      <c r="C80" s="201">
        <v>6.495</v>
      </c>
      <c r="D80" s="23" t="s">
        <v>61</v>
      </c>
    </row>
    <row r="81">
      <c r="A81" s="202">
        <v>45173.0</v>
      </c>
      <c r="B81" s="23" t="s">
        <v>270</v>
      </c>
      <c r="C81" s="201">
        <v>3.895</v>
      </c>
      <c r="D81" s="23" t="s">
        <v>61</v>
      </c>
    </row>
    <row r="82">
      <c r="A82" s="202">
        <v>45173.0</v>
      </c>
      <c r="B82" s="23" t="s">
        <v>225</v>
      </c>
      <c r="C82" s="201">
        <v>8.17</v>
      </c>
      <c r="D82" s="23" t="s">
        <v>67</v>
      </c>
    </row>
    <row r="83">
      <c r="A83" s="202">
        <v>45173.0</v>
      </c>
      <c r="B83" s="23" t="s">
        <v>38</v>
      </c>
      <c r="C83" s="201">
        <v>9.349</v>
      </c>
      <c r="D83" s="23" t="s">
        <v>35</v>
      </c>
    </row>
    <row r="84">
      <c r="A84" s="202">
        <v>45173.0</v>
      </c>
      <c r="B84" s="23" t="s">
        <v>247</v>
      </c>
      <c r="C84" s="201">
        <v>7.276</v>
      </c>
      <c r="D84" s="23" t="s">
        <v>62</v>
      </c>
    </row>
    <row r="85">
      <c r="A85" s="202">
        <v>45173.0</v>
      </c>
      <c r="B85" s="23" t="s">
        <v>135</v>
      </c>
      <c r="C85" s="201">
        <v>9.682</v>
      </c>
      <c r="D85" s="23" t="s">
        <v>56</v>
      </c>
    </row>
    <row r="86">
      <c r="A86" s="202">
        <v>45173.0</v>
      </c>
      <c r="B86" s="23" t="s">
        <v>256</v>
      </c>
      <c r="C86" s="201">
        <v>7.6160000000000005</v>
      </c>
      <c r="D86" s="23" t="s">
        <v>69</v>
      </c>
    </row>
    <row r="87">
      <c r="A87" s="202">
        <v>45173.0</v>
      </c>
      <c r="B87" s="23" t="s">
        <v>222</v>
      </c>
      <c r="C87" s="201">
        <v>3.6980000000000004</v>
      </c>
      <c r="D87" s="23" t="s">
        <v>67</v>
      </c>
    </row>
    <row r="88">
      <c r="A88" s="202">
        <v>45173.0</v>
      </c>
      <c r="B88" s="23" t="s">
        <v>263</v>
      </c>
      <c r="C88" s="201">
        <v>5.192</v>
      </c>
      <c r="D88" s="23" t="s">
        <v>125</v>
      </c>
    </row>
    <row r="89">
      <c r="A89" s="202">
        <v>45173.0</v>
      </c>
      <c r="B89" s="23" t="s">
        <v>185</v>
      </c>
      <c r="C89" s="201">
        <v>3.9</v>
      </c>
      <c r="D89" s="23" t="s">
        <v>46</v>
      </c>
    </row>
    <row r="90">
      <c r="A90" s="202">
        <v>45173.0</v>
      </c>
      <c r="B90" s="23" t="s">
        <v>190</v>
      </c>
      <c r="C90" s="201">
        <v>6.066</v>
      </c>
      <c r="D90" s="23" t="s">
        <v>70</v>
      </c>
    </row>
    <row r="91">
      <c r="A91" s="202">
        <v>45173.0</v>
      </c>
      <c r="B91" s="23" t="s">
        <v>129</v>
      </c>
      <c r="C91" s="201">
        <v>5.72</v>
      </c>
      <c r="D91" s="23" t="s">
        <v>56</v>
      </c>
    </row>
    <row r="92">
      <c r="A92" s="202">
        <v>45173.0</v>
      </c>
      <c r="B92" s="23" t="s">
        <v>139</v>
      </c>
      <c r="C92" s="201">
        <v>8.831</v>
      </c>
      <c r="D92" s="23" t="s">
        <v>60</v>
      </c>
    </row>
    <row r="93">
      <c r="A93" s="202">
        <v>45173.0</v>
      </c>
      <c r="B93" s="23" t="s">
        <v>205</v>
      </c>
      <c r="C93" s="201">
        <v>5.933</v>
      </c>
      <c r="D93" s="23" t="s">
        <v>67</v>
      </c>
    </row>
    <row r="94">
      <c r="A94" s="202">
        <v>45173.0</v>
      </c>
      <c r="B94" s="23" t="s">
        <v>184</v>
      </c>
      <c r="C94" s="201">
        <v>4.998</v>
      </c>
      <c r="D94" s="23" t="s">
        <v>46</v>
      </c>
    </row>
    <row r="95">
      <c r="A95" s="202">
        <v>45173.0</v>
      </c>
      <c r="B95" s="23" t="s">
        <v>253</v>
      </c>
      <c r="C95" s="201">
        <v>4.496</v>
      </c>
      <c r="D95" s="23" t="s">
        <v>69</v>
      </c>
    </row>
    <row r="96">
      <c r="A96" s="202">
        <v>45173.0</v>
      </c>
      <c r="B96" s="23" t="s">
        <v>197</v>
      </c>
      <c r="C96" s="201">
        <v>5.7379999999999995</v>
      </c>
      <c r="D96" s="23" t="s">
        <v>70</v>
      </c>
    </row>
    <row r="97">
      <c r="A97" s="202">
        <v>45173.0</v>
      </c>
      <c r="B97" s="23" t="s">
        <v>193</v>
      </c>
      <c r="C97" s="201">
        <v>4.4</v>
      </c>
      <c r="D97" s="23" t="s">
        <v>70</v>
      </c>
    </row>
    <row r="98">
      <c r="A98" s="202">
        <v>45173.0</v>
      </c>
      <c r="B98" s="23" t="s">
        <v>130</v>
      </c>
      <c r="C98" s="201">
        <v>8.238000000000001</v>
      </c>
      <c r="D98" s="23" t="s">
        <v>56</v>
      </c>
    </row>
    <row r="99">
      <c r="A99" s="202">
        <v>45173.0</v>
      </c>
      <c r="B99" s="23" t="s">
        <v>223</v>
      </c>
      <c r="C99" s="201">
        <v>5.787</v>
      </c>
      <c r="D99" s="23" t="s">
        <v>67</v>
      </c>
    </row>
    <row r="100">
      <c r="A100" s="202">
        <v>45173.0</v>
      </c>
      <c r="B100" s="23" t="s">
        <v>81</v>
      </c>
      <c r="C100" s="201">
        <v>5.197</v>
      </c>
      <c r="D100" s="23" t="s">
        <v>35</v>
      </c>
    </row>
    <row r="101">
      <c r="A101" s="202">
        <v>45173.0</v>
      </c>
      <c r="B101" s="23" t="s">
        <v>233</v>
      </c>
      <c r="C101" s="201">
        <v>8.838000000000001</v>
      </c>
      <c r="D101" s="23" t="s">
        <v>61</v>
      </c>
    </row>
    <row r="102">
      <c r="A102" s="202">
        <v>45173.0</v>
      </c>
      <c r="B102" s="23" t="s">
        <v>264</v>
      </c>
      <c r="C102" s="201">
        <v>7.384</v>
      </c>
      <c r="D102" s="23" t="s">
        <v>125</v>
      </c>
    </row>
    <row r="103">
      <c r="A103" s="202">
        <v>45173.0</v>
      </c>
      <c r="B103" s="23" t="s">
        <v>239</v>
      </c>
      <c r="C103" s="201">
        <v>9.21</v>
      </c>
      <c r="D103" s="23" t="s">
        <v>125</v>
      </c>
    </row>
    <row r="104">
      <c r="A104" s="202">
        <v>45173.0</v>
      </c>
      <c r="B104" s="23" t="s">
        <v>126</v>
      </c>
      <c r="C104" s="201">
        <v>7.685</v>
      </c>
      <c r="D104" s="23" t="s">
        <v>56</v>
      </c>
    </row>
    <row r="105">
      <c r="A105" s="202">
        <v>45173.0</v>
      </c>
      <c r="B105" s="23" t="s">
        <v>188</v>
      </c>
      <c r="C105" s="201">
        <v>6.37</v>
      </c>
      <c r="D105" s="23" t="s">
        <v>46</v>
      </c>
    </row>
    <row r="106">
      <c r="A106" s="202">
        <v>45173.0</v>
      </c>
      <c r="B106" s="23" t="s">
        <v>120</v>
      </c>
      <c r="C106" s="201">
        <v>8.436</v>
      </c>
      <c r="D106" s="23" t="s">
        <v>56</v>
      </c>
    </row>
    <row r="107">
      <c r="A107" s="202">
        <v>45173.0</v>
      </c>
      <c r="B107" s="23" t="s">
        <v>181</v>
      </c>
      <c r="C107" s="201">
        <v>6.89</v>
      </c>
      <c r="D107" s="23" t="s">
        <v>46</v>
      </c>
    </row>
    <row r="108">
      <c r="A108" s="202">
        <v>45173.0</v>
      </c>
      <c r="B108" s="23" t="s">
        <v>182</v>
      </c>
      <c r="C108" s="201">
        <v>8.589</v>
      </c>
      <c r="D108" s="23" t="s">
        <v>46</v>
      </c>
    </row>
    <row r="109">
      <c r="A109" s="202">
        <v>45173.0</v>
      </c>
      <c r="B109" s="23" t="s">
        <v>207</v>
      </c>
      <c r="C109" s="201">
        <v>4.993</v>
      </c>
      <c r="D109" s="23" t="s">
        <v>57</v>
      </c>
    </row>
    <row r="110">
      <c r="A110" s="202">
        <v>45173.0</v>
      </c>
      <c r="B110" s="23" t="s">
        <v>271</v>
      </c>
      <c r="C110" s="201">
        <v>6.753</v>
      </c>
      <c r="D110" s="23" t="s">
        <v>61</v>
      </c>
    </row>
    <row r="111">
      <c r="A111" s="202">
        <v>45173.0</v>
      </c>
      <c r="B111" s="23" t="s">
        <v>257</v>
      </c>
      <c r="C111" s="201">
        <v>8.439</v>
      </c>
      <c r="D111" s="23" t="s">
        <v>69</v>
      </c>
    </row>
    <row r="112">
      <c r="A112" s="202">
        <v>45173.0</v>
      </c>
      <c r="B112" s="23" t="s">
        <v>109</v>
      </c>
      <c r="C112" s="201">
        <v>7.584</v>
      </c>
      <c r="D112" s="23" t="s">
        <v>58</v>
      </c>
    </row>
    <row r="113">
      <c r="A113" s="202">
        <v>45173.0</v>
      </c>
      <c r="B113" s="23" t="s">
        <v>236</v>
      </c>
      <c r="C113" s="201">
        <v>5.2</v>
      </c>
      <c r="D113" s="23" t="s">
        <v>59</v>
      </c>
    </row>
    <row r="114">
      <c r="A114" s="202">
        <v>45173.0</v>
      </c>
      <c r="B114" s="23" t="s">
        <v>218</v>
      </c>
      <c r="C114" s="201">
        <v>4.593999999999999</v>
      </c>
      <c r="D114" s="23" t="s">
        <v>67</v>
      </c>
    </row>
    <row r="115">
      <c r="A115" s="202">
        <v>45173.0</v>
      </c>
      <c r="B115" s="23" t="s">
        <v>176</v>
      </c>
      <c r="C115" s="201">
        <v>5.4</v>
      </c>
      <c r="D115" s="23" t="s">
        <v>60</v>
      </c>
    </row>
    <row r="116">
      <c r="A116" s="202">
        <v>45173.0</v>
      </c>
      <c r="B116" s="23" t="s">
        <v>202</v>
      </c>
      <c r="C116" s="201">
        <v>5.382000000000001</v>
      </c>
      <c r="D116" s="23" t="s">
        <v>57</v>
      </c>
    </row>
    <row r="117">
      <c r="A117" s="202">
        <v>45173.0</v>
      </c>
      <c r="B117" s="23" t="s">
        <v>204</v>
      </c>
      <c r="C117" s="201">
        <v>9.769</v>
      </c>
      <c r="D117" s="23" t="s">
        <v>57</v>
      </c>
    </row>
    <row r="118">
      <c r="A118" s="202">
        <v>45173.0</v>
      </c>
      <c r="B118" s="23" t="s">
        <v>273</v>
      </c>
      <c r="C118" s="201">
        <v>5.76</v>
      </c>
      <c r="D118" s="23" t="s">
        <v>61</v>
      </c>
    </row>
    <row r="119">
      <c r="A119" s="202">
        <v>45173.0</v>
      </c>
      <c r="B119" s="23" t="s">
        <v>231</v>
      </c>
      <c r="C119" s="201">
        <v>8.67</v>
      </c>
      <c r="D119" s="23" t="s">
        <v>59</v>
      </c>
    </row>
    <row r="120">
      <c r="A120" s="202">
        <v>45173.0</v>
      </c>
      <c r="B120" s="23" t="s">
        <v>194</v>
      </c>
      <c r="C120" s="201">
        <v>5.06</v>
      </c>
      <c r="D120" s="23" t="s">
        <v>70</v>
      </c>
    </row>
    <row r="121">
      <c r="A121" s="202">
        <v>45173.0</v>
      </c>
      <c r="B121" s="23" t="s">
        <v>198</v>
      </c>
      <c r="C121" s="201">
        <v>7.238</v>
      </c>
      <c r="D121" s="23" t="s">
        <v>70</v>
      </c>
    </row>
    <row r="122">
      <c r="A122" s="202">
        <v>45173.0</v>
      </c>
      <c r="B122" s="23" t="s">
        <v>277</v>
      </c>
      <c r="C122" s="201">
        <v>4.0</v>
      </c>
      <c r="D122" s="23" t="s">
        <v>274</v>
      </c>
    </row>
    <row r="123">
      <c r="A123" s="202">
        <v>45173.0</v>
      </c>
      <c r="B123" s="23" t="s">
        <v>275</v>
      </c>
      <c r="C123" s="201">
        <v>3.5</v>
      </c>
      <c r="D123" s="23" t="s">
        <v>274</v>
      </c>
    </row>
    <row r="124">
      <c r="A124" s="202">
        <v>45173.0</v>
      </c>
      <c r="B124" s="23" t="s">
        <v>113</v>
      </c>
      <c r="C124" s="201">
        <v>5.697</v>
      </c>
      <c r="D124" s="23" t="s">
        <v>58</v>
      </c>
    </row>
    <row r="125">
      <c r="A125" s="202">
        <v>45173.0</v>
      </c>
      <c r="B125" s="23" t="s">
        <v>208</v>
      </c>
      <c r="C125" s="201">
        <v>5.795</v>
      </c>
      <c r="D125" s="23" t="s">
        <v>57</v>
      </c>
    </row>
    <row r="126">
      <c r="A126" s="202">
        <v>45173.0</v>
      </c>
      <c r="B126" s="23" t="s">
        <v>180</v>
      </c>
      <c r="C126" s="201">
        <v>8.384</v>
      </c>
      <c r="D126" s="23" t="s">
        <v>46</v>
      </c>
    </row>
    <row r="127">
      <c r="A127" s="202">
        <v>45173.0</v>
      </c>
      <c r="B127" s="23" t="s">
        <v>259</v>
      </c>
      <c r="C127" s="201">
        <v>6.296</v>
      </c>
      <c r="D127" s="23" t="s">
        <v>125</v>
      </c>
    </row>
    <row r="128">
      <c r="A128" s="202">
        <v>45173.0</v>
      </c>
      <c r="B128" s="23" t="s">
        <v>276</v>
      </c>
      <c r="C128" s="201">
        <v>4.298</v>
      </c>
      <c r="D128" s="23" t="s">
        <v>274</v>
      </c>
    </row>
    <row r="129">
      <c r="A129" s="202">
        <v>45173.0</v>
      </c>
      <c r="B129" s="23" t="s">
        <v>215</v>
      </c>
      <c r="C129" s="201">
        <v>8.48</v>
      </c>
      <c r="D129" s="23" t="s">
        <v>62</v>
      </c>
    </row>
    <row r="130">
      <c r="A130" s="202">
        <v>45173.0</v>
      </c>
      <c r="B130" s="23" t="s">
        <v>272</v>
      </c>
      <c r="C130" s="201">
        <v>5.063</v>
      </c>
      <c r="D130" s="23" t="s">
        <v>61</v>
      </c>
    </row>
    <row r="131">
      <c r="A131" s="202">
        <v>45173.0</v>
      </c>
      <c r="B131" s="23" t="s">
        <v>255</v>
      </c>
      <c r="C131" s="201">
        <v>8.516</v>
      </c>
      <c r="D131" s="23" t="s">
        <v>69</v>
      </c>
    </row>
    <row r="132">
      <c r="A132" s="202">
        <v>45173.0</v>
      </c>
      <c r="B132" t="s">
        <v>183</v>
      </c>
      <c r="C132" s="23">
        <v>7.92</v>
      </c>
      <c r="D132" t="s">
        <v>46</v>
      </c>
    </row>
    <row r="133">
      <c r="A133" s="202">
        <v>45173.0</v>
      </c>
      <c r="B133" t="s">
        <v>78</v>
      </c>
      <c r="C133" s="23">
        <v>4.5</v>
      </c>
      <c r="D133" t="s">
        <v>35</v>
      </c>
    </row>
    <row r="134">
      <c r="A134" s="202">
        <v>45173.0</v>
      </c>
      <c r="B134" t="s">
        <v>260</v>
      </c>
      <c r="C134" s="23">
        <v>6.9</v>
      </c>
      <c r="D134" t="s">
        <v>125</v>
      </c>
    </row>
    <row r="135">
      <c r="A135" s="23" t="s">
        <v>680</v>
      </c>
      <c r="B135" s="23" t="s">
        <v>3</v>
      </c>
      <c r="C135" s="23" t="s">
        <v>279</v>
      </c>
      <c r="D135" s="23" t="s">
        <v>280</v>
      </c>
    </row>
    <row r="136">
      <c r="A136" s="202">
        <v>45180.0</v>
      </c>
      <c r="B136" s="23" t="s">
        <v>243</v>
      </c>
      <c r="C136" s="201">
        <v>7.896</v>
      </c>
      <c r="D136" s="23" t="s">
        <v>69</v>
      </c>
    </row>
    <row r="137">
      <c r="A137" s="202">
        <v>45180.0</v>
      </c>
      <c r="B137" s="23" t="s">
        <v>189</v>
      </c>
      <c r="C137" s="201">
        <v>3.892</v>
      </c>
      <c r="D137" s="23" t="s">
        <v>46</v>
      </c>
    </row>
    <row r="138">
      <c r="A138" s="202">
        <v>45180.0</v>
      </c>
      <c r="B138" s="23" t="s">
        <v>137</v>
      </c>
      <c r="C138" s="201">
        <v>9.62</v>
      </c>
      <c r="D138" s="23" t="s">
        <v>60</v>
      </c>
    </row>
    <row r="139">
      <c r="A139" s="202">
        <v>45180.0</v>
      </c>
      <c r="B139" s="23" t="s">
        <v>71</v>
      </c>
      <c r="C139" s="201">
        <v>6.692</v>
      </c>
      <c r="D139" s="23" t="s">
        <v>35</v>
      </c>
    </row>
    <row r="140">
      <c r="A140" s="202">
        <v>45180.0</v>
      </c>
      <c r="B140" s="23" t="s">
        <v>174</v>
      </c>
      <c r="C140" s="201">
        <v>2.6</v>
      </c>
      <c r="D140" s="23" t="s">
        <v>60</v>
      </c>
    </row>
    <row r="141">
      <c r="A141" s="202">
        <v>45180.0</v>
      </c>
      <c r="B141" s="23" t="s">
        <v>217</v>
      </c>
      <c r="C141" s="201">
        <v>5.397</v>
      </c>
      <c r="D141" s="23" t="s">
        <v>67</v>
      </c>
    </row>
    <row r="142">
      <c r="A142" s="202">
        <v>45180.0</v>
      </c>
      <c r="B142" s="23" t="s">
        <v>213</v>
      </c>
      <c r="C142" s="201">
        <v>6.598</v>
      </c>
      <c r="D142" s="23" t="s">
        <v>57</v>
      </c>
    </row>
    <row r="143">
      <c r="A143" s="202">
        <v>45180.0</v>
      </c>
      <c r="B143" s="23" t="s">
        <v>254</v>
      </c>
      <c r="C143" s="201">
        <v>2.899</v>
      </c>
      <c r="D143" s="23" t="s">
        <v>69</v>
      </c>
    </row>
    <row r="144">
      <c r="A144" s="202">
        <v>45180.0</v>
      </c>
      <c r="B144" s="23" t="s">
        <v>123</v>
      </c>
      <c r="C144" s="201">
        <v>5.6</v>
      </c>
      <c r="D144" s="23" t="s">
        <v>56</v>
      </c>
    </row>
    <row r="145">
      <c r="A145" s="202">
        <v>45180.0</v>
      </c>
      <c r="B145" s="23" t="s">
        <v>112</v>
      </c>
      <c r="C145" s="201">
        <v>7.292</v>
      </c>
      <c r="D145" s="23" t="s">
        <v>58</v>
      </c>
    </row>
    <row r="146">
      <c r="A146" s="202">
        <v>45180.0</v>
      </c>
      <c r="B146" s="23" t="s">
        <v>177</v>
      </c>
      <c r="C146" s="201">
        <v>5.068</v>
      </c>
      <c r="D146" s="23" t="s">
        <v>60</v>
      </c>
    </row>
    <row r="147">
      <c r="A147" s="202">
        <v>45180.0</v>
      </c>
      <c r="B147" s="23" t="s">
        <v>230</v>
      </c>
      <c r="C147" s="201">
        <v>4.497</v>
      </c>
      <c r="D147" s="23" t="s">
        <v>59</v>
      </c>
    </row>
    <row r="148">
      <c r="A148" s="202">
        <v>45180.0</v>
      </c>
      <c r="B148" s="23" t="s">
        <v>227</v>
      </c>
      <c r="C148" s="201">
        <v>6.452</v>
      </c>
      <c r="D148" s="23" t="s">
        <v>59</v>
      </c>
    </row>
    <row r="149">
      <c r="A149" s="202">
        <v>45180.0</v>
      </c>
      <c r="B149" s="23" t="s">
        <v>248</v>
      </c>
      <c r="C149" s="201">
        <v>3.5</v>
      </c>
      <c r="D149" s="23" t="s">
        <v>62</v>
      </c>
    </row>
    <row r="150">
      <c r="A150" s="202">
        <v>45180.0</v>
      </c>
      <c r="B150" s="23" t="s">
        <v>226</v>
      </c>
      <c r="C150" s="201">
        <v>4.674</v>
      </c>
      <c r="D150" s="23" t="s">
        <v>67</v>
      </c>
    </row>
    <row r="151">
      <c r="A151" s="202">
        <v>45180.0</v>
      </c>
      <c r="B151" s="23" t="s">
        <v>199</v>
      </c>
      <c r="C151" s="201">
        <v>4.367</v>
      </c>
      <c r="D151" s="23" t="s">
        <v>70</v>
      </c>
    </row>
    <row r="152">
      <c r="A152" s="202">
        <v>45180.0</v>
      </c>
      <c r="B152" s="23" t="s">
        <v>119</v>
      </c>
      <c r="C152" s="201">
        <v>4.5</v>
      </c>
      <c r="D152" s="23" t="s">
        <v>58</v>
      </c>
    </row>
    <row r="153">
      <c r="A153" s="202">
        <v>45180.0</v>
      </c>
      <c r="B153" s="23" t="s">
        <v>251</v>
      </c>
      <c r="C153" s="201">
        <v>5.989</v>
      </c>
      <c r="D153" s="23" t="s">
        <v>69</v>
      </c>
    </row>
    <row r="154">
      <c r="A154" s="202">
        <v>45180.0</v>
      </c>
      <c r="B154" s="23" t="s">
        <v>265</v>
      </c>
      <c r="C154" s="201">
        <v>4.974</v>
      </c>
      <c r="D154" s="23" t="s">
        <v>125</v>
      </c>
    </row>
    <row r="155">
      <c r="A155" s="202">
        <v>45180.0</v>
      </c>
      <c r="B155" s="23" t="s">
        <v>252</v>
      </c>
      <c r="C155" s="201">
        <v>4.5969999999999995</v>
      </c>
      <c r="D155" s="23" t="s">
        <v>69</v>
      </c>
    </row>
    <row r="156">
      <c r="A156" s="202">
        <v>45180.0</v>
      </c>
      <c r="B156" s="23" t="s">
        <v>242</v>
      </c>
      <c r="C156" s="201">
        <v>8.74</v>
      </c>
      <c r="D156" s="23" t="s">
        <v>62</v>
      </c>
    </row>
    <row r="157">
      <c r="A157" s="202">
        <v>45180.0</v>
      </c>
      <c r="B157" s="23" t="s">
        <v>191</v>
      </c>
      <c r="C157" s="201">
        <v>6.876</v>
      </c>
      <c r="D157" s="23" t="s">
        <v>70</v>
      </c>
    </row>
    <row r="158">
      <c r="A158" s="202">
        <v>45180.0</v>
      </c>
      <c r="B158" s="23" t="s">
        <v>206</v>
      </c>
      <c r="C158" s="201">
        <v>7.279</v>
      </c>
      <c r="D158" s="23" t="s">
        <v>57</v>
      </c>
    </row>
    <row r="159">
      <c r="A159" s="202">
        <v>45180.0</v>
      </c>
      <c r="B159" s="23" t="s">
        <v>269</v>
      </c>
      <c r="C159" s="201">
        <v>5.999</v>
      </c>
      <c r="D159" s="23" t="s">
        <v>61</v>
      </c>
    </row>
    <row r="160">
      <c r="A160" s="202">
        <v>45180.0</v>
      </c>
      <c r="B160" s="23" t="s">
        <v>105</v>
      </c>
      <c r="C160" s="201">
        <v>3.7969999999999997</v>
      </c>
      <c r="D160" s="23" t="s">
        <v>58</v>
      </c>
    </row>
    <row r="161">
      <c r="A161" s="202">
        <v>45180.0</v>
      </c>
      <c r="B161" s="23" t="s">
        <v>187</v>
      </c>
      <c r="C161" s="201">
        <v>7.183</v>
      </c>
      <c r="D161" s="23" t="s">
        <v>46</v>
      </c>
    </row>
    <row r="162">
      <c r="A162" s="202">
        <v>45180.0</v>
      </c>
      <c r="B162" s="23" t="s">
        <v>246</v>
      </c>
      <c r="C162" s="201">
        <v>4.890000000000001</v>
      </c>
      <c r="D162" s="23" t="s">
        <v>62</v>
      </c>
    </row>
    <row r="163">
      <c r="A163" s="202">
        <v>45180.0</v>
      </c>
      <c r="B163" s="23" t="s">
        <v>238</v>
      </c>
      <c r="C163" s="201">
        <v>5.385000000000001</v>
      </c>
      <c r="D163" s="23" t="s">
        <v>59</v>
      </c>
    </row>
    <row r="164">
      <c r="A164" s="202">
        <v>45180.0</v>
      </c>
      <c r="B164" s="23" t="s">
        <v>133</v>
      </c>
      <c r="C164" s="201">
        <v>4.7909999999999995</v>
      </c>
      <c r="D164" s="23" t="s">
        <v>56</v>
      </c>
    </row>
    <row r="165">
      <c r="A165" s="202">
        <v>45180.0</v>
      </c>
      <c r="B165" s="23" t="s">
        <v>127</v>
      </c>
      <c r="C165" s="201">
        <v>5.989</v>
      </c>
      <c r="D165" s="23" t="s">
        <v>56</v>
      </c>
    </row>
    <row r="166">
      <c r="A166" s="202">
        <v>45180.0</v>
      </c>
      <c r="B166" s="23" t="s">
        <v>220</v>
      </c>
      <c r="C166" s="201">
        <v>4.6930000000000005</v>
      </c>
      <c r="D166" s="23" t="s">
        <v>67</v>
      </c>
    </row>
    <row r="167">
      <c r="A167" s="202">
        <v>45180.0</v>
      </c>
      <c r="B167" s="23" t="s">
        <v>224</v>
      </c>
      <c r="C167" s="201">
        <v>10.459</v>
      </c>
      <c r="D167" s="23" t="s">
        <v>125</v>
      </c>
    </row>
    <row r="168">
      <c r="A168" s="202">
        <v>45180.0</v>
      </c>
      <c r="B168" s="23" t="s">
        <v>241</v>
      </c>
      <c r="C168" s="201">
        <v>8.707</v>
      </c>
      <c r="D168" s="23" t="s">
        <v>62</v>
      </c>
    </row>
    <row r="169">
      <c r="A169" s="202">
        <v>45180.0</v>
      </c>
      <c r="B169" s="23" t="s">
        <v>63</v>
      </c>
      <c r="C169" s="201">
        <v>10.684</v>
      </c>
      <c r="D169" s="23" t="s">
        <v>35</v>
      </c>
    </row>
    <row r="170">
      <c r="A170" s="202">
        <v>45180.0</v>
      </c>
      <c r="B170" s="23" t="s">
        <v>245</v>
      </c>
      <c r="C170" s="201">
        <v>7.216</v>
      </c>
      <c r="D170" s="23" t="s">
        <v>62</v>
      </c>
    </row>
    <row r="171">
      <c r="A171" s="202">
        <v>45180.0</v>
      </c>
      <c r="B171" s="23" t="s">
        <v>232</v>
      </c>
      <c r="C171" s="201">
        <v>6.355</v>
      </c>
      <c r="D171" s="23" t="s">
        <v>59</v>
      </c>
    </row>
    <row r="172">
      <c r="A172" s="202">
        <v>45180.0</v>
      </c>
      <c r="B172" s="23" t="s">
        <v>229</v>
      </c>
      <c r="C172" s="201">
        <v>4.7989999999999995</v>
      </c>
      <c r="D172" s="23" t="s">
        <v>59</v>
      </c>
    </row>
    <row r="173">
      <c r="A173" s="202">
        <v>45180.0</v>
      </c>
      <c r="B173" s="23" t="s">
        <v>173</v>
      </c>
      <c r="C173" s="201">
        <v>5.679</v>
      </c>
      <c r="D173" s="23" t="s">
        <v>60</v>
      </c>
    </row>
    <row r="174">
      <c r="A174" s="202">
        <v>45180.0</v>
      </c>
      <c r="B174" s="23" t="s">
        <v>210</v>
      </c>
      <c r="C174" s="201">
        <v>4.499</v>
      </c>
      <c r="D174" s="23" t="s">
        <v>57</v>
      </c>
    </row>
    <row r="175">
      <c r="A175" s="202">
        <v>45180.0</v>
      </c>
      <c r="B175" s="23" t="s">
        <v>186</v>
      </c>
      <c r="C175" s="201">
        <v>5.888000000000001</v>
      </c>
      <c r="D175" s="23" t="s">
        <v>46</v>
      </c>
    </row>
    <row r="176">
      <c r="A176" s="202">
        <v>45180.0</v>
      </c>
      <c r="B176" s="23" t="s">
        <v>195</v>
      </c>
      <c r="C176" s="201">
        <v>4.6</v>
      </c>
      <c r="D176" s="23" t="s">
        <v>70</v>
      </c>
    </row>
    <row r="177">
      <c r="A177" s="202">
        <v>45180.0</v>
      </c>
      <c r="B177" s="23" t="s">
        <v>266</v>
      </c>
      <c r="C177" s="201">
        <v>8.346</v>
      </c>
      <c r="D177" s="23" t="s">
        <v>61</v>
      </c>
    </row>
    <row r="178">
      <c r="A178" s="202">
        <v>45180.0</v>
      </c>
      <c r="B178" s="23" t="s">
        <v>124</v>
      </c>
      <c r="C178" s="201">
        <v>5.098</v>
      </c>
      <c r="D178" s="23" t="s">
        <v>56</v>
      </c>
    </row>
    <row r="179">
      <c r="A179" s="202">
        <v>45180.0</v>
      </c>
      <c r="B179" s="23" t="s">
        <v>262</v>
      </c>
      <c r="C179" s="201">
        <v>7.1</v>
      </c>
      <c r="D179" s="23" t="s">
        <v>125</v>
      </c>
    </row>
    <row r="180">
      <c r="A180" s="202">
        <v>45180.0</v>
      </c>
      <c r="B180" s="23" t="s">
        <v>192</v>
      </c>
      <c r="C180" s="201">
        <v>5.699</v>
      </c>
      <c r="D180" s="23" t="s">
        <v>70</v>
      </c>
    </row>
    <row r="181">
      <c r="A181" s="202">
        <v>45180.0</v>
      </c>
      <c r="B181" s="23" t="s">
        <v>74</v>
      </c>
      <c r="C181" s="201">
        <v>8.629999999999999</v>
      </c>
      <c r="D181" s="23" t="s">
        <v>35</v>
      </c>
    </row>
    <row r="182">
      <c r="A182" s="202">
        <v>45180.0</v>
      </c>
      <c r="B182" s="23" t="s">
        <v>75</v>
      </c>
      <c r="C182" s="201">
        <v>4.184</v>
      </c>
      <c r="D182" s="23" t="s">
        <v>35</v>
      </c>
    </row>
    <row r="183">
      <c r="A183" s="202">
        <v>45180.0</v>
      </c>
      <c r="B183" s="23" t="s">
        <v>196</v>
      </c>
      <c r="C183" s="201">
        <v>6.498</v>
      </c>
      <c r="D183" s="23" t="s">
        <v>70</v>
      </c>
    </row>
    <row r="184">
      <c r="A184" s="202">
        <v>45180.0</v>
      </c>
      <c r="B184" s="23" t="s">
        <v>102</v>
      </c>
      <c r="C184" s="201">
        <v>8.344</v>
      </c>
      <c r="D184" s="23" t="s">
        <v>58</v>
      </c>
    </row>
    <row r="185">
      <c r="A185" s="202">
        <v>45180.0</v>
      </c>
      <c r="B185" s="23" t="s">
        <v>175</v>
      </c>
      <c r="C185" s="201">
        <v>6.255</v>
      </c>
      <c r="D185" s="23" t="s">
        <v>60</v>
      </c>
    </row>
    <row r="186">
      <c r="A186" s="202">
        <v>45180.0</v>
      </c>
      <c r="B186" s="23" t="s">
        <v>250</v>
      </c>
      <c r="C186" s="201">
        <v>6.021999999999999</v>
      </c>
      <c r="D186" s="23" t="s">
        <v>69</v>
      </c>
    </row>
    <row r="187">
      <c r="A187" s="202">
        <v>45180.0</v>
      </c>
      <c r="B187" s="23" t="s">
        <v>164</v>
      </c>
      <c r="C187" s="201">
        <v>8.236</v>
      </c>
      <c r="D187" s="23" t="s">
        <v>60</v>
      </c>
    </row>
    <row r="188">
      <c r="A188" s="202">
        <v>45180.0</v>
      </c>
      <c r="B188" s="23" t="s">
        <v>219</v>
      </c>
      <c r="C188" s="201">
        <v>8.036999999999999</v>
      </c>
      <c r="D188" s="23" t="s">
        <v>69</v>
      </c>
    </row>
    <row r="189">
      <c r="A189" s="202">
        <v>45180.0</v>
      </c>
      <c r="B189" s="23" t="s">
        <v>111</v>
      </c>
      <c r="C189" s="201">
        <v>8.536000000000001</v>
      </c>
      <c r="D189" s="23" t="s">
        <v>58</v>
      </c>
    </row>
    <row r="190">
      <c r="A190" s="202">
        <v>45180.0</v>
      </c>
      <c r="B190" s="23" t="s">
        <v>244</v>
      </c>
      <c r="C190" s="201">
        <v>6.797</v>
      </c>
      <c r="D190" s="23" t="s">
        <v>62</v>
      </c>
    </row>
    <row r="191">
      <c r="A191" s="202">
        <v>45180.0</v>
      </c>
      <c r="B191" s="23" t="s">
        <v>118</v>
      </c>
      <c r="C191" s="201">
        <v>9.241</v>
      </c>
      <c r="D191" s="23" t="s">
        <v>58</v>
      </c>
    </row>
    <row r="192">
      <c r="A192" s="202">
        <v>45180.0</v>
      </c>
      <c r="B192" s="23" t="s">
        <v>240</v>
      </c>
      <c r="C192" s="201">
        <v>7.062</v>
      </c>
      <c r="D192" s="23" t="s">
        <v>62</v>
      </c>
    </row>
    <row r="193">
      <c r="A193" s="202">
        <v>45180.0</v>
      </c>
      <c r="B193" s="23" t="s">
        <v>79</v>
      </c>
      <c r="C193" s="201">
        <v>9.718</v>
      </c>
      <c r="D193" s="23" t="s">
        <v>35</v>
      </c>
    </row>
    <row r="194">
      <c r="A194" s="202">
        <v>45180.0</v>
      </c>
      <c r="B194" s="23" t="s">
        <v>178</v>
      </c>
      <c r="C194" s="201">
        <v>6.197</v>
      </c>
      <c r="D194" s="23" t="s">
        <v>60</v>
      </c>
    </row>
    <row r="195">
      <c r="A195" s="202">
        <v>45180.0</v>
      </c>
      <c r="B195" s="23" t="s">
        <v>209</v>
      </c>
      <c r="C195" s="201">
        <v>9.655000000000001</v>
      </c>
      <c r="D195" s="23" t="s">
        <v>59</v>
      </c>
    </row>
    <row r="196">
      <c r="A196" s="202">
        <v>45180.0</v>
      </c>
      <c r="B196" s="23" t="s">
        <v>228</v>
      </c>
      <c r="C196" s="201">
        <v>6.1659999999999995</v>
      </c>
      <c r="D196" s="23" t="s">
        <v>61</v>
      </c>
    </row>
    <row r="197">
      <c r="A197" s="202">
        <v>45180.0</v>
      </c>
      <c r="B197" s="23" t="s">
        <v>116</v>
      </c>
      <c r="C197" s="201">
        <v>6.286</v>
      </c>
      <c r="D197" s="23" t="s">
        <v>58</v>
      </c>
    </row>
    <row r="198">
      <c r="A198" s="202">
        <v>45180.0</v>
      </c>
      <c r="B198" s="23" t="s">
        <v>249</v>
      </c>
      <c r="C198" s="201">
        <v>7.095</v>
      </c>
      <c r="D198" s="23" t="s">
        <v>62</v>
      </c>
    </row>
    <row r="199">
      <c r="A199" s="202">
        <v>45180.0</v>
      </c>
      <c r="B199" s="23" t="s">
        <v>237</v>
      </c>
      <c r="C199" s="201">
        <v>5.898000000000001</v>
      </c>
      <c r="D199" s="23" t="s">
        <v>59</v>
      </c>
    </row>
    <row r="200">
      <c r="A200" s="202">
        <v>45180.0</v>
      </c>
      <c r="B200" s="23" t="s">
        <v>234</v>
      </c>
      <c r="C200" s="201">
        <v>4.698</v>
      </c>
      <c r="D200" s="23" t="s">
        <v>59</v>
      </c>
    </row>
    <row r="201">
      <c r="A201" s="202">
        <v>45180.0</v>
      </c>
      <c r="B201" s="23" t="s">
        <v>268</v>
      </c>
      <c r="C201" s="201">
        <v>6.390000000000001</v>
      </c>
      <c r="D201" s="23" t="s">
        <v>61</v>
      </c>
    </row>
    <row r="202">
      <c r="A202" s="202">
        <v>45180.0</v>
      </c>
      <c r="B202" s="23" t="s">
        <v>80</v>
      </c>
      <c r="C202" s="201">
        <v>4.098999999999999</v>
      </c>
      <c r="D202" s="23" t="s">
        <v>35</v>
      </c>
    </row>
    <row r="203">
      <c r="A203" s="202">
        <v>45180.0</v>
      </c>
      <c r="B203" s="23" t="s">
        <v>258</v>
      </c>
      <c r="C203" s="201">
        <v>2.299</v>
      </c>
      <c r="D203" s="23" t="s">
        <v>125</v>
      </c>
    </row>
    <row r="204">
      <c r="A204" s="202">
        <v>45180.0</v>
      </c>
      <c r="B204" s="23" t="s">
        <v>88</v>
      </c>
      <c r="C204" s="201">
        <v>4.695</v>
      </c>
      <c r="D204" s="23" t="s">
        <v>35</v>
      </c>
    </row>
    <row r="205">
      <c r="A205" s="202">
        <v>45180.0</v>
      </c>
      <c r="B205" s="23" t="s">
        <v>201</v>
      </c>
      <c r="C205" s="201">
        <v>4.785</v>
      </c>
      <c r="D205" s="23" t="s">
        <v>57</v>
      </c>
    </row>
    <row r="206">
      <c r="A206" s="202">
        <v>45180.0</v>
      </c>
      <c r="B206" s="23" t="s">
        <v>216</v>
      </c>
      <c r="C206" s="201">
        <v>8.261000000000001</v>
      </c>
      <c r="D206" s="23" t="s">
        <v>67</v>
      </c>
    </row>
    <row r="207">
      <c r="A207" s="202">
        <v>45180.0</v>
      </c>
      <c r="B207" s="23" t="s">
        <v>221</v>
      </c>
      <c r="C207" s="201">
        <v>3.0</v>
      </c>
      <c r="D207" s="23" t="s">
        <v>67</v>
      </c>
    </row>
    <row r="208">
      <c r="A208" s="202">
        <v>45180.0</v>
      </c>
      <c r="B208" s="23" t="s">
        <v>117</v>
      </c>
      <c r="C208" s="201">
        <v>6.241</v>
      </c>
      <c r="D208" s="23" t="s">
        <v>58</v>
      </c>
    </row>
    <row r="209">
      <c r="A209" s="202">
        <v>45180.0</v>
      </c>
      <c r="B209" s="23" t="s">
        <v>261</v>
      </c>
      <c r="C209" s="201">
        <v>5.098</v>
      </c>
      <c r="D209" s="23" t="s">
        <v>125</v>
      </c>
    </row>
    <row r="210">
      <c r="A210" s="202">
        <v>45180.0</v>
      </c>
      <c r="B210" s="23" t="s">
        <v>128</v>
      </c>
      <c r="C210" s="201">
        <v>9.9</v>
      </c>
      <c r="D210" s="23" t="s">
        <v>56</v>
      </c>
    </row>
    <row r="211">
      <c r="A211" s="202">
        <v>45180.0</v>
      </c>
      <c r="B211" s="23" t="s">
        <v>214</v>
      </c>
      <c r="C211" s="201">
        <v>7.089</v>
      </c>
      <c r="D211" s="23" t="s">
        <v>57</v>
      </c>
    </row>
    <row r="212">
      <c r="A212" s="202">
        <v>45180.0</v>
      </c>
      <c r="B212" s="23" t="s">
        <v>200</v>
      </c>
      <c r="C212" s="201">
        <v>10.322000000000001</v>
      </c>
      <c r="D212" s="23" t="s">
        <v>57</v>
      </c>
    </row>
    <row r="213">
      <c r="A213" s="202">
        <v>45180.0</v>
      </c>
      <c r="B213" s="23" t="s">
        <v>179</v>
      </c>
      <c r="C213" s="201">
        <v>10.251999999999999</v>
      </c>
      <c r="D213" s="23" t="s">
        <v>60</v>
      </c>
    </row>
    <row r="214">
      <c r="A214" s="202">
        <v>45180.0</v>
      </c>
      <c r="B214" s="23" t="s">
        <v>267</v>
      </c>
      <c r="C214" s="201">
        <v>7.092</v>
      </c>
      <c r="D214" s="23" t="s">
        <v>61</v>
      </c>
    </row>
    <row r="215">
      <c r="A215" s="202">
        <v>45180.0</v>
      </c>
      <c r="B215" s="23" t="s">
        <v>270</v>
      </c>
      <c r="C215" s="201">
        <v>4.592</v>
      </c>
      <c r="D215" s="23" t="s">
        <v>61</v>
      </c>
    </row>
    <row r="216">
      <c r="A216" s="202">
        <v>45180.0</v>
      </c>
      <c r="B216" s="23" t="s">
        <v>225</v>
      </c>
      <c r="C216" s="201">
        <v>8.738000000000001</v>
      </c>
      <c r="D216" s="23" t="s">
        <v>67</v>
      </c>
    </row>
    <row r="217">
      <c r="A217" s="202">
        <v>45180.0</v>
      </c>
      <c r="B217" s="23" t="s">
        <v>38</v>
      </c>
      <c r="C217" s="201">
        <v>9.508999999999999</v>
      </c>
      <c r="D217" s="23" t="s">
        <v>35</v>
      </c>
    </row>
    <row r="218">
      <c r="A218" s="202">
        <v>45180.0</v>
      </c>
      <c r="B218" s="23" t="s">
        <v>247</v>
      </c>
      <c r="C218" s="201">
        <v>8.819</v>
      </c>
      <c r="D218" s="23" t="s">
        <v>62</v>
      </c>
    </row>
    <row r="219">
      <c r="A219" s="202">
        <v>45180.0</v>
      </c>
      <c r="B219" s="23" t="s">
        <v>135</v>
      </c>
      <c r="C219" s="201">
        <v>10.067</v>
      </c>
      <c r="D219" s="23" t="s">
        <v>56</v>
      </c>
    </row>
    <row r="220">
      <c r="A220" s="202">
        <v>45180.0</v>
      </c>
      <c r="B220" s="23" t="s">
        <v>256</v>
      </c>
      <c r="C220" s="201">
        <v>6.076</v>
      </c>
      <c r="D220" s="23" t="s">
        <v>69</v>
      </c>
    </row>
    <row r="221">
      <c r="A221" s="202">
        <v>45180.0</v>
      </c>
      <c r="B221" s="23" t="s">
        <v>222</v>
      </c>
      <c r="C221" s="201">
        <v>4.694</v>
      </c>
      <c r="D221" s="23" t="s">
        <v>67</v>
      </c>
    </row>
    <row r="222">
      <c r="A222" s="202">
        <v>45180.0</v>
      </c>
      <c r="B222" s="23" t="s">
        <v>263</v>
      </c>
      <c r="C222" s="201">
        <v>6.683</v>
      </c>
      <c r="D222" s="23" t="s">
        <v>125</v>
      </c>
    </row>
    <row r="223">
      <c r="A223" s="202">
        <v>45180.0</v>
      </c>
      <c r="B223" s="23" t="s">
        <v>185</v>
      </c>
      <c r="C223" s="201">
        <v>5.999</v>
      </c>
      <c r="D223" s="23" t="s">
        <v>46</v>
      </c>
    </row>
    <row r="224">
      <c r="A224" s="202">
        <v>45180.0</v>
      </c>
      <c r="B224" s="23" t="s">
        <v>190</v>
      </c>
      <c r="C224" s="201">
        <v>5.189</v>
      </c>
      <c r="D224" s="23" t="s">
        <v>70</v>
      </c>
    </row>
    <row r="225">
      <c r="A225" s="202">
        <v>45180.0</v>
      </c>
      <c r="B225" s="23" t="s">
        <v>129</v>
      </c>
      <c r="C225" s="201">
        <v>6.245</v>
      </c>
      <c r="D225" s="23" t="s">
        <v>56</v>
      </c>
    </row>
    <row r="226">
      <c r="A226" s="202">
        <v>45180.0</v>
      </c>
      <c r="B226" s="23" t="s">
        <v>139</v>
      </c>
      <c r="C226" s="201">
        <v>8.915000000000001</v>
      </c>
      <c r="D226" s="23" t="s">
        <v>60</v>
      </c>
    </row>
    <row r="227">
      <c r="A227" s="202">
        <v>45180.0</v>
      </c>
      <c r="B227" s="23" t="s">
        <v>205</v>
      </c>
      <c r="C227" s="201">
        <v>6.136</v>
      </c>
      <c r="D227" s="23" t="s">
        <v>67</v>
      </c>
    </row>
    <row r="228">
      <c r="A228" s="202">
        <v>45180.0</v>
      </c>
      <c r="B228" s="23" t="s">
        <v>184</v>
      </c>
      <c r="C228" s="201">
        <v>5.497</v>
      </c>
      <c r="D228" s="23" t="s">
        <v>46</v>
      </c>
    </row>
    <row r="229">
      <c r="A229" s="202">
        <v>45180.0</v>
      </c>
      <c r="B229" s="23" t="s">
        <v>253</v>
      </c>
      <c r="C229" s="201">
        <v>4.298</v>
      </c>
      <c r="D229" s="23" t="s">
        <v>69</v>
      </c>
    </row>
    <row r="230">
      <c r="A230" s="202">
        <v>45180.0</v>
      </c>
      <c r="B230" s="23" t="s">
        <v>197</v>
      </c>
      <c r="C230" s="201">
        <v>4.976</v>
      </c>
      <c r="D230" s="23" t="s">
        <v>70</v>
      </c>
    </row>
    <row r="231">
      <c r="A231" s="202">
        <v>45180.0</v>
      </c>
      <c r="B231" s="23" t="s">
        <v>193</v>
      </c>
      <c r="C231" s="201">
        <v>3.5</v>
      </c>
      <c r="D231" s="23" t="s">
        <v>70</v>
      </c>
    </row>
    <row r="232">
      <c r="A232" s="202">
        <v>45180.0</v>
      </c>
      <c r="B232" s="23" t="s">
        <v>130</v>
      </c>
      <c r="C232" s="201">
        <v>9.006</v>
      </c>
      <c r="D232" s="23" t="s">
        <v>56</v>
      </c>
    </row>
    <row r="233">
      <c r="A233" s="202">
        <v>45180.0</v>
      </c>
      <c r="B233" s="23" t="s">
        <v>223</v>
      </c>
      <c r="C233" s="201">
        <v>5.890000000000001</v>
      </c>
      <c r="D233" s="23" t="s">
        <v>67</v>
      </c>
    </row>
    <row r="234">
      <c r="A234" s="202">
        <v>45180.0</v>
      </c>
      <c r="B234" s="23" t="s">
        <v>81</v>
      </c>
      <c r="C234" s="201">
        <v>4.499</v>
      </c>
      <c r="D234" s="23" t="s">
        <v>35</v>
      </c>
    </row>
    <row r="235">
      <c r="A235" s="202">
        <v>45180.0</v>
      </c>
      <c r="B235" s="23" t="s">
        <v>233</v>
      </c>
      <c r="C235" s="201">
        <v>8.270000000000001</v>
      </c>
      <c r="D235" s="23" t="s">
        <v>61</v>
      </c>
    </row>
    <row r="236">
      <c r="A236" s="202">
        <v>45180.0</v>
      </c>
      <c r="B236" s="23" t="s">
        <v>264</v>
      </c>
      <c r="C236" s="201">
        <v>6.984</v>
      </c>
      <c r="D236" s="23" t="s">
        <v>125</v>
      </c>
    </row>
    <row r="237">
      <c r="A237" s="202">
        <v>45180.0</v>
      </c>
      <c r="B237" s="23" t="s">
        <v>239</v>
      </c>
      <c r="C237" s="201">
        <v>10.553</v>
      </c>
      <c r="D237" s="23" t="s">
        <v>125</v>
      </c>
    </row>
    <row r="238">
      <c r="A238" s="202">
        <v>45180.0</v>
      </c>
      <c r="B238" s="23" t="s">
        <v>126</v>
      </c>
      <c r="C238" s="201">
        <v>7.864</v>
      </c>
      <c r="D238" s="23" t="s">
        <v>56</v>
      </c>
    </row>
    <row r="239">
      <c r="A239" s="202">
        <v>45180.0</v>
      </c>
      <c r="B239" s="23" t="s">
        <v>188</v>
      </c>
      <c r="C239" s="201">
        <v>5.781</v>
      </c>
      <c r="D239" s="23" t="s">
        <v>46</v>
      </c>
    </row>
    <row r="240">
      <c r="A240" s="202">
        <v>45180.0</v>
      </c>
      <c r="B240" s="23" t="s">
        <v>120</v>
      </c>
      <c r="C240" s="201">
        <v>9.075</v>
      </c>
      <c r="D240" s="23" t="s">
        <v>56</v>
      </c>
    </row>
    <row r="241">
      <c r="A241" s="202">
        <v>45180.0</v>
      </c>
      <c r="B241" s="23" t="s">
        <v>181</v>
      </c>
      <c r="C241" s="201">
        <v>6.604</v>
      </c>
      <c r="D241" s="23" t="s">
        <v>46</v>
      </c>
    </row>
    <row r="242">
      <c r="A242" s="202">
        <v>45180.0</v>
      </c>
      <c r="B242" s="23" t="s">
        <v>182</v>
      </c>
      <c r="C242" s="201">
        <v>8.255</v>
      </c>
      <c r="D242" s="23" t="s">
        <v>46</v>
      </c>
    </row>
    <row r="243">
      <c r="A243" s="202">
        <v>45180.0</v>
      </c>
      <c r="B243" s="23" t="s">
        <v>207</v>
      </c>
      <c r="C243" s="201">
        <v>4.995</v>
      </c>
      <c r="D243" s="23" t="s">
        <v>57</v>
      </c>
    </row>
    <row r="244">
      <c r="A244" s="202">
        <v>45180.0</v>
      </c>
      <c r="B244" s="23" t="s">
        <v>271</v>
      </c>
      <c r="C244" s="201">
        <v>5.880000000000001</v>
      </c>
      <c r="D244" s="23" t="s">
        <v>61</v>
      </c>
    </row>
    <row r="245">
      <c r="A245" s="202">
        <v>45180.0</v>
      </c>
      <c r="B245" s="23" t="s">
        <v>257</v>
      </c>
      <c r="C245" s="201">
        <v>8.269</v>
      </c>
      <c r="D245" s="23" t="s">
        <v>69</v>
      </c>
    </row>
    <row r="246">
      <c r="A246" s="202">
        <v>45180.0</v>
      </c>
      <c r="B246" s="23" t="s">
        <v>109</v>
      </c>
      <c r="C246" s="201">
        <v>7.983</v>
      </c>
      <c r="D246" s="23" t="s">
        <v>58</v>
      </c>
    </row>
    <row r="247">
      <c r="A247" s="202">
        <v>45180.0</v>
      </c>
      <c r="B247" s="23" t="s">
        <v>236</v>
      </c>
      <c r="C247" s="201">
        <v>4.1</v>
      </c>
      <c r="D247" s="23" t="s">
        <v>59</v>
      </c>
    </row>
    <row r="248">
      <c r="A248" s="202">
        <v>45180.0</v>
      </c>
      <c r="B248" s="23" t="s">
        <v>218</v>
      </c>
      <c r="C248" s="201">
        <v>4.397</v>
      </c>
      <c r="D248" s="23" t="s">
        <v>67</v>
      </c>
    </row>
    <row r="249">
      <c r="A249" s="202">
        <v>45180.0</v>
      </c>
      <c r="B249" s="23" t="s">
        <v>176</v>
      </c>
      <c r="C249" s="201">
        <v>4.6</v>
      </c>
      <c r="D249" s="23" t="s">
        <v>60</v>
      </c>
    </row>
    <row r="250">
      <c r="A250" s="202">
        <v>45180.0</v>
      </c>
      <c r="B250" s="23" t="s">
        <v>202</v>
      </c>
      <c r="C250" s="201">
        <v>5.773</v>
      </c>
      <c r="D250" s="23" t="s">
        <v>57</v>
      </c>
    </row>
    <row r="251">
      <c r="A251" s="202">
        <v>45180.0</v>
      </c>
      <c r="B251" s="23" t="s">
        <v>204</v>
      </c>
      <c r="C251" s="201">
        <v>10.104</v>
      </c>
      <c r="D251" s="23" t="s">
        <v>57</v>
      </c>
    </row>
    <row r="252">
      <c r="A252" s="202">
        <v>45180.0</v>
      </c>
      <c r="B252" s="23" t="s">
        <v>273</v>
      </c>
      <c r="C252" s="201">
        <v>7.165</v>
      </c>
      <c r="D252" s="23" t="s">
        <v>61</v>
      </c>
    </row>
    <row r="253">
      <c r="A253" s="202">
        <v>45180.0</v>
      </c>
      <c r="B253" s="23" t="s">
        <v>231</v>
      </c>
      <c r="C253" s="201">
        <v>8.613999999999999</v>
      </c>
      <c r="D253" s="23" t="s">
        <v>59</v>
      </c>
    </row>
    <row r="254">
      <c r="A254" s="202">
        <v>45180.0</v>
      </c>
      <c r="B254" s="23" t="s">
        <v>194</v>
      </c>
      <c r="C254" s="201">
        <v>4.477</v>
      </c>
      <c r="D254" s="23" t="s">
        <v>70</v>
      </c>
    </row>
    <row r="255">
      <c r="A255" s="202">
        <v>45180.0</v>
      </c>
      <c r="B255" s="23" t="s">
        <v>198</v>
      </c>
      <c r="C255" s="201">
        <v>7.757000000000001</v>
      </c>
      <c r="D255" s="23" t="s">
        <v>70</v>
      </c>
    </row>
    <row r="256">
      <c r="A256" s="202">
        <v>45180.0</v>
      </c>
      <c r="B256" s="23" t="s">
        <v>277</v>
      </c>
      <c r="C256" s="201">
        <v>3.8</v>
      </c>
      <c r="D256" s="23" t="s">
        <v>274</v>
      </c>
    </row>
    <row r="257">
      <c r="A257" s="202">
        <v>45180.0</v>
      </c>
      <c r="B257" s="23" t="s">
        <v>275</v>
      </c>
      <c r="C257" s="201">
        <v>2.8</v>
      </c>
      <c r="D257" s="23" t="s">
        <v>274</v>
      </c>
    </row>
    <row r="258">
      <c r="A258" s="202">
        <v>45180.0</v>
      </c>
      <c r="B258" s="23" t="s">
        <v>113</v>
      </c>
      <c r="C258" s="201">
        <v>4.499</v>
      </c>
      <c r="D258" s="23" t="s">
        <v>58</v>
      </c>
    </row>
    <row r="259">
      <c r="A259" s="202">
        <v>45180.0</v>
      </c>
      <c r="B259" s="23" t="s">
        <v>208</v>
      </c>
      <c r="C259" s="201">
        <v>5.797</v>
      </c>
      <c r="D259" s="23" t="s">
        <v>57</v>
      </c>
    </row>
    <row r="260">
      <c r="A260" s="202">
        <v>45180.0</v>
      </c>
      <c r="B260" s="23" t="s">
        <v>180</v>
      </c>
      <c r="C260" s="201">
        <v>8.591</v>
      </c>
      <c r="D260" s="23" t="s">
        <v>46</v>
      </c>
    </row>
    <row r="261">
      <c r="A261" s="202">
        <v>45180.0</v>
      </c>
      <c r="B261" s="23" t="s">
        <v>259</v>
      </c>
      <c r="C261" s="201">
        <v>7.194</v>
      </c>
      <c r="D261" s="23" t="s">
        <v>125</v>
      </c>
    </row>
    <row r="262">
      <c r="A262" s="202">
        <v>45180.0</v>
      </c>
      <c r="B262" s="23" t="s">
        <v>276</v>
      </c>
      <c r="C262" s="201">
        <v>4.499</v>
      </c>
      <c r="D262" s="23" t="s">
        <v>274</v>
      </c>
    </row>
    <row r="263">
      <c r="A263" s="202">
        <v>45180.0</v>
      </c>
      <c r="B263" s="23" t="s">
        <v>215</v>
      </c>
      <c r="C263" s="201">
        <v>8.513</v>
      </c>
      <c r="D263" s="23" t="s">
        <v>62</v>
      </c>
    </row>
    <row r="264">
      <c r="A264" s="202">
        <v>45180.0</v>
      </c>
      <c r="B264" s="23" t="s">
        <v>272</v>
      </c>
      <c r="C264" s="201">
        <v>4.189</v>
      </c>
      <c r="D264" s="23" t="s">
        <v>61</v>
      </c>
    </row>
    <row r="265">
      <c r="A265" s="202">
        <v>45180.0</v>
      </c>
      <c r="B265" s="23" t="s">
        <v>255</v>
      </c>
      <c r="C265" s="201">
        <v>7.152</v>
      </c>
      <c r="D265" s="23" t="s">
        <v>69</v>
      </c>
    </row>
    <row r="266">
      <c r="A266" s="202">
        <v>45180.0</v>
      </c>
      <c r="B266" t="s">
        <v>183</v>
      </c>
      <c r="C266" s="23">
        <v>7.43</v>
      </c>
      <c r="D266" t="s">
        <v>46</v>
      </c>
    </row>
    <row r="267">
      <c r="A267" s="202">
        <v>45180.0</v>
      </c>
      <c r="B267" t="s">
        <v>78</v>
      </c>
      <c r="C267" s="23">
        <v>4.1</v>
      </c>
      <c r="D267" t="s">
        <v>35</v>
      </c>
    </row>
    <row r="268">
      <c r="A268" s="202">
        <v>45180.0</v>
      </c>
      <c r="B268" t="s">
        <v>260</v>
      </c>
      <c r="C268" s="23">
        <v>6.5</v>
      </c>
      <c r="D268" t="s">
        <v>125</v>
      </c>
    </row>
    <row r="269">
      <c r="A269" s="23" t="s">
        <v>680</v>
      </c>
      <c r="B269" s="23" t="s">
        <v>3</v>
      </c>
      <c r="C269" s="23" t="s">
        <v>279</v>
      </c>
      <c r="D269" s="23" t="s">
        <v>280</v>
      </c>
    </row>
    <row r="270">
      <c r="A270" s="202">
        <v>45187.0</v>
      </c>
      <c r="B270" s="23" t="s">
        <v>243</v>
      </c>
      <c r="C270" s="201">
        <v>8.632000000000001</v>
      </c>
      <c r="D270" s="23" t="s">
        <v>69</v>
      </c>
    </row>
    <row r="271">
      <c r="A271" s="202">
        <v>45187.0</v>
      </c>
      <c r="B271" s="23" t="s">
        <v>189</v>
      </c>
      <c r="C271" s="201">
        <v>3.597</v>
      </c>
      <c r="D271" s="23" t="s">
        <v>46</v>
      </c>
    </row>
    <row r="272">
      <c r="A272" s="202">
        <v>45187.0</v>
      </c>
      <c r="B272" s="23" t="s">
        <v>137</v>
      </c>
      <c r="C272" s="201">
        <v>9.169</v>
      </c>
      <c r="D272" s="23" t="s">
        <v>60</v>
      </c>
    </row>
    <row r="273">
      <c r="A273" s="202">
        <v>45187.0</v>
      </c>
      <c r="B273" s="23" t="s">
        <v>71</v>
      </c>
      <c r="C273" s="201">
        <v>7.289000000000001</v>
      </c>
      <c r="D273" s="23" t="s">
        <v>35</v>
      </c>
    </row>
    <row r="274">
      <c r="A274" s="202">
        <v>45187.0</v>
      </c>
      <c r="B274" s="23" t="s">
        <v>174</v>
      </c>
      <c r="C274" s="201">
        <v>1.9</v>
      </c>
      <c r="D274" s="23" t="s">
        <v>60</v>
      </c>
    </row>
    <row r="275">
      <c r="A275" s="202">
        <v>45187.0</v>
      </c>
      <c r="B275" s="23" t="s">
        <v>217</v>
      </c>
      <c r="C275" s="201">
        <v>5.499</v>
      </c>
      <c r="D275" s="23" t="s">
        <v>67</v>
      </c>
    </row>
    <row r="276">
      <c r="A276" s="202">
        <v>45187.0</v>
      </c>
      <c r="B276" s="23" t="s">
        <v>213</v>
      </c>
      <c r="C276" s="201">
        <v>5.2989999999999995</v>
      </c>
      <c r="D276" s="23" t="s">
        <v>57</v>
      </c>
    </row>
    <row r="277">
      <c r="A277" s="202">
        <v>45187.0</v>
      </c>
      <c r="B277" s="23" t="s">
        <v>254</v>
      </c>
      <c r="C277" s="201">
        <v>3.299</v>
      </c>
      <c r="D277" s="23" t="s">
        <v>69</v>
      </c>
    </row>
    <row r="278">
      <c r="A278" s="202">
        <v>45187.0</v>
      </c>
      <c r="B278" s="23" t="s">
        <v>123</v>
      </c>
      <c r="C278" s="201">
        <v>6.3</v>
      </c>
      <c r="D278" s="23" t="s">
        <v>56</v>
      </c>
    </row>
    <row r="279">
      <c r="A279" s="202">
        <v>45187.0</v>
      </c>
      <c r="B279" s="23" t="s">
        <v>112</v>
      </c>
      <c r="C279" s="201">
        <v>7.294</v>
      </c>
      <c r="D279" s="23" t="s">
        <v>58</v>
      </c>
    </row>
    <row r="280">
      <c r="A280" s="202">
        <v>45187.0</v>
      </c>
      <c r="B280" s="23" t="s">
        <v>177</v>
      </c>
      <c r="C280" s="201">
        <v>5.550999999999999</v>
      </c>
      <c r="D280" s="23" t="s">
        <v>60</v>
      </c>
    </row>
    <row r="281">
      <c r="A281" s="202">
        <v>45187.0</v>
      </c>
      <c r="B281" s="23" t="s">
        <v>230</v>
      </c>
      <c r="C281" s="201">
        <v>3.9</v>
      </c>
      <c r="D281" s="23" t="s">
        <v>59</v>
      </c>
    </row>
    <row r="282">
      <c r="A282" s="202">
        <v>45187.0</v>
      </c>
      <c r="B282" s="23" t="s">
        <v>227</v>
      </c>
      <c r="C282" s="201">
        <v>6.575</v>
      </c>
      <c r="D282" s="23" t="s">
        <v>59</v>
      </c>
    </row>
    <row r="283">
      <c r="A283" s="202">
        <v>45187.0</v>
      </c>
      <c r="B283" s="23" t="s">
        <v>248</v>
      </c>
      <c r="C283" s="201">
        <v>4.2</v>
      </c>
      <c r="D283" s="23" t="s">
        <v>62</v>
      </c>
    </row>
    <row r="284">
      <c r="A284" s="202">
        <v>45187.0</v>
      </c>
      <c r="B284" s="23" t="s">
        <v>226</v>
      </c>
      <c r="C284" s="201">
        <v>4.966</v>
      </c>
      <c r="D284" s="23" t="s">
        <v>67</v>
      </c>
    </row>
    <row r="285">
      <c r="A285" s="202">
        <v>45187.0</v>
      </c>
      <c r="B285" s="23" t="s">
        <v>199</v>
      </c>
      <c r="C285" s="201">
        <v>3.093</v>
      </c>
      <c r="D285" s="23" t="s">
        <v>70</v>
      </c>
    </row>
    <row r="286">
      <c r="A286" s="202">
        <v>45187.0</v>
      </c>
      <c r="B286" s="23" t="s">
        <v>119</v>
      </c>
      <c r="C286" s="201">
        <v>6.0</v>
      </c>
      <c r="D286" s="23" t="s">
        <v>58</v>
      </c>
    </row>
    <row r="287">
      <c r="A287" s="202">
        <v>45187.0</v>
      </c>
      <c r="B287" s="23" t="s">
        <v>251</v>
      </c>
      <c r="C287" s="201">
        <v>5.797</v>
      </c>
      <c r="D287" s="23" t="s">
        <v>69</v>
      </c>
    </row>
    <row r="288">
      <c r="A288" s="202">
        <v>45187.0</v>
      </c>
      <c r="B288" s="23" t="s">
        <v>265</v>
      </c>
      <c r="C288" s="201">
        <v>5.36</v>
      </c>
      <c r="D288" s="23" t="s">
        <v>125</v>
      </c>
    </row>
    <row r="289">
      <c r="A289" s="202">
        <v>45187.0</v>
      </c>
      <c r="B289" s="23" t="s">
        <v>252</v>
      </c>
      <c r="C289" s="201">
        <v>3.6990000000000003</v>
      </c>
      <c r="D289" s="23" t="s">
        <v>69</v>
      </c>
    </row>
    <row r="290">
      <c r="A290" s="202">
        <v>45187.0</v>
      </c>
      <c r="B290" s="23" t="s">
        <v>242</v>
      </c>
      <c r="C290" s="201">
        <v>7.087</v>
      </c>
      <c r="D290" s="23" t="s">
        <v>62</v>
      </c>
    </row>
    <row r="291">
      <c r="A291" s="202">
        <v>45187.0</v>
      </c>
      <c r="B291" s="23" t="s">
        <v>191</v>
      </c>
      <c r="C291" s="201">
        <v>7.457</v>
      </c>
      <c r="D291" s="23" t="s">
        <v>70</v>
      </c>
    </row>
    <row r="292">
      <c r="A292" s="202">
        <v>45187.0</v>
      </c>
      <c r="B292" s="23" t="s">
        <v>206</v>
      </c>
      <c r="C292" s="201">
        <v>8.163</v>
      </c>
      <c r="D292" s="23" t="s">
        <v>57</v>
      </c>
    </row>
    <row r="293">
      <c r="A293" s="202">
        <v>45187.0</v>
      </c>
      <c r="B293" s="23" t="s">
        <v>269</v>
      </c>
      <c r="C293" s="201">
        <v>6.1</v>
      </c>
      <c r="D293" s="23" t="s">
        <v>61</v>
      </c>
    </row>
    <row r="294">
      <c r="A294" s="202">
        <v>45187.0</v>
      </c>
      <c r="B294" s="23" t="s">
        <v>105</v>
      </c>
      <c r="C294" s="201">
        <v>3.995</v>
      </c>
      <c r="D294" s="23" t="s">
        <v>58</v>
      </c>
    </row>
    <row r="295">
      <c r="A295" s="202">
        <v>45187.0</v>
      </c>
      <c r="B295" s="23" t="s">
        <v>187</v>
      </c>
      <c r="C295" s="201">
        <v>8.25</v>
      </c>
      <c r="D295" s="23" t="s">
        <v>46</v>
      </c>
    </row>
    <row r="296">
      <c r="A296" s="202">
        <v>45187.0</v>
      </c>
      <c r="B296" s="23" t="s">
        <v>246</v>
      </c>
      <c r="C296" s="201">
        <v>4.295</v>
      </c>
      <c r="D296" s="23" t="s">
        <v>62</v>
      </c>
    </row>
    <row r="297">
      <c r="A297" s="202">
        <v>45187.0</v>
      </c>
      <c r="B297" s="23" t="s">
        <v>238</v>
      </c>
      <c r="C297" s="201">
        <v>5.59</v>
      </c>
      <c r="D297" s="23" t="s">
        <v>59</v>
      </c>
    </row>
    <row r="298">
      <c r="A298" s="202">
        <v>45187.0</v>
      </c>
      <c r="B298" s="23" t="s">
        <v>133</v>
      </c>
      <c r="C298" s="201">
        <v>4.696000000000001</v>
      </c>
      <c r="D298" s="23" t="s">
        <v>56</v>
      </c>
    </row>
    <row r="299">
      <c r="A299" s="202">
        <v>45187.0</v>
      </c>
      <c r="B299" s="23" t="s">
        <v>127</v>
      </c>
      <c r="C299" s="201">
        <v>6.8740000000000006</v>
      </c>
      <c r="D299" s="23" t="s">
        <v>56</v>
      </c>
    </row>
    <row r="300">
      <c r="A300" s="202">
        <v>45187.0</v>
      </c>
      <c r="B300" s="23" t="s">
        <v>220</v>
      </c>
      <c r="C300" s="201">
        <v>5.59</v>
      </c>
      <c r="D300" s="23" t="s">
        <v>67</v>
      </c>
    </row>
    <row r="301">
      <c r="A301" s="202">
        <v>45187.0</v>
      </c>
      <c r="B301" s="23" t="s">
        <v>224</v>
      </c>
      <c r="C301" s="201">
        <v>10.087</v>
      </c>
      <c r="D301" s="23" t="s">
        <v>125</v>
      </c>
    </row>
    <row r="302">
      <c r="A302" s="202">
        <v>45187.0</v>
      </c>
      <c r="B302" s="23" t="s">
        <v>241</v>
      </c>
      <c r="C302" s="201">
        <v>9.528</v>
      </c>
      <c r="D302" s="23" t="s">
        <v>62</v>
      </c>
    </row>
    <row r="303">
      <c r="A303" s="202">
        <v>45187.0</v>
      </c>
      <c r="B303" s="23" t="s">
        <v>63</v>
      </c>
      <c r="C303" s="201">
        <v>10.829</v>
      </c>
      <c r="D303" s="23" t="s">
        <v>35</v>
      </c>
    </row>
    <row r="304">
      <c r="A304" s="202">
        <v>45187.0</v>
      </c>
      <c r="B304" s="23" t="s">
        <v>245</v>
      </c>
      <c r="C304" s="201">
        <v>6.364000000000001</v>
      </c>
      <c r="D304" s="23" t="s">
        <v>62</v>
      </c>
    </row>
    <row r="305">
      <c r="A305" s="202">
        <v>45187.0</v>
      </c>
      <c r="B305" s="23" t="s">
        <v>232</v>
      </c>
      <c r="C305" s="201">
        <v>7.140000000000001</v>
      </c>
      <c r="D305" s="23" t="s">
        <v>59</v>
      </c>
    </row>
    <row r="306">
      <c r="A306" s="202">
        <v>45187.0</v>
      </c>
      <c r="B306" s="23" t="s">
        <v>229</v>
      </c>
      <c r="C306" s="201">
        <v>4.499</v>
      </c>
      <c r="D306" s="23" t="s">
        <v>59</v>
      </c>
    </row>
    <row r="307">
      <c r="A307" s="202">
        <v>45187.0</v>
      </c>
      <c r="B307" s="23" t="s">
        <v>173</v>
      </c>
      <c r="C307" s="201">
        <v>4.992</v>
      </c>
      <c r="D307" s="23" t="s">
        <v>60</v>
      </c>
    </row>
    <row r="308">
      <c r="A308" s="202">
        <v>45187.0</v>
      </c>
      <c r="B308" s="23" t="s">
        <v>210</v>
      </c>
      <c r="C308" s="201">
        <v>3.8</v>
      </c>
      <c r="D308" s="23" t="s">
        <v>57</v>
      </c>
    </row>
    <row r="309">
      <c r="A309" s="202">
        <v>45187.0</v>
      </c>
      <c r="B309" s="23" t="s">
        <v>186</v>
      </c>
      <c r="C309" s="201">
        <v>5.7909999999999995</v>
      </c>
      <c r="D309" s="23" t="s">
        <v>46</v>
      </c>
    </row>
    <row r="310">
      <c r="A310" s="202">
        <v>45187.0</v>
      </c>
      <c r="B310" s="23" t="s">
        <v>195</v>
      </c>
      <c r="C310" s="201">
        <v>4.5</v>
      </c>
      <c r="D310" s="23" t="s">
        <v>70</v>
      </c>
    </row>
    <row r="311">
      <c r="A311" s="202">
        <v>45187.0</v>
      </c>
      <c r="B311" s="23" t="s">
        <v>266</v>
      </c>
      <c r="C311" s="201">
        <v>8.546999999999999</v>
      </c>
      <c r="D311" s="23" t="s">
        <v>61</v>
      </c>
    </row>
    <row r="312">
      <c r="A312" s="202">
        <v>45187.0</v>
      </c>
      <c r="B312" s="23" t="s">
        <v>124</v>
      </c>
      <c r="C312" s="201">
        <v>4.2989999999999995</v>
      </c>
      <c r="D312" s="23" t="s">
        <v>56</v>
      </c>
    </row>
    <row r="313">
      <c r="A313" s="202">
        <v>45187.0</v>
      </c>
      <c r="B313" s="23" t="s">
        <v>262</v>
      </c>
      <c r="C313" s="201">
        <v>7.5</v>
      </c>
      <c r="D313" s="23" t="s">
        <v>125</v>
      </c>
    </row>
    <row r="314">
      <c r="A314" s="202">
        <v>45187.0</v>
      </c>
      <c r="B314" s="23" t="s">
        <v>192</v>
      </c>
      <c r="C314" s="201">
        <v>5.699</v>
      </c>
      <c r="D314" s="23" t="s">
        <v>70</v>
      </c>
    </row>
    <row r="315">
      <c r="A315" s="202">
        <v>45187.0</v>
      </c>
      <c r="B315" s="23" t="s">
        <v>74</v>
      </c>
      <c r="C315" s="201">
        <v>7.952</v>
      </c>
      <c r="D315" s="23" t="s">
        <v>35</v>
      </c>
    </row>
    <row r="316">
      <c r="A316" s="202">
        <v>45187.0</v>
      </c>
      <c r="B316" s="23" t="s">
        <v>75</v>
      </c>
      <c r="C316" s="201">
        <v>4.482</v>
      </c>
      <c r="D316" s="23" t="s">
        <v>35</v>
      </c>
    </row>
    <row r="317">
      <c r="A317" s="202">
        <v>45187.0</v>
      </c>
      <c r="B317" s="23" t="s">
        <v>196</v>
      </c>
      <c r="C317" s="201">
        <v>6.696000000000001</v>
      </c>
      <c r="D317" s="23" t="s">
        <v>70</v>
      </c>
    </row>
    <row r="318">
      <c r="A318" s="202">
        <v>45187.0</v>
      </c>
      <c r="B318" s="23" t="s">
        <v>102</v>
      </c>
      <c r="C318" s="201">
        <v>9.752</v>
      </c>
      <c r="D318" s="23" t="s">
        <v>58</v>
      </c>
    </row>
    <row r="319">
      <c r="A319" s="202">
        <v>45187.0</v>
      </c>
      <c r="B319" s="23" t="s">
        <v>175</v>
      </c>
      <c r="C319" s="201">
        <v>7.343</v>
      </c>
      <c r="D319" s="23" t="s">
        <v>60</v>
      </c>
    </row>
    <row r="320">
      <c r="A320" s="202">
        <v>45187.0</v>
      </c>
      <c r="B320" s="23" t="s">
        <v>250</v>
      </c>
      <c r="C320" s="201">
        <v>5.139</v>
      </c>
      <c r="D320" s="23" t="s">
        <v>69</v>
      </c>
    </row>
    <row r="321">
      <c r="A321" s="202">
        <v>45187.0</v>
      </c>
      <c r="B321" s="23" t="s">
        <v>164</v>
      </c>
      <c r="C321" s="201">
        <v>8.71</v>
      </c>
      <c r="D321" s="23" t="s">
        <v>60</v>
      </c>
    </row>
    <row r="322">
      <c r="A322" s="202">
        <v>45187.0</v>
      </c>
      <c r="B322" s="23" t="s">
        <v>219</v>
      </c>
      <c r="C322" s="201">
        <v>8.761000000000001</v>
      </c>
      <c r="D322" s="23" t="s">
        <v>69</v>
      </c>
    </row>
    <row r="323">
      <c r="A323" s="202">
        <v>45187.0</v>
      </c>
      <c r="B323" s="23" t="s">
        <v>111</v>
      </c>
      <c r="C323" s="201">
        <v>8.046</v>
      </c>
      <c r="D323" s="23" t="s">
        <v>58</v>
      </c>
    </row>
    <row r="324">
      <c r="A324" s="202">
        <v>45187.0</v>
      </c>
      <c r="B324" s="23" t="s">
        <v>244</v>
      </c>
      <c r="C324" s="201">
        <v>7.197</v>
      </c>
      <c r="D324" s="23" t="s">
        <v>62</v>
      </c>
    </row>
    <row r="325">
      <c r="A325" s="202">
        <v>45187.0</v>
      </c>
      <c r="B325" s="23" t="s">
        <v>118</v>
      </c>
      <c r="C325" s="201">
        <v>9.037999999999998</v>
      </c>
      <c r="D325" s="23" t="s">
        <v>58</v>
      </c>
    </row>
    <row r="326">
      <c r="A326" s="202">
        <v>45187.0</v>
      </c>
      <c r="B326" s="23" t="s">
        <v>240</v>
      </c>
      <c r="C326" s="201">
        <v>8.479999999999999</v>
      </c>
      <c r="D326" s="23" t="s">
        <v>62</v>
      </c>
    </row>
    <row r="327">
      <c r="A327" s="202">
        <v>45187.0</v>
      </c>
      <c r="B327" s="23" t="s">
        <v>79</v>
      </c>
      <c r="C327" s="201">
        <v>9.524999999999999</v>
      </c>
      <c r="D327" s="23" t="s">
        <v>35</v>
      </c>
    </row>
    <row r="328">
      <c r="A328" s="202">
        <v>45187.0</v>
      </c>
      <c r="B328" s="23" t="s">
        <v>178</v>
      </c>
      <c r="C328" s="201">
        <v>5.199</v>
      </c>
      <c r="D328" s="23" t="s">
        <v>60</v>
      </c>
    </row>
    <row r="329">
      <c r="A329" s="202">
        <v>45187.0</v>
      </c>
      <c r="B329" s="23" t="s">
        <v>209</v>
      </c>
      <c r="C329" s="201">
        <v>9.41</v>
      </c>
      <c r="D329" s="23" t="s">
        <v>59</v>
      </c>
    </row>
    <row r="330">
      <c r="A330" s="202">
        <v>45187.0</v>
      </c>
      <c r="B330" s="23" t="s">
        <v>228</v>
      </c>
      <c r="C330" s="201">
        <v>5.897</v>
      </c>
      <c r="D330" s="23" t="s">
        <v>61</v>
      </c>
    </row>
    <row r="331">
      <c r="A331" s="202">
        <v>45187.0</v>
      </c>
      <c r="B331" s="23" t="s">
        <v>116</v>
      </c>
      <c r="C331" s="201">
        <v>5.99</v>
      </c>
      <c r="D331" s="23" t="s">
        <v>58</v>
      </c>
    </row>
    <row r="332">
      <c r="A332" s="202">
        <v>45187.0</v>
      </c>
      <c r="B332" s="23" t="s">
        <v>249</v>
      </c>
      <c r="C332" s="201">
        <v>6.3</v>
      </c>
      <c r="D332" s="23" t="s">
        <v>62</v>
      </c>
    </row>
    <row r="333">
      <c r="A333" s="202">
        <v>45187.0</v>
      </c>
      <c r="B333" s="23" t="s">
        <v>237</v>
      </c>
      <c r="C333" s="201">
        <v>6.898000000000001</v>
      </c>
      <c r="D333" s="23" t="s">
        <v>59</v>
      </c>
    </row>
    <row r="334">
      <c r="A334" s="202">
        <v>45187.0</v>
      </c>
      <c r="B334" s="23" t="s">
        <v>234</v>
      </c>
      <c r="C334" s="201">
        <v>4.999</v>
      </c>
      <c r="D334" s="23" t="s">
        <v>59</v>
      </c>
    </row>
    <row r="335">
      <c r="A335" s="202">
        <v>45187.0</v>
      </c>
      <c r="B335" s="23" t="s">
        <v>268</v>
      </c>
      <c r="C335" s="201">
        <v>5.996</v>
      </c>
      <c r="D335" s="23" t="s">
        <v>61</v>
      </c>
    </row>
    <row r="336">
      <c r="A336" s="202">
        <v>45187.0</v>
      </c>
      <c r="B336" s="23" t="s">
        <v>80</v>
      </c>
      <c r="C336" s="201">
        <v>4.7989999999999995</v>
      </c>
      <c r="D336" s="23" t="s">
        <v>35</v>
      </c>
    </row>
    <row r="337">
      <c r="A337" s="202">
        <v>45187.0</v>
      </c>
      <c r="B337" s="23" t="s">
        <v>258</v>
      </c>
      <c r="C337" s="201">
        <v>2.4</v>
      </c>
      <c r="D337" s="23" t="s">
        <v>125</v>
      </c>
    </row>
    <row r="338">
      <c r="A338" s="202">
        <v>45187.0</v>
      </c>
      <c r="B338" s="23" t="s">
        <v>88</v>
      </c>
      <c r="C338" s="201">
        <v>3.6980000000000004</v>
      </c>
      <c r="D338" s="23" t="s">
        <v>35</v>
      </c>
    </row>
    <row r="339">
      <c r="A339" s="202">
        <v>45187.0</v>
      </c>
      <c r="B339" s="23" t="s">
        <v>201</v>
      </c>
      <c r="C339" s="201">
        <v>5.969</v>
      </c>
      <c r="D339" s="23" t="s">
        <v>57</v>
      </c>
    </row>
    <row r="340">
      <c r="A340" s="202">
        <v>45187.0</v>
      </c>
      <c r="B340" s="23" t="s">
        <v>216</v>
      </c>
      <c r="C340" s="201">
        <v>8.934</v>
      </c>
      <c r="D340" s="23" t="s">
        <v>67</v>
      </c>
    </row>
    <row r="341">
      <c r="A341" s="202">
        <v>45187.0</v>
      </c>
      <c r="B341" s="23" t="s">
        <v>221</v>
      </c>
      <c r="C341" s="201">
        <v>4.098999999999999</v>
      </c>
      <c r="D341" s="23" t="s">
        <v>67</v>
      </c>
    </row>
    <row r="342">
      <c r="A342" s="202">
        <v>45187.0</v>
      </c>
      <c r="B342" s="23" t="s">
        <v>117</v>
      </c>
      <c r="C342" s="201">
        <v>5.764</v>
      </c>
      <c r="D342" s="23" t="s">
        <v>58</v>
      </c>
    </row>
    <row r="343">
      <c r="A343" s="202">
        <v>45187.0</v>
      </c>
      <c r="B343" s="23" t="s">
        <v>261</v>
      </c>
      <c r="C343" s="201">
        <v>4.499</v>
      </c>
      <c r="D343" s="23" t="s">
        <v>125</v>
      </c>
    </row>
    <row r="344">
      <c r="A344" s="202">
        <v>45187.0</v>
      </c>
      <c r="B344" s="23" t="s">
        <v>128</v>
      </c>
      <c r="C344" s="201">
        <v>9.6</v>
      </c>
      <c r="D344" s="23" t="s">
        <v>56</v>
      </c>
    </row>
    <row r="345">
      <c r="A345" s="202">
        <v>45187.0</v>
      </c>
      <c r="B345" s="23" t="s">
        <v>214</v>
      </c>
      <c r="C345" s="201">
        <v>8.175</v>
      </c>
      <c r="D345" s="23" t="s">
        <v>57</v>
      </c>
    </row>
    <row r="346">
      <c r="A346" s="202">
        <v>45187.0</v>
      </c>
      <c r="B346" s="23" t="s">
        <v>200</v>
      </c>
      <c r="C346" s="201">
        <v>10.639</v>
      </c>
      <c r="D346" s="23" t="s">
        <v>57</v>
      </c>
    </row>
    <row r="347">
      <c r="A347" s="202">
        <v>45187.0</v>
      </c>
      <c r="B347" s="23" t="s">
        <v>179</v>
      </c>
      <c r="C347" s="201">
        <v>10.856</v>
      </c>
      <c r="D347" s="23" t="s">
        <v>60</v>
      </c>
    </row>
    <row r="348">
      <c r="A348" s="202">
        <v>45187.0</v>
      </c>
      <c r="B348" s="23" t="s">
        <v>267</v>
      </c>
      <c r="C348" s="201">
        <v>5.098999999999999</v>
      </c>
      <c r="D348" s="23" t="s">
        <v>61</v>
      </c>
    </row>
    <row r="349">
      <c r="A349" s="202">
        <v>45187.0</v>
      </c>
      <c r="B349" s="23" t="s">
        <v>270</v>
      </c>
      <c r="C349" s="201">
        <v>4.294</v>
      </c>
      <c r="D349" s="23" t="s">
        <v>61</v>
      </c>
    </row>
    <row r="350">
      <c r="A350" s="202">
        <v>45187.0</v>
      </c>
      <c r="B350" s="23" t="s">
        <v>225</v>
      </c>
      <c r="C350" s="201">
        <v>9.114999999999998</v>
      </c>
      <c r="D350" s="23" t="s">
        <v>67</v>
      </c>
    </row>
    <row r="351">
      <c r="A351" s="202">
        <v>45187.0</v>
      </c>
      <c r="B351" s="23" t="s">
        <v>38</v>
      </c>
      <c r="C351" s="201">
        <v>10.027000000000001</v>
      </c>
      <c r="D351" s="23" t="s">
        <v>35</v>
      </c>
    </row>
    <row r="352">
      <c r="A352" s="202">
        <v>45187.0</v>
      </c>
      <c r="B352" s="23" t="s">
        <v>247</v>
      </c>
      <c r="C352" s="201">
        <v>8.452</v>
      </c>
      <c r="D352" s="23" t="s">
        <v>62</v>
      </c>
    </row>
    <row r="353">
      <c r="A353" s="202">
        <v>45187.0</v>
      </c>
      <c r="B353" s="23" t="s">
        <v>135</v>
      </c>
      <c r="C353" s="201">
        <v>10.275</v>
      </c>
      <c r="D353" s="23" t="s">
        <v>56</v>
      </c>
    </row>
    <row r="354">
      <c r="A354" s="202">
        <v>45187.0</v>
      </c>
      <c r="B354" s="23" t="s">
        <v>256</v>
      </c>
      <c r="C354" s="201">
        <v>4.6930000000000005</v>
      </c>
      <c r="D354" s="23" t="s">
        <v>69</v>
      </c>
    </row>
    <row r="355">
      <c r="A355" s="202">
        <v>45187.0</v>
      </c>
      <c r="B355" s="23" t="s">
        <v>222</v>
      </c>
      <c r="C355" s="201">
        <v>4.296</v>
      </c>
      <c r="D355" s="23" t="s">
        <v>67</v>
      </c>
    </row>
    <row r="356">
      <c r="A356" s="202">
        <v>45187.0</v>
      </c>
      <c r="B356" s="23" t="s">
        <v>263</v>
      </c>
      <c r="C356" s="201">
        <v>6.787</v>
      </c>
      <c r="D356" s="23" t="s">
        <v>125</v>
      </c>
    </row>
    <row r="357">
      <c r="A357" s="202">
        <v>45187.0</v>
      </c>
      <c r="B357" s="23" t="s">
        <v>185</v>
      </c>
      <c r="C357" s="201">
        <v>6.598</v>
      </c>
      <c r="D357" s="23" t="s">
        <v>46</v>
      </c>
    </row>
    <row r="358">
      <c r="A358" s="202">
        <v>45187.0</v>
      </c>
      <c r="B358" s="23" t="s">
        <v>190</v>
      </c>
      <c r="C358" s="201">
        <v>5.483</v>
      </c>
      <c r="D358" s="23" t="s">
        <v>70</v>
      </c>
    </row>
    <row r="359">
      <c r="A359" s="202">
        <v>45187.0</v>
      </c>
      <c r="B359" s="23" t="s">
        <v>129</v>
      </c>
      <c r="C359" s="201">
        <v>5.791</v>
      </c>
      <c r="D359" s="23" t="s">
        <v>56</v>
      </c>
    </row>
    <row r="360">
      <c r="A360" s="202">
        <v>45187.0</v>
      </c>
      <c r="B360" s="23" t="s">
        <v>139</v>
      </c>
      <c r="C360" s="201">
        <v>9.277000000000001</v>
      </c>
      <c r="D360" s="23" t="s">
        <v>60</v>
      </c>
    </row>
    <row r="361">
      <c r="A361" s="202">
        <v>45187.0</v>
      </c>
      <c r="B361" s="23" t="s">
        <v>205</v>
      </c>
      <c r="C361" s="201">
        <v>8.202</v>
      </c>
      <c r="D361" s="23" t="s">
        <v>67</v>
      </c>
    </row>
    <row r="362">
      <c r="A362" s="202">
        <v>45187.0</v>
      </c>
      <c r="B362" s="23" t="s">
        <v>184</v>
      </c>
      <c r="C362" s="201">
        <v>5.798</v>
      </c>
      <c r="D362" s="23" t="s">
        <v>46</v>
      </c>
    </row>
    <row r="363">
      <c r="A363" s="202">
        <v>45187.0</v>
      </c>
      <c r="B363" s="23" t="s">
        <v>253</v>
      </c>
      <c r="C363" s="201">
        <v>4.797</v>
      </c>
      <c r="D363" s="23" t="s">
        <v>69</v>
      </c>
    </row>
    <row r="364">
      <c r="A364" s="202">
        <v>45187.0</v>
      </c>
      <c r="B364" s="23" t="s">
        <v>197</v>
      </c>
      <c r="C364" s="201">
        <v>4.29</v>
      </c>
      <c r="D364" s="23" t="s">
        <v>70</v>
      </c>
    </row>
    <row r="365">
      <c r="A365" s="202">
        <v>45187.0</v>
      </c>
      <c r="B365" s="23" t="s">
        <v>193</v>
      </c>
      <c r="C365" s="201">
        <v>2.1</v>
      </c>
      <c r="D365" s="23" t="s">
        <v>70</v>
      </c>
    </row>
    <row r="366">
      <c r="A366" s="202">
        <v>45187.0</v>
      </c>
      <c r="B366" s="23" t="s">
        <v>130</v>
      </c>
      <c r="C366" s="201">
        <v>9.549999999999999</v>
      </c>
      <c r="D366" s="23" t="s">
        <v>56</v>
      </c>
    </row>
    <row r="367">
      <c r="A367" s="202">
        <v>45187.0</v>
      </c>
      <c r="B367" s="23" t="s">
        <v>223</v>
      </c>
      <c r="C367" s="201">
        <v>6.682</v>
      </c>
      <c r="D367" s="23" t="s">
        <v>67</v>
      </c>
    </row>
    <row r="368">
      <c r="A368" s="202">
        <v>45187.0</v>
      </c>
      <c r="B368" s="23" t="s">
        <v>81</v>
      </c>
      <c r="C368" s="201">
        <v>4.7989999999999995</v>
      </c>
      <c r="D368" s="23" t="s">
        <v>35</v>
      </c>
    </row>
    <row r="369">
      <c r="A369" s="202">
        <v>45187.0</v>
      </c>
      <c r="B369" s="23" t="s">
        <v>233</v>
      </c>
      <c r="C369" s="201">
        <v>7.491</v>
      </c>
      <c r="D369" s="23" t="s">
        <v>61</v>
      </c>
    </row>
    <row r="370">
      <c r="A370" s="202">
        <v>45187.0</v>
      </c>
      <c r="B370" s="23" t="s">
        <v>264</v>
      </c>
      <c r="C370" s="201">
        <v>7.277</v>
      </c>
      <c r="D370" s="23" t="s">
        <v>125</v>
      </c>
    </row>
    <row r="371">
      <c r="A371" s="202">
        <v>45187.0</v>
      </c>
      <c r="B371" s="23" t="s">
        <v>239</v>
      </c>
      <c r="C371" s="201">
        <v>10.380999999999998</v>
      </c>
      <c r="D371" s="23" t="s">
        <v>125</v>
      </c>
    </row>
    <row r="372">
      <c r="A372" s="202">
        <v>45187.0</v>
      </c>
      <c r="B372" s="23" t="s">
        <v>126</v>
      </c>
      <c r="C372" s="201">
        <v>7.6080000000000005</v>
      </c>
      <c r="D372" s="23" t="s">
        <v>56</v>
      </c>
    </row>
    <row r="373">
      <c r="A373" s="202">
        <v>45187.0</v>
      </c>
      <c r="B373" s="23" t="s">
        <v>188</v>
      </c>
      <c r="C373" s="201">
        <v>6.084</v>
      </c>
      <c r="D373" s="23" t="s">
        <v>46</v>
      </c>
    </row>
    <row r="374">
      <c r="A374" s="202">
        <v>45187.0</v>
      </c>
      <c r="B374" s="23" t="s">
        <v>120</v>
      </c>
      <c r="C374" s="201">
        <v>9.147</v>
      </c>
      <c r="D374" s="23" t="s">
        <v>56</v>
      </c>
    </row>
    <row r="375">
      <c r="A375" s="202">
        <v>45187.0</v>
      </c>
      <c r="B375" s="23" t="s">
        <v>181</v>
      </c>
      <c r="C375" s="201">
        <v>5.762</v>
      </c>
      <c r="D375" s="23" t="s">
        <v>46</v>
      </c>
    </row>
    <row r="376">
      <c r="A376" s="202">
        <v>45187.0</v>
      </c>
      <c r="B376" s="23" t="s">
        <v>182</v>
      </c>
      <c r="C376" s="201">
        <v>9.171000000000001</v>
      </c>
      <c r="D376" s="23" t="s">
        <v>46</v>
      </c>
    </row>
    <row r="377">
      <c r="A377" s="202">
        <v>45187.0</v>
      </c>
      <c r="B377" s="23" t="s">
        <v>207</v>
      </c>
      <c r="C377" s="201">
        <v>4.399</v>
      </c>
      <c r="D377" s="23" t="s">
        <v>57</v>
      </c>
    </row>
    <row r="378">
      <c r="A378" s="202">
        <v>45187.0</v>
      </c>
      <c r="B378" s="23" t="s">
        <v>271</v>
      </c>
      <c r="C378" s="201">
        <v>4.497</v>
      </c>
      <c r="D378" s="23" t="s">
        <v>61</v>
      </c>
    </row>
    <row r="379">
      <c r="A379" s="202">
        <v>45187.0</v>
      </c>
      <c r="B379" s="23" t="s">
        <v>257</v>
      </c>
      <c r="C379" s="201">
        <v>8.762</v>
      </c>
      <c r="D379" s="23" t="s">
        <v>69</v>
      </c>
    </row>
    <row r="380">
      <c r="A380" s="202">
        <v>45187.0</v>
      </c>
      <c r="B380" s="23" t="s">
        <v>109</v>
      </c>
      <c r="C380" s="201">
        <v>8.571</v>
      </c>
      <c r="D380" s="23" t="s">
        <v>58</v>
      </c>
    </row>
    <row r="381">
      <c r="A381" s="202">
        <v>45187.0</v>
      </c>
      <c r="B381" s="23" t="s">
        <v>236</v>
      </c>
      <c r="C381" s="201">
        <v>3.0</v>
      </c>
      <c r="D381" s="23" t="s">
        <v>59</v>
      </c>
    </row>
    <row r="382">
      <c r="A382" s="202">
        <v>45187.0</v>
      </c>
      <c r="B382" s="23" t="s">
        <v>218</v>
      </c>
      <c r="C382" s="201">
        <v>4.0</v>
      </c>
      <c r="D382" s="23" t="s">
        <v>67</v>
      </c>
    </row>
    <row r="383">
      <c r="A383" s="202">
        <v>45187.0</v>
      </c>
      <c r="B383" s="23" t="s">
        <v>176</v>
      </c>
      <c r="C383" s="201">
        <v>4.2</v>
      </c>
      <c r="D383" s="23" t="s">
        <v>60</v>
      </c>
    </row>
    <row r="384">
      <c r="A384" s="202">
        <v>45187.0</v>
      </c>
      <c r="B384" s="23" t="s">
        <v>202</v>
      </c>
      <c r="C384" s="201">
        <v>6.282</v>
      </c>
      <c r="D384" s="23" t="s">
        <v>57</v>
      </c>
    </row>
    <row r="385">
      <c r="A385" s="202">
        <v>45187.0</v>
      </c>
      <c r="B385" s="23" t="s">
        <v>204</v>
      </c>
      <c r="C385" s="201">
        <v>9.908000000000001</v>
      </c>
      <c r="D385" s="23" t="s">
        <v>57</v>
      </c>
    </row>
    <row r="386">
      <c r="A386" s="202">
        <v>45187.0</v>
      </c>
      <c r="B386" s="23" t="s">
        <v>273</v>
      </c>
      <c r="C386" s="201">
        <v>6.172000000000001</v>
      </c>
      <c r="D386" s="23" t="s">
        <v>61</v>
      </c>
    </row>
    <row r="387">
      <c r="A387" s="202">
        <v>45187.0</v>
      </c>
      <c r="B387" s="23" t="s">
        <v>231</v>
      </c>
      <c r="C387" s="201">
        <v>8.352</v>
      </c>
      <c r="D387" s="23" t="s">
        <v>59</v>
      </c>
    </row>
    <row r="388">
      <c r="A388" s="202">
        <v>45187.0</v>
      </c>
      <c r="B388" s="23" t="s">
        <v>194</v>
      </c>
      <c r="C388" s="201">
        <v>4.281</v>
      </c>
      <c r="D388" s="23" t="s">
        <v>70</v>
      </c>
    </row>
    <row r="389">
      <c r="A389" s="202">
        <v>45187.0</v>
      </c>
      <c r="B389" s="23" t="s">
        <v>198</v>
      </c>
      <c r="C389" s="201">
        <v>6.446</v>
      </c>
      <c r="D389" s="23" t="s">
        <v>70</v>
      </c>
    </row>
    <row r="390">
      <c r="A390" s="202">
        <v>45187.0</v>
      </c>
      <c r="B390" s="23" t="s">
        <v>277</v>
      </c>
      <c r="C390" s="201">
        <v>3.0</v>
      </c>
      <c r="D390" s="23" t="s">
        <v>274</v>
      </c>
    </row>
    <row r="391">
      <c r="A391" s="202">
        <v>45187.0</v>
      </c>
      <c r="B391" s="23" t="s">
        <v>275</v>
      </c>
      <c r="C391" s="201">
        <v>2.3</v>
      </c>
      <c r="D391" s="23" t="s">
        <v>274</v>
      </c>
    </row>
    <row r="392">
      <c r="A392" s="202">
        <v>45187.0</v>
      </c>
      <c r="B392" s="23" t="s">
        <v>113</v>
      </c>
      <c r="C392" s="201">
        <v>3.9</v>
      </c>
      <c r="D392" s="23" t="s">
        <v>58</v>
      </c>
    </row>
    <row r="393">
      <c r="A393" s="202">
        <v>45187.0</v>
      </c>
      <c r="B393" s="23" t="s">
        <v>208</v>
      </c>
      <c r="C393" s="201">
        <v>5.898000000000001</v>
      </c>
      <c r="D393" s="23" t="s">
        <v>57</v>
      </c>
    </row>
    <row r="394">
      <c r="A394" s="202">
        <v>45187.0</v>
      </c>
      <c r="B394" s="23" t="s">
        <v>180</v>
      </c>
      <c r="C394" s="201">
        <v>9.598</v>
      </c>
      <c r="D394" s="23" t="s">
        <v>46</v>
      </c>
    </row>
    <row r="395">
      <c r="A395" s="202">
        <v>45187.0</v>
      </c>
      <c r="B395" s="23" t="s">
        <v>259</v>
      </c>
      <c r="C395" s="201">
        <v>7.296</v>
      </c>
      <c r="D395" s="23" t="s">
        <v>125</v>
      </c>
    </row>
    <row r="396">
      <c r="A396" s="202">
        <v>45187.0</v>
      </c>
      <c r="B396" s="23" t="s">
        <v>276</v>
      </c>
      <c r="C396" s="201">
        <v>5.598999999999999</v>
      </c>
      <c r="D396" s="23" t="s">
        <v>274</v>
      </c>
    </row>
    <row r="397">
      <c r="A397" s="202">
        <v>45187.0</v>
      </c>
      <c r="B397" s="23" t="s">
        <v>215</v>
      </c>
      <c r="C397" s="201">
        <v>7.473</v>
      </c>
      <c r="D397" s="23" t="s">
        <v>62</v>
      </c>
    </row>
    <row r="398">
      <c r="A398" s="202">
        <v>45187.0</v>
      </c>
      <c r="B398" s="23" t="s">
        <v>272</v>
      </c>
      <c r="C398" s="201">
        <v>3.6940000000000004</v>
      </c>
      <c r="D398" s="23" t="s">
        <v>61</v>
      </c>
    </row>
    <row r="399">
      <c r="A399" s="202">
        <v>45187.0</v>
      </c>
      <c r="B399" s="23" t="s">
        <v>255</v>
      </c>
      <c r="C399" s="201">
        <v>7.2589999999999995</v>
      </c>
      <c r="D399" s="23" t="s">
        <v>69</v>
      </c>
    </row>
    <row r="400">
      <c r="A400" s="202">
        <v>45187.0</v>
      </c>
      <c r="B400" t="s">
        <v>183</v>
      </c>
      <c r="C400" s="23">
        <v>6.2</v>
      </c>
      <c r="D400" t="s">
        <v>46</v>
      </c>
    </row>
    <row r="401">
      <c r="A401" s="202">
        <v>45187.0</v>
      </c>
      <c r="B401" t="s">
        <v>78</v>
      </c>
      <c r="C401" s="23">
        <v>4.2</v>
      </c>
      <c r="D401" t="s">
        <v>35</v>
      </c>
    </row>
    <row r="402">
      <c r="A402" s="202">
        <v>45187.0</v>
      </c>
      <c r="B402" t="s">
        <v>260</v>
      </c>
      <c r="C402" s="23">
        <v>6.3</v>
      </c>
      <c r="D402" t="s">
        <v>125</v>
      </c>
    </row>
    <row r="403">
      <c r="A403" s="23" t="s">
        <v>680</v>
      </c>
      <c r="B403" s="23" t="s">
        <v>3</v>
      </c>
      <c r="C403" s="23" t="s">
        <v>279</v>
      </c>
      <c r="D403" s="23" t="s">
        <v>280</v>
      </c>
    </row>
    <row r="404">
      <c r="A404" s="202">
        <v>45194.0</v>
      </c>
      <c r="B404" s="23" t="s">
        <v>243</v>
      </c>
      <c r="C404" s="201">
        <v>9.605</v>
      </c>
      <c r="D404" s="23" t="s">
        <v>69</v>
      </c>
    </row>
    <row r="405">
      <c r="A405" s="202">
        <v>45194.0</v>
      </c>
      <c r="B405" s="23" t="s">
        <v>189</v>
      </c>
      <c r="C405" s="201">
        <v>4.093999999999999</v>
      </c>
      <c r="D405" s="23" t="s">
        <v>46</v>
      </c>
    </row>
    <row r="406">
      <c r="A406" s="202">
        <v>45194.0</v>
      </c>
      <c r="B406" s="23" t="s">
        <v>137</v>
      </c>
      <c r="C406" s="201">
        <v>9.55</v>
      </c>
      <c r="D406" s="23" t="s">
        <v>60</v>
      </c>
    </row>
    <row r="407">
      <c r="A407" s="202">
        <v>45194.0</v>
      </c>
      <c r="B407" s="23" t="s">
        <v>71</v>
      </c>
      <c r="C407" s="201">
        <v>6.968999999999999</v>
      </c>
      <c r="D407" s="23" t="s">
        <v>35</v>
      </c>
    </row>
    <row r="408">
      <c r="A408" s="202">
        <v>45194.0</v>
      </c>
      <c r="B408" s="23" t="s">
        <v>174</v>
      </c>
      <c r="C408" s="201">
        <v>2.1</v>
      </c>
      <c r="D408" s="23" t="s">
        <v>60</v>
      </c>
    </row>
    <row r="409">
      <c r="A409" s="202">
        <v>45194.0</v>
      </c>
      <c r="B409" s="23" t="s">
        <v>217</v>
      </c>
      <c r="C409" s="201">
        <v>5.699</v>
      </c>
      <c r="D409" s="23" t="s">
        <v>67</v>
      </c>
    </row>
    <row r="410">
      <c r="A410" s="202">
        <v>45194.0</v>
      </c>
      <c r="B410" s="23" t="s">
        <v>213</v>
      </c>
      <c r="C410" s="201">
        <v>5.699</v>
      </c>
      <c r="D410" s="23" t="s">
        <v>57</v>
      </c>
    </row>
    <row r="411">
      <c r="A411" s="202">
        <v>45194.0</v>
      </c>
      <c r="B411" s="23" t="s">
        <v>254</v>
      </c>
      <c r="C411" s="201">
        <v>3.997</v>
      </c>
      <c r="D411" s="23" t="s">
        <v>69</v>
      </c>
    </row>
    <row r="412">
      <c r="A412" s="202">
        <v>45194.0</v>
      </c>
      <c r="B412" s="23" t="s">
        <v>123</v>
      </c>
      <c r="C412" s="201">
        <v>6.5</v>
      </c>
      <c r="D412" s="23" t="s">
        <v>56</v>
      </c>
    </row>
    <row r="413">
      <c r="A413" s="202">
        <v>45194.0</v>
      </c>
      <c r="B413" s="23" t="s">
        <v>112</v>
      </c>
      <c r="C413" s="201">
        <v>6.699</v>
      </c>
      <c r="D413" s="23" t="s">
        <v>58</v>
      </c>
    </row>
    <row r="414">
      <c r="A414" s="202">
        <v>45194.0</v>
      </c>
      <c r="B414" s="23" t="s">
        <v>177</v>
      </c>
      <c r="C414" s="201">
        <v>4.484</v>
      </c>
      <c r="D414" s="23" t="s">
        <v>60</v>
      </c>
    </row>
    <row r="415">
      <c r="A415" s="202">
        <v>45194.0</v>
      </c>
      <c r="B415" s="23" t="s">
        <v>230</v>
      </c>
      <c r="C415" s="201">
        <v>3.3</v>
      </c>
      <c r="D415" s="23" t="s">
        <v>59</v>
      </c>
    </row>
    <row r="416">
      <c r="A416" s="202">
        <v>45194.0</v>
      </c>
      <c r="B416" s="23" t="s">
        <v>227</v>
      </c>
      <c r="C416" s="201">
        <v>6.734</v>
      </c>
      <c r="D416" s="23" t="s">
        <v>59</v>
      </c>
    </row>
    <row r="417">
      <c r="A417" s="202">
        <v>45194.0</v>
      </c>
      <c r="B417" s="23" t="s">
        <v>248</v>
      </c>
      <c r="C417" s="201">
        <v>3.9</v>
      </c>
      <c r="D417" s="23" t="s">
        <v>62</v>
      </c>
    </row>
    <row r="418">
      <c r="A418" s="202">
        <v>45194.0</v>
      </c>
      <c r="B418" s="23" t="s">
        <v>226</v>
      </c>
      <c r="C418" s="201">
        <v>4.196000000000001</v>
      </c>
      <c r="D418" s="23" t="s">
        <v>67</v>
      </c>
    </row>
    <row r="419">
      <c r="A419" s="202">
        <v>45194.0</v>
      </c>
      <c r="B419" s="23" t="s">
        <v>199</v>
      </c>
      <c r="C419" s="201">
        <v>3.1910000000000003</v>
      </c>
      <c r="D419" s="23" t="s">
        <v>70</v>
      </c>
    </row>
    <row r="420">
      <c r="A420" s="202">
        <v>45194.0</v>
      </c>
      <c r="B420" s="23" t="s">
        <v>119</v>
      </c>
      <c r="C420" s="201">
        <v>5.4</v>
      </c>
      <c r="D420" s="23" t="s">
        <v>58</v>
      </c>
    </row>
    <row r="421">
      <c r="A421" s="202">
        <v>45194.0</v>
      </c>
      <c r="B421" s="23" t="s">
        <v>251</v>
      </c>
      <c r="C421" s="201">
        <v>5.598</v>
      </c>
      <c r="D421" s="23" t="s">
        <v>69</v>
      </c>
    </row>
    <row r="422">
      <c r="A422" s="202">
        <v>45194.0</v>
      </c>
      <c r="B422" s="23" t="s">
        <v>265</v>
      </c>
      <c r="C422" s="201">
        <v>6.5409999999999995</v>
      </c>
      <c r="D422" s="23" t="s">
        <v>125</v>
      </c>
    </row>
    <row r="423">
      <c r="A423" s="202">
        <v>45194.0</v>
      </c>
      <c r="B423" s="23" t="s">
        <v>252</v>
      </c>
      <c r="C423" s="201">
        <v>4.0969999999999995</v>
      </c>
      <c r="D423" s="23" t="s">
        <v>69</v>
      </c>
    </row>
    <row r="424">
      <c r="A424" s="202">
        <v>45194.0</v>
      </c>
      <c r="B424" s="23" t="s">
        <v>242</v>
      </c>
      <c r="C424" s="201">
        <v>6.894</v>
      </c>
      <c r="D424" s="23" t="s">
        <v>62</v>
      </c>
    </row>
    <row r="425">
      <c r="A425" s="202">
        <v>45194.0</v>
      </c>
      <c r="B425" s="23" t="s">
        <v>191</v>
      </c>
      <c r="C425" s="201">
        <v>6.7909999999999995</v>
      </c>
      <c r="D425" s="23" t="s">
        <v>70</v>
      </c>
    </row>
    <row r="426">
      <c r="A426" s="202">
        <v>45194.0</v>
      </c>
      <c r="B426" s="23" t="s">
        <v>206</v>
      </c>
      <c r="C426" s="201">
        <v>6.840000000000001</v>
      </c>
      <c r="D426" s="23" t="s">
        <v>57</v>
      </c>
    </row>
    <row r="427">
      <c r="A427" s="202">
        <v>45194.0</v>
      </c>
      <c r="B427" s="23" t="s">
        <v>269</v>
      </c>
      <c r="C427" s="201">
        <v>5.8</v>
      </c>
      <c r="D427" s="23" t="s">
        <v>61</v>
      </c>
    </row>
    <row r="428">
      <c r="A428" s="202">
        <v>45194.0</v>
      </c>
      <c r="B428" s="23" t="s">
        <v>105</v>
      </c>
      <c r="C428" s="201">
        <v>4.994</v>
      </c>
      <c r="D428" s="23" t="s">
        <v>58</v>
      </c>
    </row>
    <row r="429">
      <c r="A429" s="202">
        <v>45194.0</v>
      </c>
      <c r="B429" s="23" t="s">
        <v>187</v>
      </c>
      <c r="C429" s="201">
        <v>8.456</v>
      </c>
      <c r="D429" s="23" t="s">
        <v>46</v>
      </c>
    </row>
    <row r="430">
      <c r="A430" s="202">
        <v>45194.0</v>
      </c>
      <c r="B430" s="23" t="s">
        <v>246</v>
      </c>
      <c r="C430" s="201">
        <v>4.786</v>
      </c>
      <c r="D430" s="23" t="s">
        <v>62</v>
      </c>
    </row>
    <row r="431">
      <c r="A431" s="202">
        <v>45194.0</v>
      </c>
      <c r="B431" s="23" t="s">
        <v>238</v>
      </c>
      <c r="C431" s="201">
        <v>5.195</v>
      </c>
      <c r="D431" s="23" t="s">
        <v>59</v>
      </c>
    </row>
    <row r="432">
      <c r="A432" s="202">
        <v>45194.0</v>
      </c>
      <c r="B432" s="23" t="s">
        <v>133</v>
      </c>
      <c r="C432" s="201">
        <v>4.593</v>
      </c>
      <c r="D432" s="23" t="s">
        <v>56</v>
      </c>
    </row>
    <row r="433">
      <c r="A433" s="202">
        <v>45194.0</v>
      </c>
      <c r="B433" s="23" t="s">
        <v>127</v>
      </c>
      <c r="C433" s="201">
        <v>6.584</v>
      </c>
      <c r="D433" s="23" t="s">
        <v>56</v>
      </c>
    </row>
    <row r="434">
      <c r="A434" s="202">
        <v>45194.0</v>
      </c>
      <c r="B434" s="23" t="s">
        <v>220</v>
      </c>
      <c r="C434" s="201">
        <v>4.899</v>
      </c>
      <c r="D434" s="23" t="s">
        <v>67</v>
      </c>
    </row>
    <row r="435">
      <c r="A435" s="202">
        <v>45194.0</v>
      </c>
      <c r="B435" s="23" t="s">
        <v>224</v>
      </c>
      <c r="C435" s="201">
        <v>10.607999999999999</v>
      </c>
      <c r="D435" s="23" t="s">
        <v>125</v>
      </c>
    </row>
    <row r="436">
      <c r="A436" s="202">
        <v>45194.0</v>
      </c>
      <c r="B436" s="23" t="s">
        <v>241</v>
      </c>
      <c r="C436" s="201">
        <v>10.124</v>
      </c>
      <c r="D436" s="23" t="s">
        <v>62</v>
      </c>
    </row>
    <row r="437">
      <c r="A437" s="202">
        <v>45194.0</v>
      </c>
      <c r="B437" s="23" t="s">
        <v>63</v>
      </c>
      <c r="C437" s="201">
        <v>10.667</v>
      </c>
      <c r="D437" s="23" t="s">
        <v>35</v>
      </c>
    </row>
    <row r="438">
      <c r="A438" s="202">
        <v>45194.0</v>
      </c>
      <c r="B438" s="23" t="s">
        <v>245</v>
      </c>
      <c r="C438" s="201">
        <v>7.772</v>
      </c>
      <c r="D438" s="23" t="s">
        <v>62</v>
      </c>
    </row>
    <row r="439">
      <c r="A439" s="202">
        <v>45194.0</v>
      </c>
      <c r="B439" s="23" t="s">
        <v>232</v>
      </c>
      <c r="C439" s="201">
        <v>8.141</v>
      </c>
      <c r="D439" s="23" t="s">
        <v>59</v>
      </c>
    </row>
    <row r="440">
      <c r="A440" s="202">
        <v>45194.0</v>
      </c>
      <c r="B440" s="23" t="s">
        <v>229</v>
      </c>
      <c r="C440" s="201">
        <v>5.399</v>
      </c>
      <c r="D440" s="23" t="s">
        <v>59</v>
      </c>
    </row>
    <row r="441">
      <c r="A441" s="202">
        <v>45194.0</v>
      </c>
      <c r="B441" s="23" t="s">
        <v>173</v>
      </c>
      <c r="C441" s="201">
        <v>5.196000000000001</v>
      </c>
      <c r="D441" s="23" t="s">
        <v>60</v>
      </c>
    </row>
    <row r="442">
      <c r="A442" s="202">
        <v>45194.0</v>
      </c>
      <c r="B442" s="23" t="s">
        <v>210</v>
      </c>
      <c r="C442" s="201">
        <v>4.4</v>
      </c>
      <c r="D442" s="23" t="s">
        <v>57</v>
      </c>
    </row>
    <row r="443">
      <c r="A443" s="202">
        <v>45194.0</v>
      </c>
      <c r="B443" s="23" t="s">
        <v>186</v>
      </c>
      <c r="C443" s="201">
        <v>5.794</v>
      </c>
      <c r="D443" s="23" t="s">
        <v>46</v>
      </c>
    </row>
    <row r="444">
      <c r="A444" s="202">
        <v>45194.0</v>
      </c>
      <c r="B444" s="23" t="s">
        <v>195</v>
      </c>
      <c r="C444" s="201">
        <v>4.2</v>
      </c>
      <c r="D444" s="23" t="s">
        <v>70</v>
      </c>
    </row>
    <row r="445">
      <c r="A445" s="202">
        <v>45194.0</v>
      </c>
      <c r="B445" s="23" t="s">
        <v>266</v>
      </c>
      <c r="C445" s="201">
        <v>8.174999999999999</v>
      </c>
      <c r="D445" s="23" t="s">
        <v>61</v>
      </c>
    </row>
    <row r="446">
      <c r="A446" s="202">
        <v>45194.0</v>
      </c>
      <c r="B446" s="23" t="s">
        <v>124</v>
      </c>
      <c r="C446" s="201">
        <v>4.698</v>
      </c>
      <c r="D446" s="23" t="s">
        <v>56</v>
      </c>
    </row>
    <row r="447">
      <c r="A447" s="202">
        <v>45194.0</v>
      </c>
      <c r="B447" s="23" t="s">
        <v>262</v>
      </c>
      <c r="C447" s="201">
        <v>8.4</v>
      </c>
      <c r="D447" s="23" t="s">
        <v>125</v>
      </c>
    </row>
    <row r="448">
      <c r="A448" s="202">
        <v>45194.0</v>
      </c>
      <c r="B448" s="23" t="s">
        <v>192</v>
      </c>
      <c r="C448" s="201">
        <v>6.499</v>
      </c>
      <c r="D448" s="23" t="s">
        <v>70</v>
      </c>
    </row>
    <row r="449">
      <c r="A449" s="202">
        <v>45194.0</v>
      </c>
      <c r="B449" s="23" t="s">
        <v>74</v>
      </c>
      <c r="C449" s="201">
        <v>8.529</v>
      </c>
      <c r="D449" s="23" t="s">
        <v>35</v>
      </c>
    </row>
    <row r="450">
      <c r="A450" s="202">
        <v>45194.0</v>
      </c>
      <c r="B450" s="23" t="s">
        <v>75</v>
      </c>
      <c r="C450" s="201">
        <v>3.895</v>
      </c>
      <c r="D450" s="23" t="s">
        <v>35</v>
      </c>
    </row>
    <row r="451">
      <c r="A451" s="202">
        <v>45194.0</v>
      </c>
      <c r="B451" s="23" t="s">
        <v>196</v>
      </c>
      <c r="C451" s="201">
        <v>6.995</v>
      </c>
      <c r="D451" s="23" t="s">
        <v>70</v>
      </c>
    </row>
    <row r="452">
      <c r="A452" s="202">
        <v>45194.0</v>
      </c>
      <c r="B452" s="23" t="s">
        <v>102</v>
      </c>
      <c r="C452" s="201">
        <v>10.436</v>
      </c>
      <c r="D452" s="23" t="s">
        <v>58</v>
      </c>
    </row>
    <row r="453">
      <c r="A453" s="202">
        <v>45194.0</v>
      </c>
      <c r="B453" s="23" t="s">
        <v>175</v>
      </c>
      <c r="C453" s="201">
        <v>7.526999999999999</v>
      </c>
      <c r="D453" s="23" t="s">
        <v>60</v>
      </c>
    </row>
    <row r="454">
      <c r="A454" s="202">
        <v>45194.0</v>
      </c>
      <c r="B454" s="23" t="s">
        <v>250</v>
      </c>
      <c r="C454" s="201">
        <v>4.8660000000000005</v>
      </c>
      <c r="D454" s="23" t="s">
        <v>69</v>
      </c>
    </row>
    <row r="455">
      <c r="A455" s="202">
        <v>45194.0</v>
      </c>
      <c r="B455" s="23" t="s">
        <v>164</v>
      </c>
      <c r="C455" s="201">
        <v>9.011</v>
      </c>
      <c r="D455" s="23" t="s">
        <v>60</v>
      </c>
    </row>
    <row r="456">
      <c r="A456" s="202">
        <v>45194.0</v>
      </c>
      <c r="B456" s="23" t="s">
        <v>219</v>
      </c>
      <c r="C456" s="201">
        <v>8.604</v>
      </c>
      <c r="D456" s="23" t="s">
        <v>69</v>
      </c>
    </row>
    <row r="457">
      <c r="A457" s="202">
        <v>45194.0</v>
      </c>
      <c r="B457" s="23" t="s">
        <v>111</v>
      </c>
      <c r="C457" s="201">
        <v>8.432</v>
      </c>
      <c r="D457" s="23" t="s">
        <v>58</v>
      </c>
    </row>
    <row r="458">
      <c r="A458" s="202">
        <v>45194.0</v>
      </c>
      <c r="B458" s="23" t="s">
        <v>244</v>
      </c>
      <c r="C458" s="201">
        <v>8.190999999999999</v>
      </c>
      <c r="D458" s="23" t="s">
        <v>62</v>
      </c>
    </row>
    <row r="459">
      <c r="A459" s="202">
        <v>45194.0</v>
      </c>
      <c r="B459" s="23" t="s">
        <v>118</v>
      </c>
      <c r="C459" s="201">
        <v>8.432</v>
      </c>
      <c r="D459" s="23" t="s">
        <v>58</v>
      </c>
    </row>
    <row r="460">
      <c r="A460" s="202">
        <v>45194.0</v>
      </c>
      <c r="B460" s="23" t="s">
        <v>240</v>
      </c>
      <c r="C460" s="201">
        <v>8.625</v>
      </c>
      <c r="D460" s="23" t="s">
        <v>62</v>
      </c>
    </row>
    <row r="461">
      <c r="A461" s="202">
        <v>45194.0</v>
      </c>
      <c r="B461" s="23" t="s">
        <v>79</v>
      </c>
      <c r="C461" s="201">
        <v>9.719000000000001</v>
      </c>
      <c r="D461" s="23" t="s">
        <v>35</v>
      </c>
    </row>
    <row r="462">
      <c r="A462" s="202">
        <v>45194.0</v>
      </c>
      <c r="B462" s="23" t="s">
        <v>178</v>
      </c>
      <c r="C462" s="201">
        <v>4.4</v>
      </c>
      <c r="D462" s="23" t="s">
        <v>60</v>
      </c>
    </row>
    <row r="463">
      <c r="A463" s="202">
        <v>45194.0</v>
      </c>
      <c r="B463" s="23" t="s">
        <v>209</v>
      </c>
      <c r="C463" s="201">
        <v>9.699</v>
      </c>
      <c r="D463" s="23" t="s">
        <v>59</v>
      </c>
    </row>
    <row r="464">
      <c r="A464" s="202">
        <v>45194.0</v>
      </c>
      <c r="B464" s="23" t="s">
        <v>228</v>
      </c>
      <c r="C464" s="201">
        <v>5.045999999999999</v>
      </c>
      <c r="D464" s="23" t="s">
        <v>61</v>
      </c>
    </row>
    <row r="465">
      <c r="A465" s="202">
        <v>45194.0</v>
      </c>
      <c r="B465" s="23" t="s">
        <v>116</v>
      </c>
      <c r="C465" s="201">
        <v>5.3950000000000005</v>
      </c>
      <c r="D465" s="23" t="s">
        <v>58</v>
      </c>
    </row>
    <row r="466">
      <c r="A466" s="202">
        <v>45194.0</v>
      </c>
      <c r="B466" s="23" t="s">
        <v>249</v>
      </c>
      <c r="C466" s="201">
        <v>5.6</v>
      </c>
      <c r="D466" s="23" t="s">
        <v>62</v>
      </c>
    </row>
    <row r="467">
      <c r="A467" s="202">
        <v>45194.0</v>
      </c>
      <c r="B467" s="23" t="s">
        <v>237</v>
      </c>
      <c r="C467" s="201">
        <v>7.396000000000001</v>
      </c>
      <c r="D467" s="23" t="s">
        <v>59</v>
      </c>
    </row>
    <row r="468">
      <c r="A468" s="202">
        <v>45194.0</v>
      </c>
      <c r="B468" s="23" t="s">
        <v>234</v>
      </c>
      <c r="C468" s="201">
        <v>4.598999999999999</v>
      </c>
      <c r="D468" s="23" t="s">
        <v>59</v>
      </c>
    </row>
    <row r="469">
      <c r="A469" s="202">
        <v>45194.0</v>
      </c>
      <c r="B469" s="23" t="s">
        <v>268</v>
      </c>
      <c r="C469" s="201">
        <v>6.0969999999999995</v>
      </c>
      <c r="D469" s="23" t="s">
        <v>61</v>
      </c>
    </row>
    <row r="470">
      <c r="A470" s="202">
        <v>45194.0</v>
      </c>
      <c r="B470" s="23" t="s">
        <v>80</v>
      </c>
      <c r="C470" s="201">
        <v>4.7989999999999995</v>
      </c>
      <c r="D470" s="23" t="s">
        <v>35</v>
      </c>
    </row>
    <row r="471">
      <c r="A471" s="202">
        <v>45194.0</v>
      </c>
      <c r="B471" s="23" t="s">
        <v>258</v>
      </c>
      <c r="C471" s="201">
        <v>2.099</v>
      </c>
      <c r="D471" s="23" t="s">
        <v>125</v>
      </c>
    </row>
    <row r="472">
      <c r="A472" s="202">
        <v>45194.0</v>
      </c>
      <c r="B472" s="23" t="s">
        <v>88</v>
      </c>
      <c r="C472" s="201">
        <v>4.598999999999999</v>
      </c>
      <c r="D472" s="23" t="s">
        <v>35</v>
      </c>
    </row>
    <row r="473">
      <c r="A473" s="202">
        <v>45194.0</v>
      </c>
      <c r="B473" s="23" t="s">
        <v>201</v>
      </c>
      <c r="C473" s="201">
        <v>5.777</v>
      </c>
      <c r="D473" s="23" t="s">
        <v>57</v>
      </c>
    </row>
    <row r="474">
      <c r="A474" s="202">
        <v>45194.0</v>
      </c>
      <c r="B474" s="23" t="s">
        <v>216</v>
      </c>
      <c r="C474" s="201">
        <v>9.494</v>
      </c>
      <c r="D474" s="23" t="s">
        <v>67</v>
      </c>
    </row>
    <row r="475">
      <c r="A475" s="202">
        <v>45194.0</v>
      </c>
      <c r="B475" s="23" t="s">
        <v>221</v>
      </c>
      <c r="C475" s="201">
        <v>3.899</v>
      </c>
      <c r="D475" s="23" t="s">
        <v>67</v>
      </c>
    </row>
    <row r="476">
      <c r="A476" s="202">
        <v>45194.0</v>
      </c>
      <c r="B476" s="23" t="s">
        <v>117</v>
      </c>
      <c r="C476" s="201">
        <v>4.881</v>
      </c>
      <c r="D476" s="23" t="s">
        <v>58</v>
      </c>
    </row>
    <row r="477">
      <c r="A477" s="202">
        <v>45194.0</v>
      </c>
      <c r="B477" s="23" t="s">
        <v>261</v>
      </c>
      <c r="C477" s="201">
        <v>5.098999999999999</v>
      </c>
      <c r="D477" s="23" t="s">
        <v>125</v>
      </c>
    </row>
    <row r="478">
      <c r="A478" s="202">
        <v>45194.0</v>
      </c>
      <c r="B478" s="23" t="s">
        <v>128</v>
      </c>
      <c r="C478" s="201">
        <v>9.4</v>
      </c>
      <c r="D478" s="23" t="s">
        <v>56</v>
      </c>
    </row>
    <row r="479">
      <c r="A479" s="202">
        <v>45194.0</v>
      </c>
      <c r="B479" s="23" t="s">
        <v>214</v>
      </c>
      <c r="C479" s="201">
        <v>9.065000000000001</v>
      </c>
      <c r="D479" s="23" t="s">
        <v>57</v>
      </c>
    </row>
    <row r="480">
      <c r="A480" s="202">
        <v>45194.0</v>
      </c>
      <c r="B480" s="23" t="s">
        <v>200</v>
      </c>
      <c r="C480" s="201">
        <v>10.922</v>
      </c>
      <c r="D480" s="23" t="s">
        <v>57</v>
      </c>
    </row>
    <row r="481">
      <c r="A481" s="202">
        <v>45194.0</v>
      </c>
      <c r="B481" s="23" t="s">
        <v>179</v>
      </c>
      <c r="C481" s="201">
        <v>10.909</v>
      </c>
      <c r="D481" s="23" t="s">
        <v>60</v>
      </c>
    </row>
    <row r="482">
      <c r="A482" s="202">
        <v>45194.0</v>
      </c>
      <c r="B482" s="23" t="s">
        <v>267</v>
      </c>
      <c r="C482" s="201">
        <v>4.8</v>
      </c>
      <c r="D482" s="23" t="s">
        <v>61</v>
      </c>
    </row>
    <row r="483">
      <c r="A483" s="202">
        <v>45194.0</v>
      </c>
      <c r="B483" s="23" t="s">
        <v>270</v>
      </c>
      <c r="C483" s="201">
        <v>3.499</v>
      </c>
      <c r="D483" s="23" t="s">
        <v>61</v>
      </c>
    </row>
    <row r="484">
      <c r="A484" s="202">
        <v>45194.0</v>
      </c>
      <c r="B484" s="23" t="s">
        <v>225</v>
      </c>
      <c r="C484" s="201">
        <v>8.871</v>
      </c>
      <c r="D484" s="23" t="s">
        <v>67</v>
      </c>
    </row>
    <row r="485">
      <c r="A485" s="202">
        <v>45194.0</v>
      </c>
      <c r="B485" s="23" t="s">
        <v>38</v>
      </c>
      <c r="C485" s="201">
        <v>10.327</v>
      </c>
      <c r="D485" s="23" t="s">
        <v>35</v>
      </c>
    </row>
    <row r="486">
      <c r="A486" s="202">
        <v>45194.0</v>
      </c>
      <c r="B486" s="23" t="s">
        <v>247</v>
      </c>
      <c r="C486" s="201">
        <v>7.778</v>
      </c>
      <c r="D486" s="23" t="s">
        <v>62</v>
      </c>
    </row>
    <row r="487">
      <c r="A487" s="202">
        <v>45194.0</v>
      </c>
      <c r="B487" s="23" t="s">
        <v>135</v>
      </c>
      <c r="C487" s="201">
        <v>10.624</v>
      </c>
      <c r="D487" s="23" t="s">
        <v>56</v>
      </c>
    </row>
    <row r="488">
      <c r="A488" s="202">
        <v>45194.0</v>
      </c>
      <c r="B488" s="23" t="s">
        <v>256</v>
      </c>
      <c r="C488" s="201">
        <v>4.098999999999999</v>
      </c>
      <c r="D488" s="23" t="s">
        <v>69</v>
      </c>
    </row>
    <row r="489">
      <c r="A489" s="202">
        <v>45194.0</v>
      </c>
      <c r="B489" s="23" t="s">
        <v>222</v>
      </c>
      <c r="C489" s="201">
        <v>3.8</v>
      </c>
      <c r="D489" s="23" t="s">
        <v>67</v>
      </c>
    </row>
    <row r="490">
      <c r="A490" s="202">
        <v>45194.0</v>
      </c>
      <c r="B490" s="23" t="s">
        <v>263</v>
      </c>
      <c r="C490" s="201">
        <v>5.896000000000001</v>
      </c>
      <c r="D490" s="23" t="s">
        <v>125</v>
      </c>
    </row>
    <row r="491">
      <c r="A491" s="202">
        <v>45194.0</v>
      </c>
      <c r="B491" s="23" t="s">
        <v>185</v>
      </c>
      <c r="C491" s="201">
        <v>6.3</v>
      </c>
      <c r="D491" s="23" t="s">
        <v>46</v>
      </c>
    </row>
    <row r="492">
      <c r="A492" s="202">
        <v>45194.0</v>
      </c>
      <c r="B492" s="23" t="s">
        <v>190</v>
      </c>
      <c r="C492" s="201">
        <v>5.095</v>
      </c>
      <c r="D492" s="23" t="s">
        <v>70</v>
      </c>
    </row>
    <row r="493">
      <c r="A493" s="202">
        <v>45194.0</v>
      </c>
      <c r="B493" s="23" t="s">
        <v>129</v>
      </c>
      <c r="C493" s="201">
        <v>4.488</v>
      </c>
      <c r="D493" s="23" t="s">
        <v>56</v>
      </c>
    </row>
    <row r="494">
      <c r="A494" s="202">
        <v>45194.0</v>
      </c>
      <c r="B494" s="23" t="s">
        <v>139</v>
      </c>
      <c r="C494" s="201">
        <v>8.693999999999999</v>
      </c>
      <c r="D494" s="23" t="s">
        <v>60</v>
      </c>
    </row>
    <row r="495">
      <c r="A495" s="202">
        <v>45194.0</v>
      </c>
      <c r="B495" s="23" t="s">
        <v>205</v>
      </c>
      <c r="C495" s="201">
        <v>6.864</v>
      </c>
      <c r="D495" s="23" t="s">
        <v>67</v>
      </c>
    </row>
    <row r="496">
      <c r="A496" s="202">
        <v>45194.0</v>
      </c>
      <c r="B496" s="23" t="s">
        <v>184</v>
      </c>
      <c r="C496" s="201">
        <v>6.297</v>
      </c>
      <c r="D496" s="23" t="s">
        <v>46</v>
      </c>
    </row>
    <row r="497">
      <c r="A497" s="202">
        <v>45194.0</v>
      </c>
      <c r="B497" s="23" t="s">
        <v>253</v>
      </c>
      <c r="C497" s="201">
        <v>5.789</v>
      </c>
      <c r="D497" s="23" t="s">
        <v>69</v>
      </c>
    </row>
    <row r="498">
      <c r="A498" s="202">
        <v>45194.0</v>
      </c>
      <c r="B498" s="23" t="s">
        <v>197</v>
      </c>
      <c r="C498" s="201">
        <v>3.696</v>
      </c>
      <c r="D498" s="23" t="s">
        <v>70</v>
      </c>
    </row>
    <row r="499">
      <c r="A499" s="202">
        <v>45194.0</v>
      </c>
      <c r="B499" s="23" t="s">
        <v>193</v>
      </c>
      <c r="C499" s="201">
        <v>1.9</v>
      </c>
      <c r="D499" s="23" t="s">
        <v>70</v>
      </c>
    </row>
    <row r="500">
      <c r="A500" s="202">
        <v>45194.0</v>
      </c>
      <c r="B500" s="23" t="s">
        <v>130</v>
      </c>
      <c r="C500" s="201">
        <v>9.326</v>
      </c>
      <c r="D500" s="23" t="s">
        <v>56</v>
      </c>
    </row>
    <row r="501">
      <c r="A501" s="202">
        <v>45194.0</v>
      </c>
      <c r="B501" s="23" t="s">
        <v>223</v>
      </c>
      <c r="C501" s="201">
        <v>7.3740000000000006</v>
      </c>
      <c r="D501" s="23" t="s">
        <v>67</v>
      </c>
    </row>
    <row r="502">
      <c r="A502" s="202">
        <v>45194.0</v>
      </c>
      <c r="B502" s="23" t="s">
        <v>81</v>
      </c>
      <c r="C502" s="201">
        <v>4.499</v>
      </c>
      <c r="D502" s="23" t="s">
        <v>35</v>
      </c>
    </row>
    <row r="503">
      <c r="A503" s="202">
        <v>45194.0</v>
      </c>
      <c r="B503" s="23" t="s">
        <v>233</v>
      </c>
      <c r="C503" s="201">
        <v>7.883</v>
      </c>
      <c r="D503" s="23" t="s">
        <v>61</v>
      </c>
    </row>
    <row r="504">
      <c r="A504" s="202">
        <v>45194.0</v>
      </c>
      <c r="B504" s="23" t="s">
        <v>264</v>
      </c>
      <c r="C504" s="201">
        <v>7.854</v>
      </c>
      <c r="D504" s="23" t="s">
        <v>125</v>
      </c>
    </row>
    <row r="505">
      <c r="A505" s="202">
        <v>45194.0</v>
      </c>
      <c r="B505" s="23" t="s">
        <v>239</v>
      </c>
      <c r="C505" s="201">
        <v>10.614</v>
      </c>
      <c r="D505" s="23" t="s">
        <v>125</v>
      </c>
    </row>
    <row r="506">
      <c r="A506" s="202">
        <v>45194.0</v>
      </c>
      <c r="B506" s="23" t="s">
        <v>126</v>
      </c>
      <c r="C506" s="201">
        <v>7.423</v>
      </c>
      <c r="D506" s="23" t="s">
        <v>56</v>
      </c>
    </row>
    <row r="507">
      <c r="A507" s="202">
        <v>45194.0</v>
      </c>
      <c r="B507" s="23" t="s">
        <v>188</v>
      </c>
      <c r="C507" s="201">
        <v>5.0969999999999995</v>
      </c>
      <c r="D507" s="23" t="s">
        <v>46</v>
      </c>
    </row>
    <row r="508">
      <c r="A508" s="202">
        <v>45194.0</v>
      </c>
      <c r="B508" s="23" t="s">
        <v>120</v>
      </c>
      <c r="C508" s="201">
        <v>9.335</v>
      </c>
      <c r="D508" s="23" t="s">
        <v>56</v>
      </c>
    </row>
    <row r="509">
      <c r="A509" s="202">
        <v>45194.0</v>
      </c>
      <c r="B509" s="23" t="s">
        <v>181</v>
      </c>
      <c r="C509" s="201">
        <v>6.441</v>
      </c>
      <c r="D509" s="23" t="s">
        <v>46</v>
      </c>
    </row>
    <row r="510">
      <c r="A510" s="202">
        <v>45194.0</v>
      </c>
      <c r="B510" s="23" t="s">
        <v>182</v>
      </c>
      <c r="C510" s="201">
        <v>9.07</v>
      </c>
      <c r="D510" s="23" t="s">
        <v>46</v>
      </c>
    </row>
    <row r="511">
      <c r="A511" s="202">
        <v>45194.0</v>
      </c>
      <c r="B511" s="23" t="s">
        <v>207</v>
      </c>
      <c r="C511" s="201">
        <v>5.198</v>
      </c>
      <c r="D511" s="23" t="s">
        <v>57</v>
      </c>
    </row>
    <row r="512">
      <c r="A512" s="202">
        <v>45194.0</v>
      </c>
      <c r="B512" s="23" t="s">
        <v>271</v>
      </c>
      <c r="C512" s="201">
        <v>4.7909999999999995</v>
      </c>
      <c r="D512" s="23" t="s">
        <v>61</v>
      </c>
    </row>
    <row r="513">
      <c r="A513" s="202">
        <v>45194.0</v>
      </c>
      <c r="B513" s="23" t="s">
        <v>257</v>
      </c>
      <c r="C513" s="201">
        <v>8.187999999999999</v>
      </c>
      <c r="D513" s="23" t="s">
        <v>69</v>
      </c>
    </row>
    <row r="514">
      <c r="A514" s="202">
        <v>45194.0</v>
      </c>
      <c r="B514" s="23" t="s">
        <v>109</v>
      </c>
      <c r="C514" s="201">
        <v>8.189</v>
      </c>
      <c r="D514" s="23" t="s">
        <v>58</v>
      </c>
    </row>
    <row r="515">
      <c r="A515" s="202">
        <v>45194.0</v>
      </c>
      <c r="B515" s="23" t="s">
        <v>236</v>
      </c>
      <c r="C515" s="201">
        <v>2.7</v>
      </c>
      <c r="D515" s="23" t="s">
        <v>59</v>
      </c>
    </row>
    <row r="516">
      <c r="A516" s="202">
        <v>45194.0</v>
      </c>
      <c r="B516" s="23" t="s">
        <v>218</v>
      </c>
      <c r="C516" s="201">
        <v>3.999</v>
      </c>
      <c r="D516" s="23" t="s">
        <v>67</v>
      </c>
    </row>
    <row r="517">
      <c r="A517" s="202">
        <v>45194.0</v>
      </c>
      <c r="B517" s="23" t="s">
        <v>176</v>
      </c>
      <c r="C517" s="201">
        <v>3.4</v>
      </c>
      <c r="D517" s="23" t="s">
        <v>60</v>
      </c>
    </row>
    <row r="518">
      <c r="A518" s="202">
        <v>45194.0</v>
      </c>
      <c r="B518" s="23" t="s">
        <v>202</v>
      </c>
      <c r="C518" s="201">
        <v>7.074999999999999</v>
      </c>
      <c r="D518" s="23" t="s">
        <v>57</v>
      </c>
    </row>
    <row r="519">
      <c r="A519" s="202">
        <v>45194.0</v>
      </c>
      <c r="B519" s="23" t="s">
        <v>204</v>
      </c>
      <c r="C519" s="201">
        <v>9.508000000000001</v>
      </c>
      <c r="D519" s="23" t="s">
        <v>57</v>
      </c>
    </row>
    <row r="520">
      <c r="A520" s="202">
        <v>45194.0</v>
      </c>
      <c r="B520" s="23" t="s">
        <v>273</v>
      </c>
      <c r="C520" s="201">
        <v>5.385000000000001</v>
      </c>
      <c r="D520" s="23" t="s">
        <v>61</v>
      </c>
    </row>
    <row r="521">
      <c r="A521" s="202">
        <v>45194.0</v>
      </c>
      <c r="B521" s="23" t="s">
        <v>231</v>
      </c>
      <c r="C521" s="201">
        <v>8.366</v>
      </c>
      <c r="D521" s="23" t="s">
        <v>59</v>
      </c>
    </row>
    <row r="522">
      <c r="A522" s="202">
        <v>45194.0</v>
      </c>
      <c r="B522" s="23" t="s">
        <v>194</v>
      </c>
      <c r="C522" s="201">
        <v>3.6900000000000004</v>
      </c>
      <c r="D522" s="23" t="s">
        <v>70</v>
      </c>
    </row>
    <row r="523">
      <c r="A523" s="202">
        <v>45194.0</v>
      </c>
      <c r="B523" s="23" t="s">
        <v>198</v>
      </c>
      <c r="C523" s="201">
        <v>5.956</v>
      </c>
      <c r="D523" s="23" t="s">
        <v>70</v>
      </c>
    </row>
    <row r="524">
      <c r="A524" s="202">
        <v>45194.0</v>
      </c>
      <c r="B524" s="23" t="s">
        <v>277</v>
      </c>
      <c r="C524" s="201">
        <v>2.7</v>
      </c>
      <c r="D524" s="23" t="s">
        <v>274</v>
      </c>
    </row>
    <row r="525">
      <c r="A525" s="202">
        <v>45194.0</v>
      </c>
      <c r="B525" s="23" t="s">
        <v>275</v>
      </c>
      <c r="C525" s="201">
        <v>2.3</v>
      </c>
      <c r="D525" s="23" t="s">
        <v>274</v>
      </c>
    </row>
    <row r="526">
      <c r="A526" s="202">
        <v>45194.0</v>
      </c>
      <c r="B526" s="23" t="s">
        <v>113</v>
      </c>
      <c r="C526" s="201">
        <v>3.5</v>
      </c>
      <c r="D526" s="23" t="s">
        <v>58</v>
      </c>
    </row>
    <row r="527">
      <c r="A527" s="202">
        <v>45194.0</v>
      </c>
      <c r="B527" s="23" t="s">
        <v>208</v>
      </c>
      <c r="C527" s="201">
        <v>5.1</v>
      </c>
      <c r="D527" s="23" t="s">
        <v>57</v>
      </c>
    </row>
    <row r="528">
      <c r="A528" s="202">
        <v>45194.0</v>
      </c>
      <c r="B528" s="23" t="s">
        <v>180</v>
      </c>
      <c r="C528" s="201">
        <v>9.946</v>
      </c>
      <c r="D528" s="23" t="s">
        <v>46</v>
      </c>
    </row>
    <row r="529">
      <c r="A529" s="202">
        <v>45194.0</v>
      </c>
      <c r="B529" s="23" t="s">
        <v>259</v>
      </c>
      <c r="C529" s="201">
        <v>8.190999999999999</v>
      </c>
      <c r="D529" s="23" t="s">
        <v>125</v>
      </c>
    </row>
    <row r="530">
      <c r="A530" s="202">
        <v>45194.0</v>
      </c>
      <c r="B530" s="23" t="s">
        <v>276</v>
      </c>
      <c r="C530" s="201">
        <v>6.398000000000001</v>
      </c>
      <c r="D530" s="23" t="s">
        <v>274</v>
      </c>
    </row>
    <row r="531">
      <c r="A531" s="202">
        <v>45194.0</v>
      </c>
      <c r="B531" s="23" t="s">
        <v>215</v>
      </c>
      <c r="C531" s="201">
        <v>7.287</v>
      </c>
      <c r="D531" s="23" t="s">
        <v>62</v>
      </c>
    </row>
    <row r="532">
      <c r="A532" s="202">
        <v>45194.0</v>
      </c>
      <c r="B532" s="23" t="s">
        <v>272</v>
      </c>
      <c r="C532" s="201">
        <v>3.6990000000000003</v>
      </c>
      <c r="D532" s="23" t="s">
        <v>61</v>
      </c>
    </row>
    <row r="533">
      <c r="A533" s="202">
        <v>45194.0</v>
      </c>
      <c r="B533" s="23" t="s">
        <v>255</v>
      </c>
      <c r="C533" s="201">
        <v>8.302</v>
      </c>
      <c r="D533" s="23" t="s">
        <v>69</v>
      </c>
    </row>
    <row r="534">
      <c r="A534" s="202">
        <v>45194.0</v>
      </c>
      <c r="B534" t="s">
        <v>183</v>
      </c>
      <c r="C534" s="23">
        <v>8.05</v>
      </c>
      <c r="D534" t="s">
        <v>46</v>
      </c>
    </row>
    <row r="535">
      <c r="A535" s="202">
        <v>45194.0</v>
      </c>
      <c r="B535" t="s">
        <v>78</v>
      </c>
      <c r="C535" s="23">
        <v>3.7</v>
      </c>
      <c r="D535" t="s">
        <v>35</v>
      </c>
    </row>
    <row r="536">
      <c r="A536" s="202">
        <v>45194.0</v>
      </c>
      <c r="B536" t="s">
        <v>260</v>
      </c>
      <c r="C536" s="23">
        <v>7.0</v>
      </c>
      <c r="D536" t="s">
        <v>125</v>
      </c>
    </row>
    <row r="537">
      <c r="A537" s="23" t="s">
        <v>680</v>
      </c>
      <c r="B537" s="23" t="s">
        <v>3</v>
      </c>
      <c r="C537" s="23" t="s">
        <v>279</v>
      </c>
      <c r="D537" s="23" t="s">
        <v>280</v>
      </c>
    </row>
    <row r="538">
      <c r="A538" s="202">
        <v>45201.0</v>
      </c>
      <c r="B538" s="23" t="s">
        <v>243</v>
      </c>
      <c r="C538" s="201">
        <v>10.251999999999999</v>
      </c>
      <c r="D538" s="23" t="s">
        <v>69</v>
      </c>
    </row>
    <row r="539">
      <c r="A539" s="202">
        <v>45201.0</v>
      </c>
      <c r="B539" s="23" t="s">
        <v>189</v>
      </c>
      <c r="C539" s="201">
        <v>3.299</v>
      </c>
      <c r="D539" s="23" t="s">
        <v>46</v>
      </c>
    </row>
    <row r="540">
      <c r="A540" s="202">
        <v>45201.0</v>
      </c>
      <c r="B540" s="23" t="s">
        <v>137</v>
      </c>
      <c r="C540" s="201">
        <v>9.777999999999999</v>
      </c>
      <c r="D540" s="23" t="s">
        <v>60</v>
      </c>
    </row>
    <row r="541">
      <c r="A541" s="202">
        <v>45201.0</v>
      </c>
      <c r="B541" s="23" t="s">
        <v>71</v>
      </c>
      <c r="C541" s="201">
        <v>6.97</v>
      </c>
      <c r="D541" s="23" t="s">
        <v>35</v>
      </c>
    </row>
    <row r="542">
      <c r="A542" s="202">
        <v>45201.0</v>
      </c>
      <c r="B542" s="23" t="s">
        <v>174</v>
      </c>
      <c r="C542" s="201">
        <v>2.1</v>
      </c>
      <c r="D542" s="23" t="s">
        <v>60</v>
      </c>
    </row>
    <row r="543">
      <c r="A543" s="202">
        <v>45201.0</v>
      </c>
      <c r="B543" s="23" t="s">
        <v>217</v>
      </c>
      <c r="C543" s="201">
        <v>5.6</v>
      </c>
      <c r="D543" s="23" t="s">
        <v>67</v>
      </c>
    </row>
    <row r="544">
      <c r="A544" s="202">
        <v>45201.0</v>
      </c>
      <c r="B544" s="23" t="s">
        <v>213</v>
      </c>
      <c r="C544" s="201">
        <v>5.4</v>
      </c>
      <c r="D544" s="23" t="s">
        <v>57</v>
      </c>
    </row>
    <row r="545">
      <c r="A545" s="202">
        <v>45201.0</v>
      </c>
      <c r="B545" s="23" t="s">
        <v>254</v>
      </c>
      <c r="C545" s="201">
        <v>4.994</v>
      </c>
      <c r="D545" s="23" t="s">
        <v>69</v>
      </c>
    </row>
    <row r="546">
      <c r="A546" s="202">
        <v>45201.0</v>
      </c>
      <c r="B546" s="23" t="s">
        <v>123</v>
      </c>
      <c r="C546" s="201">
        <v>6.5</v>
      </c>
      <c r="D546" s="23" t="s">
        <v>56</v>
      </c>
    </row>
    <row r="547">
      <c r="A547" s="202">
        <v>45201.0</v>
      </c>
      <c r="B547" s="23" t="s">
        <v>112</v>
      </c>
      <c r="C547" s="201">
        <v>6.598999999999999</v>
      </c>
      <c r="D547" s="23" t="s">
        <v>58</v>
      </c>
    </row>
    <row r="548">
      <c r="A548" s="202">
        <v>45201.0</v>
      </c>
      <c r="B548" s="23" t="s">
        <v>177</v>
      </c>
      <c r="C548" s="201">
        <v>3.597</v>
      </c>
      <c r="D548" s="23" t="s">
        <v>60</v>
      </c>
    </row>
    <row r="549">
      <c r="A549" s="202">
        <v>45201.0</v>
      </c>
      <c r="B549" s="23" t="s">
        <v>230</v>
      </c>
      <c r="C549" s="201">
        <v>4.4</v>
      </c>
      <c r="D549" s="23" t="s">
        <v>59</v>
      </c>
    </row>
    <row r="550">
      <c r="A550" s="202">
        <v>45201.0</v>
      </c>
      <c r="B550" s="23" t="s">
        <v>227</v>
      </c>
      <c r="C550" s="201">
        <v>6.367</v>
      </c>
      <c r="D550" s="23" t="s">
        <v>59</v>
      </c>
    </row>
    <row r="551">
      <c r="A551" s="202">
        <v>45201.0</v>
      </c>
      <c r="B551" s="23" t="s">
        <v>248</v>
      </c>
      <c r="C551" s="201">
        <v>4.3</v>
      </c>
      <c r="D551" s="23" t="s">
        <v>62</v>
      </c>
    </row>
    <row r="552">
      <c r="A552" s="202">
        <v>45201.0</v>
      </c>
      <c r="B552" s="23" t="s">
        <v>226</v>
      </c>
      <c r="C552" s="201">
        <v>5.79</v>
      </c>
      <c r="D552" s="23" t="s">
        <v>67</v>
      </c>
    </row>
    <row r="553">
      <c r="A553" s="202">
        <v>45201.0</v>
      </c>
      <c r="B553" s="23" t="s">
        <v>199</v>
      </c>
      <c r="C553" s="201">
        <v>3.787</v>
      </c>
      <c r="D553" s="23" t="s">
        <v>70</v>
      </c>
    </row>
    <row r="554">
      <c r="A554" s="202">
        <v>45201.0</v>
      </c>
      <c r="B554" s="23" t="s">
        <v>119</v>
      </c>
      <c r="C554" s="201">
        <v>6.1</v>
      </c>
      <c r="D554" s="23" t="s">
        <v>58</v>
      </c>
    </row>
    <row r="555">
      <c r="A555" s="202">
        <v>45201.0</v>
      </c>
      <c r="B555" s="23" t="s">
        <v>251</v>
      </c>
      <c r="C555" s="201">
        <v>5.499</v>
      </c>
      <c r="D555" s="23" t="s">
        <v>69</v>
      </c>
    </row>
    <row r="556">
      <c r="A556" s="202">
        <v>45201.0</v>
      </c>
      <c r="B556" s="23" t="s">
        <v>265</v>
      </c>
      <c r="C556" s="201">
        <v>6.542</v>
      </c>
      <c r="D556" s="23" t="s">
        <v>125</v>
      </c>
    </row>
    <row r="557">
      <c r="A557" s="202">
        <v>45201.0</v>
      </c>
      <c r="B557" s="23" t="s">
        <v>252</v>
      </c>
      <c r="C557" s="201">
        <v>3.899</v>
      </c>
      <c r="D557" s="23" t="s">
        <v>69</v>
      </c>
    </row>
    <row r="558">
      <c r="A558" s="202">
        <v>45201.0</v>
      </c>
      <c r="B558" s="23" t="s">
        <v>242</v>
      </c>
      <c r="C558" s="201">
        <v>6.199</v>
      </c>
      <c r="D558" s="23" t="s">
        <v>62</v>
      </c>
    </row>
    <row r="559">
      <c r="A559" s="202">
        <v>45201.0</v>
      </c>
      <c r="B559" s="23" t="s">
        <v>191</v>
      </c>
      <c r="C559" s="201">
        <v>7.878</v>
      </c>
      <c r="D559" s="23" t="s">
        <v>70</v>
      </c>
    </row>
    <row r="560">
      <c r="A560" s="202">
        <v>45201.0</v>
      </c>
      <c r="B560" s="23" t="s">
        <v>206</v>
      </c>
      <c r="C560" s="201">
        <v>6.084</v>
      </c>
      <c r="D560" s="23" t="s">
        <v>57</v>
      </c>
    </row>
    <row r="561">
      <c r="A561" s="202">
        <v>45201.0</v>
      </c>
      <c r="B561" s="23" t="s">
        <v>269</v>
      </c>
      <c r="C561" s="201">
        <v>5.9</v>
      </c>
      <c r="D561" s="23" t="s">
        <v>61</v>
      </c>
    </row>
    <row r="562">
      <c r="A562" s="202">
        <v>45201.0</v>
      </c>
      <c r="B562" s="23" t="s">
        <v>105</v>
      </c>
      <c r="C562" s="201">
        <v>4.798</v>
      </c>
      <c r="D562" s="23" t="s">
        <v>58</v>
      </c>
    </row>
    <row r="563">
      <c r="A563" s="202">
        <v>45201.0</v>
      </c>
      <c r="B563" s="23" t="s">
        <v>187</v>
      </c>
      <c r="C563" s="201">
        <v>8.428</v>
      </c>
      <c r="D563" s="23" t="s">
        <v>46</v>
      </c>
    </row>
    <row r="564">
      <c r="A564" s="202">
        <v>45201.0</v>
      </c>
      <c r="B564" s="23" t="s">
        <v>246</v>
      </c>
      <c r="C564" s="201">
        <v>4.197</v>
      </c>
      <c r="D564" s="23" t="s">
        <v>62</v>
      </c>
    </row>
    <row r="565">
      <c r="A565" s="202">
        <v>45201.0</v>
      </c>
      <c r="B565" s="23" t="s">
        <v>238</v>
      </c>
      <c r="C565" s="201">
        <v>5.096</v>
      </c>
      <c r="D565" s="23" t="s">
        <v>59</v>
      </c>
    </row>
    <row r="566">
      <c r="A566" s="202">
        <v>45201.0</v>
      </c>
      <c r="B566" s="23" t="s">
        <v>133</v>
      </c>
      <c r="C566" s="201">
        <v>4.3950000000000005</v>
      </c>
      <c r="D566" s="23" t="s">
        <v>56</v>
      </c>
    </row>
    <row r="567">
      <c r="A567" s="202">
        <v>45201.0</v>
      </c>
      <c r="B567" s="23" t="s">
        <v>127</v>
      </c>
      <c r="C567" s="201">
        <v>5.797</v>
      </c>
      <c r="D567" s="23" t="s">
        <v>56</v>
      </c>
    </row>
    <row r="568">
      <c r="A568" s="202">
        <v>45201.0</v>
      </c>
      <c r="B568" s="23" t="s">
        <v>220</v>
      </c>
      <c r="C568" s="201">
        <v>5.0</v>
      </c>
      <c r="D568" s="23" t="s">
        <v>67</v>
      </c>
    </row>
    <row r="569">
      <c r="A569" s="202">
        <v>45201.0</v>
      </c>
      <c r="B569" s="23" t="s">
        <v>224</v>
      </c>
      <c r="C569" s="201">
        <v>10.693999999999999</v>
      </c>
      <c r="D569" s="23" t="s">
        <v>125</v>
      </c>
    </row>
    <row r="570">
      <c r="A570" s="202">
        <v>45201.0</v>
      </c>
      <c r="B570" s="23" t="s">
        <v>241</v>
      </c>
      <c r="C570" s="201">
        <v>10.203</v>
      </c>
      <c r="D570" s="23" t="s">
        <v>62</v>
      </c>
    </row>
    <row r="571">
      <c r="A571" s="202">
        <v>45201.0</v>
      </c>
      <c r="B571" s="23" t="s">
        <v>63</v>
      </c>
      <c r="C571" s="201">
        <v>10.802</v>
      </c>
      <c r="D571" s="23" t="s">
        <v>35</v>
      </c>
    </row>
    <row r="572">
      <c r="A572" s="202">
        <v>45201.0</v>
      </c>
      <c r="B572" s="23" t="s">
        <v>245</v>
      </c>
      <c r="C572" s="201">
        <v>8.387</v>
      </c>
      <c r="D572" s="23" t="s">
        <v>62</v>
      </c>
    </row>
    <row r="573">
      <c r="A573" s="202">
        <v>45201.0</v>
      </c>
      <c r="B573" s="23" t="s">
        <v>232</v>
      </c>
      <c r="C573" s="201">
        <v>6.952</v>
      </c>
      <c r="D573" s="23" t="s">
        <v>59</v>
      </c>
    </row>
    <row r="574">
      <c r="A574" s="202">
        <v>45201.0</v>
      </c>
      <c r="B574" s="23" t="s">
        <v>229</v>
      </c>
      <c r="C574" s="201">
        <v>4.1</v>
      </c>
      <c r="D574" s="23" t="s">
        <v>59</v>
      </c>
    </row>
    <row r="575">
      <c r="A575" s="202">
        <v>45201.0</v>
      </c>
      <c r="B575" s="23" t="s">
        <v>173</v>
      </c>
      <c r="C575" s="201">
        <v>4.699</v>
      </c>
      <c r="D575" s="23" t="s">
        <v>60</v>
      </c>
    </row>
    <row r="576">
      <c r="A576" s="202">
        <v>45201.0</v>
      </c>
      <c r="B576" s="23" t="s">
        <v>210</v>
      </c>
      <c r="C576" s="201">
        <v>4.2</v>
      </c>
      <c r="D576" s="23" t="s">
        <v>57</v>
      </c>
    </row>
    <row r="577">
      <c r="A577" s="202">
        <v>45201.0</v>
      </c>
      <c r="B577" s="23" t="s">
        <v>186</v>
      </c>
      <c r="C577" s="201">
        <v>4.899</v>
      </c>
      <c r="D577" s="23" t="s">
        <v>46</v>
      </c>
    </row>
    <row r="578">
      <c r="A578" s="202">
        <v>45201.0</v>
      </c>
      <c r="B578" s="23" t="s">
        <v>195</v>
      </c>
      <c r="C578" s="201">
        <v>3.7</v>
      </c>
      <c r="D578" s="23" t="s">
        <v>70</v>
      </c>
    </row>
    <row r="579">
      <c r="A579" s="202">
        <v>45201.0</v>
      </c>
      <c r="B579" s="23" t="s">
        <v>266</v>
      </c>
      <c r="C579" s="201">
        <v>8.471</v>
      </c>
      <c r="D579" s="23" t="s">
        <v>61</v>
      </c>
    </row>
    <row r="580">
      <c r="A580" s="202">
        <v>45201.0</v>
      </c>
      <c r="B580" s="23" t="s">
        <v>124</v>
      </c>
      <c r="C580" s="201">
        <v>4.5</v>
      </c>
      <c r="D580" s="23" t="s">
        <v>56</v>
      </c>
    </row>
    <row r="581">
      <c r="A581" s="202">
        <v>45201.0</v>
      </c>
      <c r="B581" s="23" t="s">
        <v>262</v>
      </c>
      <c r="C581" s="201">
        <v>9.1</v>
      </c>
      <c r="D581" s="23" t="s">
        <v>125</v>
      </c>
    </row>
    <row r="582">
      <c r="A582" s="202">
        <v>45201.0</v>
      </c>
      <c r="B582" s="23" t="s">
        <v>192</v>
      </c>
      <c r="C582" s="201">
        <v>6.4</v>
      </c>
      <c r="D582" s="23" t="s">
        <v>70</v>
      </c>
    </row>
    <row r="583">
      <c r="A583" s="202">
        <v>45201.0</v>
      </c>
      <c r="B583" s="23" t="s">
        <v>74</v>
      </c>
      <c r="C583" s="201">
        <v>8.543</v>
      </c>
      <c r="D583" s="23" t="s">
        <v>35</v>
      </c>
    </row>
    <row r="584">
      <c r="A584" s="202">
        <v>45201.0</v>
      </c>
      <c r="B584" s="23" t="s">
        <v>75</v>
      </c>
      <c r="C584" s="201">
        <v>3.299</v>
      </c>
      <c r="D584" s="23" t="s">
        <v>35</v>
      </c>
    </row>
    <row r="585">
      <c r="A585" s="202">
        <v>45201.0</v>
      </c>
      <c r="B585" s="23" t="s">
        <v>196</v>
      </c>
      <c r="C585" s="201">
        <v>7.8870000000000005</v>
      </c>
      <c r="D585" s="23" t="s">
        <v>70</v>
      </c>
    </row>
    <row r="586">
      <c r="A586" s="202">
        <v>45201.0</v>
      </c>
      <c r="B586" s="23" t="s">
        <v>102</v>
      </c>
      <c r="C586" s="201">
        <v>10.484</v>
      </c>
      <c r="D586" s="23" t="s">
        <v>58</v>
      </c>
    </row>
    <row r="587">
      <c r="A587" s="202">
        <v>45201.0</v>
      </c>
      <c r="B587" s="23" t="s">
        <v>175</v>
      </c>
      <c r="C587" s="201">
        <v>7.232</v>
      </c>
      <c r="D587" s="23" t="s">
        <v>60</v>
      </c>
    </row>
    <row r="588">
      <c r="A588" s="202">
        <v>45201.0</v>
      </c>
      <c r="B588" s="23" t="s">
        <v>250</v>
      </c>
      <c r="C588" s="201">
        <v>5.55</v>
      </c>
      <c r="D588" s="23" t="s">
        <v>69</v>
      </c>
    </row>
    <row r="589">
      <c r="A589" s="202">
        <v>45201.0</v>
      </c>
      <c r="B589" s="23" t="s">
        <v>164</v>
      </c>
      <c r="C589" s="201">
        <v>9.096</v>
      </c>
      <c r="D589" s="23" t="s">
        <v>60</v>
      </c>
    </row>
    <row r="590">
      <c r="A590" s="202">
        <v>45201.0</v>
      </c>
      <c r="B590" s="23" t="s">
        <v>219</v>
      </c>
      <c r="C590" s="201">
        <v>7.96</v>
      </c>
      <c r="D590" s="23" t="s">
        <v>69</v>
      </c>
    </row>
    <row r="591">
      <c r="A591" s="202">
        <v>45201.0</v>
      </c>
      <c r="B591" s="23" t="s">
        <v>111</v>
      </c>
      <c r="C591" s="201">
        <v>8.419</v>
      </c>
      <c r="D591" s="23" t="s">
        <v>58</v>
      </c>
    </row>
    <row r="592">
      <c r="A592" s="202">
        <v>45201.0</v>
      </c>
      <c r="B592" s="23" t="s">
        <v>244</v>
      </c>
      <c r="C592" s="201">
        <v>8.588</v>
      </c>
      <c r="D592" s="23" t="s">
        <v>62</v>
      </c>
    </row>
    <row r="593">
      <c r="A593" s="202">
        <v>45201.0</v>
      </c>
      <c r="B593" s="23" t="s">
        <v>118</v>
      </c>
      <c r="C593" s="201">
        <v>8.757</v>
      </c>
      <c r="D593" s="23" t="s">
        <v>58</v>
      </c>
    </row>
    <row r="594">
      <c r="A594" s="202">
        <v>45201.0</v>
      </c>
      <c r="B594" s="23" t="s">
        <v>240</v>
      </c>
      <c r="C594" s="201">
        <v>8.969</v>
      </c>
      <c r="D594" s="23" t="s">
        <v>62</v>
      </c>
    </row>
    <row r="595">
      <c r="A595" s="202">
        <v>45201.0</v>
      </c>
      <c r="B595" s="23" t="s">
        <v>79</v>
      </c>
      <c r="C595" s="201">
        <v>9.72</v>
      </c>
      <c r="D595" s="23" t="s">
        <v>35</v>
      </c>
    </row>
    <row r="596">
      <c r="A596" s="202">
        <v>45201.0</v>
      </c>
      <c r="B596" s="23" t="s">
        <v>178</v>
      </c>
      <c r="C596" s="201">
        <v>4.1</v>
      </c>
      <c r="D596" s="23" t="s">
        <v>60</v>
      </c>
    </row>
    <row r="597">
      <c r="A597" s="202">
        <v>45201.0</v>
      </c>
      <c r="B597" s="23" t="s">
        <v>209</v>
      </c>
      <c r="C597" s="201">
        <v>10.141</v>
      </c>
      <c r="D597" s="23" t="s">
        <v>59</v>
      </c>
    </row>
    <row r="598">
      <c r="A598" s="202">
        <v>45201.0</v>
      </c>
      <c r="B598" s="23" t="s">
        <v>228</v>
      </c>
      <c r="C598" s="201">
        <v>4.483</v>
      </c>
      <c r="D598" s="23" t="s">
        <v>61</v>
      </c>
    </row>
    <row r="599">
      <c r="A599" s="202">
        <v>45201.0</v>
      </c>
      <c r="B599" s="23" t="s">
        <v>116</v>
      </c>
      <c r="C599" s="201">
        <v>5.5969999999999995</v>
      </c>
      <c r="D599" s="23" t="s">
        <v>58</v>
      </c>
    </row>
    <row r="600">
      <c r="A600" s="202">
        <v>45201.0</v>
      </c>
      <c r="B600" s="23" t="s">
        <v>249</v>
      </c>
      <c r="C600" s="201">
        <v>5.2</v>
      </c>
      <c r="D600" s="23" t="s">
        <v>62</v>
      </c>
    </row>
    <row r="601">
      <c r="A601" s="202">
        <v>45201.0</v>
      </c>
      <c r="B601" s="23" t="s">
        <v>237</v>
      </c>
      <c r="C601" s="201">
        <v>7.795</v>
      </c>
      <c r="D601" s="23" t="s">
        <v>59</v>
      </c>
    </row>
    <row r="602">
      <c r="A602" s="202">
        <v>45201.0</v>
      </c>
      <c r="B602" s="23" t="s">
        <v>234</v>
      </c>
      <c r="C602" s="201">
        <v>3.7</v>
      </c>
      <c r="D602" s="23" t="s">
        <v>59</v>
      </c>
    </row>
    <row r="603">
      <c r="A603" s="202">
        <v>45201.0</v>
      </c>
      <c r="B603" s="23" t="s">
        <v>268</v>
      </c>
      <c r="C603" s="201">
        <v>5.699</v>
      </c>
      <c r="D603" s="23" t="s">
        <v>61</v>
      </c>
    </row>
    <row r="604">
      <c r="A604" s="202">
        <v>45201.0</v>
      </c>
      <c r="B604" s="23" t="s">
        <v>80</v>
      </c>
      <c r="C604" s="201">
        <v>4.4</v>
      </c>
      <c r="D604" s="23" t="s">
        <v>35</v>
      </c>
    </row>
    <row r="605">
      <c r="A605" s="202">
        <v>45201.0</v>
      </c>
      <c r="B605" s="23" t="s">
        <v>258</v>
      </c>
      <c r="C605" s="201">
        <v>2.2</v>
      </c>
      <c r="D605" s="23" t="s">
        <v>125</v>
      </c>
    </row>
    <row r="606">
      <c r="A606" s="202">
        <v>45201.0</v>
      </c>
      <c r="B606" s="23" t="s">
        <v>88</v>
      </c>
      <c r="C606" s="201">
        <v>4.598999999999999</v>
      </c>
      <c r="D606" s="23" t="s">
        <v>35</v>
      </c>
    </row>
    <row r="607">
      <c r="A607" s="202">
        <v>45201.0</v>
      </c>
      <c r="B607" s="23" t="s">
        <v>201</v>
      </c>
      <c r="C607" s="201">
        <v>5.6850000000000005</v>
      </c>
      <c r="D607" s="23" t="s">
        <v>57</v>
      </c>
    </row>
    <row r="608">
      <c r="A608" s="202">
        <v>45201.0</v>
      </c>
      <c r="B608" s="23" t="s">
        <v>216</v>
      </c>
      <c r="C608" s="201">
        <v>9.411</v>
      </c>
      <c r="D608" s="23" t="s">
        <v>67</v>
      </c>
    </row>
    <row r="609">
      <c r="A609" s="202">
        <v>45201.0</v>
      </c>
      <c r="B609" s="23" t="s">
        <v>221</v>
      </c>
      <c r="C609" s="201">
        <v>4.2</v>
      </c>
      <c r="D609" s="23" t="s">
        <v>67</v>
      </c>
    </row>
    <row r="610">
      <c r="A610" s="202">
        <v>45201.0</v>
      </c>
      <c r="B610" s="23" t="s">
        <v>117</v>
      </c>
      <c r="C610" s="201">
        <v>5.184</v>
      </c>
      <c r="D610" s="23" t="s">
        <v>58</v>
      </c>
    </row>
    <row r="611">
      <c r="A611" s="202">
        <v>45201.0</v>
      </c>
      <c r="B611" s="23" t="s">
        <v>261</v>
      </c>
      <c r="C611" s="201">
        <v>4.899</v>
      </c>
      <c r="D611" s="23" t="s">
        <v>125</v>
      </c>
    </row>
    <row r="612">
      <c r="A612" s="202">
        <v>45201.0</v>
      </c>
      <c r="B612" s="23" t="s">
        <v>128</v>
      </c>
      <c r="C612" s="201">
        <v>9.7</v>
      </c>
      <c r="D612" s="23" t="s">
        <v>56</v>
      </c>
    </row>
    <row r="613">
      <c r="A613" s="202">
        <v>45201.0</v>
      </c>
      <c r="B613" s="23" t="s">
        <v>214</v>
      </c>
      <c r="C613" s="201">
        <v>8.892999999999999</v>
      </c>
      <c r="D613" s="23" t="s">
        <v>57</v>
      </c>
    </row>
    <row r="614">
      <c r="A614" s="202">
        <v>45201.0</v>
      </c>
      <c r="B614" s="23" t="s">
        <v>200</v>
      </c>
      <c r="C614" s="201">
        <v>10.774999999999999</v>
      </c>
      <c r="D614" s="23" t="s">
        <v>57</v>
      </c>
    </row>
    <row r="615">
      <c r="A615" s="202">
        <v>45201.0</v>
      </c>
      <c r="B615" s="23" t="s">
        <v>179</v>
      </c>
      <c r="C615" s="201">
        <v>11.074</v>
      </c>
      <c r="D615" s="23" t="s">
        <v>60</v>
      </c>
    </row>
    <row r="616">
      <c r="A616" s="202">
        <v>45201.0</v>
      </c>
      <c r="B616" s="23" t="s">
        <v>267</v>
      </c>
      <c r="C616" s="201">
        <v>4.7</v>
      </c>
      <c r="D616" s="23" t="s">
        <v>61</v>
      </c>
    </row>
    <row r="617">
      <c r="A617" s="202">
        <v>45201.0</v>
      </c>
      <c r="B617" s="23" t="s">
        <v>270</v>
      </c>
      <c r="C617" s="201">
        <v>3.798</v>
      </c>
      <c r="D617" s="23" t="s">
        <v>61</v>
      </c>
    </row>
    <row r="618">
      <c r="A618" s="202">
        <v>45201.0</v>
      </c>
      <c r="B618" s="23" t="s">
        <v>225</v>
      </c>
      <c r="C618" s="201">
        <v>9.271</v>
      </c>
      <c r="D618" s="23" t="s">
        <v>67</v>
      </c>
    </row>
    <row r="619">
      <c r="A619" s="202">
        <v>45201.0</v>
      </c>
      <c r="B619" s="23" t="s">
        <v>38</v>
      </c>
      <c r="C619" s="201">
        <v>10.632</v>
      </c>
      <c r="D619" s="23" t="s">
        <v>35</v>
      </c>
    </row>
    <row r="620">
      <c r="A620" s="202">
        <v>45201.0</v>
      </c>
      <c r="B620" s="23" t="s">
        <v>247</v>
      </c>
      <c r="C620" s="201">
        <v>8.271</v>
      </c>
      <c r="D620" s="23" t="s">
        <v>62</v>
      </c>
    </row>
    <row r="621">
      <c r="A621" s="202">
        <v>45201.0</v>
      </c>
      <c r="B621" s="23" t="s">
        <v>135</v>
      </c>
      <c r="C621" s="201">
        <v>10.638</v>
      </c>
      <c r="D621" s="23" t="s">
        <v>56</v>
      </c>
    </row>
    <row r="622">
      <c r="A622" s="202">
        <v>45201.0</v>
      </c>
      <c r="B622" s="23" t="s">
        <v>256</v>
      </c>
      <c r="C622" s="201">
        <v>3.2</v>
      </c>
      <c r="D622" s="23" t="s">
        <v>69</v>
      </c>
    </row>
    <row r="623">
      <c r="A623" s="202">
        <v>45201.0</v>
      </c>
      <c r="B623" s="23" t="s">
        <v>222</v>
      </c>
      <c r="C623" s="201">
        <v>4.798</v>
      </c>
      <c r="D623" s="23" t="s">
        <v>67</v>
      </c>
    </row>
    <row r="624">
      <c r="A624" s="202">
        <v>45201.0</v>
      </c>
      <c r="B624" s="23" t="s">
        <v>263</v>
      </c>
      <c r="C624" s="201">
        <v>6.593</v>
      </c>
      <c r="D624" s="23" t="s">
        <v>125</v>
      </c>
    </row>
    <row r="625">
      <c r="A625" s="202">
        <v>45201.0</v>
      </c>
      <c r="B625" s="23" t="s">
        <v>185</v>
      </c>
      <c r="C625" s="201">
        <v>6.4</v>
      </c>
      <c r="D625" s="23" t="s">
        <v>46</v>
      </c>
    </row>
    <row r="626">
      <c r="A626" s="202">
        <v>45201.0</v>
      </c>
      <c r="B626" s="23" t="s">
        <v>190</v>
      </c>
      <c r="C626" s="201">
        <v>4.6</v>
      </c>
      <c r="D626" s="23" t="s">
        <v>70</v>
      </c>
    </row>
    <row r="627">
      <c r="A627" s="202">
        <v>45201.0</v>
      </c>
      <c r="B627" s="23" t="s">
        <v>129</v>
      </c>
      <c r="C627" s="201">
        <v>4.392</v>
      </c>
      <c r="D627" s="23" t="s">
        <v>56</v>
      </c>
    </row>
    <row r="628">
      <c r="A628" s="202">
        <v>45201.0</v>
      </c>
      <c r="B628" s="23" t="s">
        <v>139</v>
      </c>
      <c r="C628" s="201">
        <v>8.780000000000001</v>
      </c>
      <c r="D628" s="23" t="s">
        <v>60</v>
      </c>
    </row>
    <row r="629">
      <c r="A629" s="202">
        <v>45201.0</v>
      </c>
      <c r="B629" s="23" t="s">
        <v>205</v>
      </c>
      <c r="C629" s="201">
        <v>6.141</v>
      </c>
      <c r="D629" s="23" t="s">
        <v>67</v>
      </c>
    </row>
    <row r="630">
      <c r="A630" s="202">
        <v>45201.0</v>
      </c>
      <c r="B630" s="23" t="s">
        <v>184</v>
      </c>
      <c r="C630" s="201">
        <v>5.7</v>
      </c>
      <c r="D630" s="23" t="s">
        <v>46</v>
      </c>
    </row>
    <row r="631">
      <c r="A631" s="202">
        <v>45201.0</v>
      </c>
      <c r="B631" s="23" t="s">
        <v>253</v>
      </c>
      <c r="C631" s="201">
        <v>6.867</v>
      </c>
      <c r="D631" s="23" t="s">
        <v>69</v>
      </c>
    </row>
    <row r="632">
      <c r="A632" s="202">
        <v>45201.0</v>
      </c>
      <c r="B632" s="23" t="s">
        <v>197</v>
      </c>
      <c r="C632" s="201">
        <v>3.099</v>
      </c>
      <c r="D632" s="23" t="s">
        <v>70</v>
      </c>
    </row>
    <row r="633">
      <c r="A633" s="202">
        <v>45201.0</v>
      </c>
      <c r="B633" s="23" t="s">
        <v>193</v>
      </c>
      <c r="C633" s="201">
        <v>1.7</v>
      </c>
      <c r="D633" s="23" t="s">
        <v>70</v>
      </c>
    </row>
    <row r="634">
      <c r="A634" s="202">
        <v>45201.0</v>
      </c>
      <c r="B634" s="23" t="s">
        <v>130</v>
      </c>
      <c r="C634" s="201">
        <v>8.775</v>
      </c>
      <c r="D634" s="23" t="s">
        <v>56</v>
      </c>
    </row>
    <row r="635">
      <c r="A635" s="202">
        <v>45201.0</v>
      </c>
      <c r="B635" s="23" t="s">
        <v>223</v>
      </c>
      <c r="C635" s="201">
        <v>6.3950000000000005</v>
      </c>
      <c r="D635" s="23" t="s">
        <v>67</v>
      </c>
    </row>
    <row r="636">
      <c r="A636" s="202">
        <v>45201.0</v>
      </c>
      <c r="B636" s="23" t="s">
        <v>81</v>
      </c>
      <c r="C636" s="201">
        <v>3.9</v>
      </c>
      <c r="D636" s="23" t="s">
        <v>35</v>
      </c>
    </row>
    <row r="637">
      <c r="A637" s="202">
        <v>45201.0</v>
      </c>
      <c r="B637" s="23" t="s">
        <v>233</v>
      </c>
      <c r="C637" s="201">
        <v>8.273000000000001</v>
      </c>
      <c r="D637" s="23" t="s">
        <v>61</v>
      </c>
    </row>
    <row r="638">
      <c r="A638" s="202">
        <v>45201.0</v>
      </c>
      <c r="B638" s="23" t="s">
        <v>264</v>
      </c>
      <c r="C638" s="201">
        <v>8.339</v>
      </c>
      <c r="D638" s="23" t="s">
        <v>125</v>
      </c>
    </row>
    <row r="639">
      <c r="A639" s="202">
        <v>45201.0</v>
      </c>
      <c r="B639" s="23" t="s">
        <v>239</v>
      </c>
      <c r="C639" s="201">
        <v>10.801</v>
      </c>
      <c r="D639" s="23" t="s">
        <v>125</v>
      </c>
    </row>
    <row r="640">
      <c r="A640" s="202">
        <v>45201.0</v>
      </c>
      <c r="B640" s="23" t="s">
        <v>126</v>
      </c>
      <c r="C640" s="201">
        <v>7.787</v>
      </c>
      <c r="D640" s="23" t="s">
        <v>56</v>
      </c>
    </row>
    <row r="641">
      <c r="A641" s="202">
        <v>45201.0</v>
      </c>
      <c r="B641" s="23" t="s">
        <v>188</v>
      </c>
      <c r="C641" s="201">
        <v>5.396000000000001</v>
      </c>
      <c r="D641" s="23" t="s">
        <v>46</v>
      </c>
    </row>
    <row r="642">
      <c r="A642" s="202">
        <v>45201.0</v>
      </c>
      <c r="B642" s="23" t="s">
        <v>120</v>
      </c>
      <c r="C642" s="201">
        <v>9.248</v>
      </c>
      <c r="D642" s="23" t="s">
        <v>56</v>
      </c>
    </row>
    <row r="643">
      <c r="A643" s="202">
        <v>45201.0</v>
      </c>
      <c r="B643" s="23" t="s">
        <v>181</v>
      </c>
      <c r="C643" s="201">
        <v>7.538</v>
      </c>
      <c r="D643" s="23" t="s">
        <v>46</v>
      </c>
    </row>
    <row r="644">
      <c r="A644" s="202">
        <v>45201.0</v>
      </c>
      <c r="B644" s="23" t="s">
        <v>182</v>
      </c>
      <c r="C644" s="201">
        <v>9.165000000000001</v>
      </c>
      <c r="D644" s="23" t="s">
        <v>46</v>
      </c>
    </row>
    <row r="645">
      <c r="A645" s="202">
        <v>45201.0</v>
      </c>
      <c r="B645" s="23" t="s">
        <v>207</v>
      </c>
      <c r="C645" s="201">
        <v>5.993</v>
      </c>
      <c r="D645" s="23" t="s">
        <v>57</v>
      </c>
    </row>
    <row r="646">
      <c r="A646" s="202">
        <v>45201.0</v>
      </c>
      <c r="B646" s="23" t="s">
        <v>271</v>
      </c>
      <c r="C646" s="201">
        <v>4.795</v>
      </c>
      <c r="D646" s="23" t="s">
        <v>61</v>
      </c>
    </row>
    <row r="647">
      <c r="A647" s="202">
        <v>45201.0</v>
      </c>
      <c r="B647" s="23" t="s">
        <v>257</v>
      </c>
      <c r="C647" s="201">
        <v>6.999</v>
      </c>
      <c r="D647" s="23" t="s">
        <v>69</v>
      </c>
    </row>
    <row r="648">
      <c r="A648" s="202">
        <v>45201.0</v>
      </c>
      <c r="B648" s="23" t="s">
        <v>109</v>
      </c>
      <c r="C648" s="201">
        <v>8.091</v>
      </c>
      <c r="D648" s="23" t="s">
        <v>58</v>
      </c>
    </row>
    <row r="649">
      <c r="A649" s="202">
        <v>45201.0</v>
      </c>
      <c r="B649" s="23" t="s">
        <v>236</v>
      </c>
      <c r="C649" s="201">
        <v>2.3</v>
      </c>
      <c r="D649" s="23" t="s">
        <v>59</v>
      </c>
    </row>
    <row r="650">
      <c r="A650" s="202">
        <v>45201.0</v>
      </c>
      <c r="B650" s="23" t="s">
        <v>218</v>
      </c>
      <c r="C650" s="201">
        <v>3.899</v>
      </c>
      <c r="D650" s="23" t="s">
        <v>67</v>
      </c>
    </row>
    <row r="651">
      <c r="A651" s="202">
        <v>45201.0</v>
      </c>
      <c r="B651" s="23" t="s">
        <v>176</v>
      </c>
      <c r="C651" s="23">
        <v>2.7</v>
      </c>
      <c r="D651" s="23" t="s">
        <v>60</v>
      </c>
    </row>
    <row r="652">
      <c r="A652" s="202">
        <v>45201.0</v>
      </c>
      <c r="B652" s="23" t="s">
        <v>202</v>
      </c>
      <c r="C652" s="201">
        <v>7.664000000000001</v>
      </c>
      <c r="D652" s="23" t="s">
        <v>57</v>
      </c>
    </row>
    <row r="653">
      <c r="A653" s="202">
        <v>45201.0</v>
      </c>
      <c r="B653" s="23" t="s">
        <v>204</v>
      </c>
      <c r="C653" s="201">
        <v>9.469</v>
      </c>
      <c r="D653" s="23" t="s">
        <v>57</v>
      </c>
    </row>
    <row r="654">
      <c r="A654" s="202">
        <v>45201.0</v>
      </c>
      <c r="B654" s="23" t="s">
        <v>273</v>
      </c>
      <c r="C654" s="201">
        <v>5.789</v>
      </c>
      <c r="D654" s="23" t="s">
        <v>61</v>
      </c>
    </row>
    <row r="655">
      <c r="A655" s="202">
        <v>45201.0</v>
      </c>
      <c r="B655" s="23" t="s">
        <v>231</v>
      </c>
      <c r="C655" s="201">
        <v>7.789</v>
      </c>
      <c r="D655" s="23" t="s">
        <v>59</v>
      </c>
    </row>
    <row r="656">
      <c r="A656" s="202">
        <v>45201.0</v>
      </c>
      <c r="B656" s="23" t="s">
        <v>194</v>
      </c>
      <c r="C656" s="201">
        <v>2.999</v>
      </c>
      <c r="D656" s="23" t="s">
        <v>70</v>
      </c>
    </row>
    <row r="657">
      <c r="A657" s="202">
        <v>45201.0</v>
      </c>
      <c r="B657" s="23" t="s">
        <v>198</v>
      </c>
      <c r="C657" s="201">
        <v>5.859</v>
      </c>
      <c r="D657" s="23" t="s">
        <v>70</v>
      </c>
    </row>
    <row r="658">
      <c r="A658" s="202">
        <v>45201.0</v>
      </c>
      <c r="B658" s="23" t="s">
        <v>277</v>
      </c>
      <c r="C658" s="201">
        <v>2.5</v>
      </c>
      <c r="D658" s="23" t="s">
        <v>274</v>
      </c>
    </row>
    <row r="659">
      <c r="A659" s="202">
        <v>45201.0</v>
      </c>
      <c r="B659" s="23" t="s">
        <v>275</v>
      </c>
      <c r="C659" s="201">
        <v>2.0</v>
      </c>
      <c r="D659" s="23" t="s">
        <v>274</v>
      </c>
    </row>
    <row r="660">
      <c r="A660" s="202">
        <v>45201.0</v>
      </c>
      <c r="B660" s="23" t="s">
        <v>113</v>
      </c>
      <c r="C660" s="201">
        <v>4.598999999999999</v>
      </c>
      <c r="D660" s="23" t="s">
        <v>58</v>
      </c>
    </row>
    <row r="661">
      <c r="A661" s="202">
        <v>45201.0</v>
      </c>
      <c r="B661" s="23" t="s">
        <v>208</v>
      </c>
      <c r="C661" s="201">
        <v>5.0</v>
      </c>
      <c r="D661" s="23" t="s">
        <v>57</v>
      </c>
    </row>
    <row r="662">
      <c r="A662" s="202">
        <v>45201.0</v>
      </c>
      <c r="B662" s="23" t="s">
        <v>180</v>
      </c>
      <c r="C662" s="201">
        <v>10.056000000000001</v>
      </c>
      <c r="D662" s="23" t="s">
        <v>46</v>
      </c>
    </row>
    <row r="663">
      <c r="A663" s="202">
        <v>45201.0</v>
      </c>
      <c r="B663" s="23" t="s">
        <v>259</v>
      </c>
      <c r="C663" s="201">
        <v>8.092</v>
      </c>
      <c r="D663" s="23" t="s">
        <v>125</v>
      </c>
    </row>
    <row r="664">
      <c r="A664" s="202">
        <v>45201.0</v>
      </c>
      <c r="B664" s="23" t="s">
        <v>276</v>
      </c>
      <c r="C664" s="201">
        <v>7.393000000000001</v>
      </c>
      <c r="D664" s="23" t="s">
        <v>274</v>
      </c>
    </row>
    <row r="665">
      <c r="A665" s="202">
        <v>45201.0</v>
      </c>
      <c r="B665" s="23" t="s">
        <v>215</v>
      </c>
      <c r="C665" s="201">
        <v>7.900999999999999</v>
      </c>
      <c r="D665" s="23" t="s">
        <v>62</v>
      </c>
    </row>
    <row r="666">
      <c r="A666" s="202">
        <v>45201.0</v>
      </c>
      <c r="B666" s="23" t="s">
        <v>272</v>
      </c>
      <c r="C666" s="201">
        <v>4.297</v>
      </c>
      <c r="D666" s="23" t="s">
        <v>61</v>
      </c>
    </row>
    <row r="667">
      <c r="A667" s="202">
        <v>45201.0</v>
      </c>
      <c r="B667" s="23" t="s">
        <v>255</v>
      </c>
      <c r="C667" s="201">
        <v>8.494</v>
      </c>
      <c r="D667" s="23" t="s">
        <v>69</v>
      </c>
    </row>
    <row r="668">
      <c r="A668" s="202">
        <v>45201.0</v>
      </c>
      <c r="B668" t="s">
        <v>183</v>
      </c>
      <c r="C668" s="23">
        <v>7.37</v>
      </c>
      <c r="D668" t="s">
        <v>46</v>
      </c>
    </row>
    <row r="669">
      <c r="A669" s="202">
        <v>45201.0</v>
      </c>
      <c r="B669" t="s">
        <v>78</v>
      </c>
      <c r="C669" s="23">
        <v>3.4</v>
      </c>
      <c r="D669" t="s">
        <v>35</v>
      </c>
    </row>
    <row r="670">
      <c r="A670" s="202">
        <v>45201.0</v>
      </c>
      <c r="B670" t="s">
        <v>260</v>
      </c>
      <c r="C670" s="23">
        <v>7.4</v>
      </c>
      <c r="D670" t="s">
        <v>125</v>
      </c>
    </row>
    <row r="671">
      <c r="A671" s="23" t="s">
        <v>680</v>
      </c>
      <c r="B671" s="23" t="s">
        <v>3</v>
      </c>
      <c r="C671" s="23" t="s">
        <v>279</v>
      </c>
      <c r="D671" s="23" t="s">
        <v>280</v>
      </c>
    </row>
    <row r="672">
      <c r="A672" s="202">
        <v>45208.0</v>
      </c>
      <c r="B672" s="23" t="s">
        <v>243</v>
      </c>
      <c r="C672" s="201">
        <v>10.312000000000001</v>
      </c>
      <c r="D672" s="23" t="s">
        <v>69</v>
      </c>
    </row>
    <row r="673">
      <c r="A673" s="202">
        <v>45208.0</v>
      </c>
      <c r="B673" s="23" t="s">
        <v>189</v>
      </c>
      <c r="C673" s="201">
        <v>2.5</v>
      </c>
      <c r="D673" s="23" t="s">
        <v>46</v>
      </c>
    </row>
    <row r="674">
      <c r="A674" s="202">
        <v>45208.0</v>
      </c>
      <c r="B674" s="23" t="s">
        <v>137</v>
      </c>
      <c r="C674" s="201">
        <v>10.161</v>
      </c>
      <c r="D674" s="23" t="s">
        <v>60</v>
      </c>
    </row>
    <row r="675">
      <c r="A675" s="202">
        <v>45208.0</v>
      </c>
      <c r="B675" s="23" t="s">
        <v>71</v>
      </c>
      <c r="C675" s="201">
        <v>6.894</v>
      </c>
      <c r="D675" s="23" t="s">
        <v>35</v>
      </c>
    </row>
    <row r="676">
      <c r="A676" s="202">
        <v>45208.0</v>
      </c>
      <c r="B676" s="23" t="s">
        <v>174</v>
      </c>
      <c r="C676" s="201">
        <v>1.8</v>
      </c>
      <c r="D676" s="23" t="s">
        <v>60</v>
      </c>
    </row>
    <row r="677">
      <c r="A677" s="202">
        <v>45208.0</v>
      </c>
      <c r="B677" s="23" t="s">
        <v>217</v>
      </c>
      <c r="C677" s="201">
        <v>5.8</v>
      </c>
      <c r="D677" s="23" t="s">
        <v>67</v>
      </c>
    </row>
    <row r="678">
      <c r="A678" s="202">
        <v>45208.0</v>
      </c>
      <c r="B678" s="23" t="s">
        <v>213</v>
      </c>
      <c r="C678" s="201">
        <v>5.3</v>
      </c>
      <c r="D678" s="23" t="s">
        <v>57</v>
      </c>
    </row>
    <row r="679">
      <c r="A679" s="202">
        <v>45208.0</v>
      </c>
      <c r="B679" s="23" t="s">
        <v>254</v>
      </c>
      <c r="C679" s="201">
        <v>4.598999999999999</v>
      </c>
      <c r="D679" s="23" t="s">
        <v>69</v>
      </c>
    </row>
    <row r="680">
      <c r="A680" s="202">
        <v>45208.0</v>
      </c>
      <c r="B680" s="23" t="s">
        <v>123</v>
      </c>
      <c r="C680" s="201">
        <v>5.6</v>
      </c>
      <c r="D680" s="23" t="s">
        <v>56</v>
      </c>
    </row>
    <row r="681">
      <c r="A681" s="202">
        <v>45208.0</v>
      </c>
      <c r="B681" s="23" t="s">
        <v>112</v>
      </c>
      <c r="C681" s="201">
        <v>6.6</v>
      </c>
      <c r="D681" s="23" t="s">
        <v>58</v>
      </c>
    </row>
    <row r="682">
      <c r="A682" s="202">
        <v>45208.0</v>
      </c>
      <c r="B682" s="23" t="s">
        <v>177</v>
      </c>
      <c r="C682" s="201">
        <v>2.899</v>
      </c>
      <c r="D682" s="23" t="s">
        <v>60</v>
      </c>
    </row>
    <row r="683">
      <c r="A683" s="202">
        <v>45208.0</v>
      </c>
      <c r="B683" s="23" t="s">
        <v>230</v>
      </c>
      <c r="C683" s="201">
        <v>3.8</v>
      </c>
      <c r="D683" s="23" t="s">
        <v>59</v>
      </c>
    </row>
    <row r="684">
      <c r="A684" s="202">
        <v>45208.0</v>
      </c>
      <c r="B684" s="23" t="s">
        <v>227</v>
      </c>
      <c r="C684" s="201">
        <v>6.6259999999999994</v>
      </c>
      <c r="D684" s="23" t="s">
        <v>59</v>
      </c>
    </row>
    <row r="685">
      <c r="A685" s="202">
        <v>45208.0</v>
      </c>
      <c r="B685" s="23" t="s">
        <v>248</v>
      </c>
      <c r="C685" s="201">
        <v>5.0</v>
      </c>
      <c r="D685" s="23" t="s">
        <v>62</v>
      </c>
    </row>
    <row r="686">
      <c r="A686" s="202">
        <v>45208.0</v>
      </c>
      <c r="B686" s="23" t="s">
        <v>226</v>
      </c>
      <c r="C686" s="201">
        <v>5.4</v>
      </c>
      <c r="D686" s="23" t="s">
        <v>67</v>
      </c>
    </row>
    <row r="687">
      <c r="A687" s="202">
        <v>45208.0</v>
      </c>
      <c r="B687" s="23" t="s">
        <v>199</v>
      </c>
      <c r="C687" s="201">
        <v>4.484</v>
      </c>
      <c r="D687" s="23" t="s">
        <v>70</v>
      </c>
    </row>
    <row r="688">
      <c r="A688" s="202">
        <v>45208.0</v>
      </c>
      <c r="B688" s="23" t="s">
        <v>119</v>
      </c>
      <c r="C688" s="201">
        <v>6.0</v>
      </c>
      <c r="D688" s="23" t="s">
        <v>58</v>
      </c>
    </row>
    <row r="689">
      <c r="A689" s="202">
        <v>45208.0</v>
      </c>
      <c r="B689" s="23" t="s">
        <v>251</v>
      </c>
      <c r="C689" s="201">
        <v>5.2</v>
      </c>
      <c r="D689" s="23" t="s">
        <v>69</v>
      </c>
    </row>
    <row r="690">
      <c r="A690" s="202">
        <v>45208.0</v>
      </c>
      <c r="B690" s="23" t="s">
        <v>265</v>
      </c>
      <c r="C690" s="201">
        <v>5.6850000000000005</v>
      </c>
      <c r="D690" s="23" t="s">
        <v>125</v>
      </c>
    </row>
    <row r="691">
      <c r="A691" s="202">
        <v>45208.0</v>
      </c>
      <c r="B691" s="23" t="s">
        <v>252</v>
      </c>
      <c r="C691" s="201">
        <v>3.998</v>
      </c>
      <c r="D691" s="23" t="s">
        <v>69</v>
      </c>
    </row>
    <row r="692">
      <c r="A692" s="202">
        <v>45208.0</v>
      </c>
      <c r="B692" s="23" t="s">
        <v>242</v>
      </c>
      <c r="C692" s="201">
        <v>6.199</v>
      </c>
      <c r="D692" s="23" t="s">
        <v>62</v>
      </c>
    </row>
    <row r="693">
      <c r="A693" s="202">
        <v>45208.0</v>
      </c>
      <c r="B693" s="23" t="s">
        <v>191</v>
      </c>
      <c r="C693" s="201">
        <v>7.684</v>
      </c>
      <c r="D693" s="23" t="s">
        <v>70</v>
      </c>
    </row>
    <row r="694">
      <c r="A694" s="202">
        <v>45208.0</v>
      </c>
      <c r="B694" s="23" t="s">
        <v>206</v>
      </c>
      <c r="C694" s="201">
        <v>6.085999999999999</v>
      </c>
      <c r="D694" s="23" t="s">
        <v>57</v>
      </c>
    </row>
    <row r="695">
      <c r="A695" s="202">
        <v>45208.0</v>
      </c>
      <c r="B695" s="23" t="s">
        <v>269</v>
      </c>
      <c r="C695" s="201">
        <v>6.2</v>
      </c>
      <c r="D695" s="23" t="s">
        <v>61</v>
      </c>
    </row>
    <row r="696">
      <c r="A696" s="202">
        <v>45208.0</v>
      </c>
      <c r="B696" s="23" t="s">
        <v>105</v>
      </c>
      <c r="C696" s="201">
        <v>4.199</v>
      </c>
      <c r="D696" s="23" t="s">
        <v>58</v>
      </c>
    </row>
    <row r="697">
      <c r="A697" s="202">
        <v>45208.0</v>
      </c>
      <c r="B697" s="23" t="s">
        <v>187</v>
      </c>
      <c r="C697" s="201">
        <v>8.148</v>
      </c>
      <c r="D697" s="23" t="s">
        <v>46</v>
      </c>
    </row>
    <row r="698">
      <c r="A698" s="202">
        <v>45208.0</v>
      </c>
      <c r="B698" s="23" t="s">
        <v>246</v>
      </c>
      <c r="C698" s="201">
        <v>4.196000000000001</v>
      </c>
      <c r="D698" s="23" t="s">
        <v>62</v>
      </c>
    </row>
    <row r="699">
      <c r="A699" s="202">
        <v>45208.0</v>
      </c>
      <c r="B699" s="23" t="s">
        <v>238</v>
      </c>
      <c r="C699" s="201">
        <v>5.694</v>
      </c>
      <c r="D699" s="23" t="s">
        <v>59</v>
      </c>
    </row>
    <row r="700">
      <c r="A700" s="202">
        <v>45208.0</v>
      </c>
      <c r="B700" s="23" t="s">
        <v>133</v>
      </c>
      <c r="C700" s="201">
        <v>4.792</v>
      </c>
      <c r="D700" s="23" t="s">
        <v>56</v>
      </c>
    </row>
    <row r="701">
      <c r="A701" s="202">
        <v>45208.0</v>
      </c>
      <c r="B701" s="23" t="s">
        <v>127</v>
      </c>
      <c r="C701" s="201">
        <v>5.897</v>
      </c>
      <c r="D701" s="23" t="s">
        <v>56</v>
      </c>
    </row>
    <row r="702">
      <c r="A702" s="202">
        <v>45208.0</v>
      </c>
      <c r="B702" s="23" t="s">
        <v>220</v>
      </c>
      <c r="C702" s="201">
        <v>4.6</v>
      </c>
      <c r="D702" s="23" t="s">
        <v>67</v>
      </c>
    </row>
    <row r="703">
      <c r="A703" s="202">
        <v>45208.0</v>
      </c>
      <c r="B703" s="23" t="s">
        <v>224</v>
      </c>
      <c r="C703" s="201">
        <v>10.780000000000001</v>
      </c>
      <c r="D703" s="23" t="s">
        <v>125</v>
      </c>
    </row>
    <row r="704">
      <c r="A704" s="202">
        <v>45208.0</v>
      </c>
      <c r="B704" s="23" t="s">
        <v>241</v>
      </c>
      <c r="C704" s="201">
        <v>9.37</v>
      </c>
      <c r="D704" s="23" t="s">
        <v>62</v>
      </c>
    </row>
    <row r="705">
      <c r="A705" s="202">
        <v>45208.0</v>
      </c>
      <c r="B705" s="23" t="s">
        <v>63</v>
      </c>
      <c r="C705" s="201">
        <v>11.126</v>
      </c>
      <c r="D705" s="23" t="s">
        <v>35</v>
      </c>
    </row>
    <row r="706">
      <c r="A706" s="202">
        <v>45208.0</v>
      </c>
      <c r="B706" s="23" t="s">
        <v>245</v>
      </c>
      <c r="C706" s="201">
        <v>8.408999999999999</v>
      </c>
      <c r="D706" s="23" t="s">
        <v>62</v>
      </c>
    </row>
    <row r="707">
      <c r="A707" s="202">
        <v>45208.0</v>
      </c>
      <c r="B707" s="23" t="s">
        <v>232</v>
      </c>
      <c r="C707" s="201">
        <v>6.956</v>
      </c>
      <c r="D707" s="23" t="s">
        <v>59</v>
      </c>
    </row>
    <row r="708">
      <c r="A708" s="202">
        <v>45208.0</v>
      </c>
      <c r="B708" s="23" t="s">
        <v>229</v>
      </c>
      <c r="C708" s="201">
        <v>5.298</v>
      </c>
      <c r="D708" s="23" t="s">
        <v>59</v>
      </c>
    </row>
    <row r="709">
      <c r="A709" s="202">
        <v>45208.0</v>
      </c>
      <c r="B709" s="23" t="s">
        <v>173</v>
      </c>
      <c r="C709" s="201">
        <v>4.699</v>
      </c>
      <c r="D709" s="23" t="s">
        <v>60</v>
      </c>
    </row>
    <row r="710">
      <c r="A710" s="202">
        <v>45208.0</v>
      </c>
      <c r="B710" s="23" t="s">
        <v>210</v>
      </c>
      <c r="C710" s="201">
        <v>4.3</v>
      </c>
      <c r="D710" s="23" t="s">
        <v>57</v>
      </c>
    </row>
    <row r="711">
      <c r="A711" s="202">
        <v>45208.0</v>
      </c>
      <c r="B711" s="23" t="s">
        <v>186</v>
      </c>
      <c r="C711" s="201">
        <v>4.3</v>
      </c>
      <c r="D711" s="23" t="s">
        <v>46</v>
      </c>
    </row>
    <row r="712">
      <c r="A712" s="202">
        <v>45208.0</v>
      </c>
      <c r="B712" s="23" t="s">
        <v>195</v>
      </c>
      <c r="C712" s="201">
        <v>3.7</v>
      </c>
      <c r="D712" s="23" t="s">
        <v>70</v>
      </c>
    </row>
    <row r="713">
      <c r="A713" s="202">
        <v>45208.0</v>
      </c>
      <c r="B713" s="23" t="s">
        <v>266</v>
      </c>
      <c r="C713" s="201">
        <v>8.969</v>
      </c>
      <c r="D713" s="23" t="s">
        <v>61</v>
      </c>
    </row>
    <row r="714">
      <c r="A714" s="202">
        <v>45208.0</v>
      </c>
      <c r="B714" s="23" t="s">
        <v>124</v>
      </c>
      <c r="C714" s="201">
        <v>5.399</v>
      </c>
      <c r="D714" s="23" t="s">
        <v>56</v>
      </c>
    </row>
    <row r="715">
      <c r="A715" s="202">
        <v>45208.0</v>
      </c>
      <c r="B715" s="23" t="s">
        <v>262</v>
      </c>
      <c r="C715" s="201">
        <v>9.1</v>
      </c>
      <c r="D715" s="23" t="s">
        <v>125</v>
      </c>
    </row>
    <row r="716">
      <c r="A716" s="202">
        <v>45208.0</v>
      </c>
      <c r="B716" s="23" t="s">
        <v>192</v>
      </c>
      <c r="C716" s="201">
        <v>7.2989999999999995</v>
      </c>
      <c r="D716" s="23" t="s">
        <v>70</v>
      </c>
    </row>
    <row r="717">
      <c r="A717" s="202">
        <v>45208.0</v>
      </c>
      <c r="B717" s="23" t="s">
        <v>74</v>
      </c>
      <c r="C717" s="201">
        <v>7.386</v>
      </c>
      <c r="D717" s="23" t="s">
        <v>35</v>
      </c>
    </row>
    <row r="718">
      <c r="A718" s="202">
        <v>45208.0</v>
      </c>
      <c r="B718" s="23" t="s">
        <v>75</v>
      </c>
      <c r="C718" s="201">
        <v>3.0</v>
      </c>
      <c r="D718" s="23" t="s">
        <v>35</v>
      </c>
    </row>
    <row r="719">
      <c r="A719" s="202">
        <v>45208.0</v>
      </c>
      <c r="B719" s="23" t="s">
        <v>196</v>
      </c>
      <c r="C719" s="201">
        <v>7.2989999999999995</v>
      </c>
      <c r="D719" s="23" t="s">
        <v>70</v>
      </c>
    </row>
    <row r="720">
      <c r="A720" s="202">
        <v>45208.0</v>
      </c>
      <c r="B720" s="23" t="s">
        <v>102</v>
      </c>
      <c r="C720" s="201">
        <v>10.332</v>
      </c>
      <c r="D720" s="23" t="s">
        <v>58</v>
      </c>
    </row>
    <row r="721">
      <c r="A721" s="202">
        <v>45208.0</v>
      </c>
      <c r="B721" s="23" t="s">
        <v>175</v>
      </c>
      <c r="C721" s="201">
        <v>7.723</v>
      </c>
      <c r="D721" s="23" t="s">
        <v>60</v>
      </c>
    </row>
    <row r="722">
      <c r="A722" s="202">
        <v>45208.0</v>
      </c>
      <c r="B722" s="23" t="s">
        <v>250</v>
      </c>
      <c r="C722" s="201">
        <v>5.175</v>
      </c>
      <c r="D722" s="23" t="s">
        <v>69</v>
      </c>
    </row>
    <row r="723">
      <c r="A723" s="202">
        <v>45208.0</v>
      </c>
      <c r="B723" s="23" t="s">
        <v>164</v>
      </c>
      <c r="C723" s="201">
        <v>10.242</v>
      </c>
      <c r="D723" s="23" t="s">
        <v>60</v>
      </c>
    </row>
    <row r="724">
      <c r="A724" s="202">
        <v>45208.0</v>
      </c>
      <c r="B724" s="23" t="s">
        <v>219</v>
      </c>
      <c r="C724" s="201">
        <v>8.360000000000001</v>
      </c>
      <c r="D724" s="23" t="s">
        <v>69</v>
      </c>
    </row>
    <row r="725">
      <c r="A725" s="202">
        <v>45208.0</v>
      </c>
      <c r="B725" s="23" t="s">
        <v>111</v>
      </c>
      <c r="C725" s="201">
        <v>8.043999999999999</v>
      </c>
      <c r="D725" s="23" t="s">
        <v>58</v>
      </c>
    </row>
    <row r="726">
      <c r="A726" s="202">
        <v>45208.0</v>
      </c>
      <c r="B726" s="23" t="s">
        <v>244</v>
      </c>
      <c r="C726" s="201">
        <v>8.494</v>
      </c>
      <c r="D726" s="23" t="s">
        <v>62</v>
      </c>
    </row>
    <row r="727">
      <c r="A727" s="202">
        <v>45208.0</v>
      </c>
      <c r="B727" s="23" t="s">
        <v>118</v>
      </c>
      <c r="C727" s="201">
        <v>8.673</v>
      </c>
      <c r="D727" s="23" t="s">
        <v>58</v>
      </c>
    </row>
    <row r="728">
      <c r="A728" s="202">
        <v>45208.0</v>
      </c>
      <c r="B728" s="23" t="s">
        <v>240</v>
      </c>
      <c r="C728" s="201">
        <v>9.327</v>
      </c>
      <c r="D728" s="23" t="s">
        <v>62</v>
      </c>
    </row>
    <row r="729">
      <c r="A729" s="202">
        <v>45208.0</v>
      </c>
      <c r="B729" s="23" t="s">
        <v>79</v>
      </c>
      <c r="C729" s="201">
        <v>8.371</v>
      </c>
      <c r="D729" s="23" t="s">
        <v>35</v>
      </c>
    </row>
    <row r="730">
      <c r="A730" s="202">
        <v>45208.0</v>
      </c>
      <c r="B730" s="23" t="s">
        <v>178</v>
      </c>
      <c r="C730" s="201">
        <v>4.1</v>
      </c>
      <c r="D730" s="23" t="s">
        <v>60</v>
      </c>
    </row>
    <row r="731">
      <c r="A731" s="202">
        <v>45208.0</v>
      </c>
      <c r="B731" s="23" t="s">
        <v>209</v>
      </c>
      <c r="C731" s="201">
        <v>10.482</v>
      </c>
      <c r="D731" s="23" t="s">
        <v>59</v>
      </c>
    </row>
    <row r="732">
      <c r="A732" s="202">
        <v>45208.0</v>
      </c>
      <c r="B732" s="23" t="s">
        <v>228</v>
      </c>
      <c r="C732" s="201">
        <v>3.794</v>
      </c>
      <c r="D732" s="23" t="s">
        <v>61</v>
      </c>
    </row>
    <row r="733">
      <c r="A733" s="202">
        <v>45208.0</v>
      </c>
      <c r="B733" s="23" t="s">
        <v>116</v>
      </c>
      <c r="C733" s="201">
        <v>5.199</v>
      </c>
      <c r="D733" s="23" t="s">
        <v>58</v>
      </c>
    </row>
    <row r="734">
      <c r="A734" s="202">
        <v>45208.0</v>
      </c>
      <c r="B734" s="23" t="s">
        <v>249</v>
      </c>
      <c r="C734" s="201">
        <v>5.3</v>
      </c>
      <c r="D734" s="23" t="s">
        <v>62</v>
      </c>
    </row>
    <row r="735">
      <c r="A735" s="202">
        <v>45208.0</v>
      </c>
      <c r="B735" s="23" t="s">
        <v>237</v>
      </c>
      <c r="C735" s="201">
        <v>7.397</v>
      </c>
      <c r="D735" s="23" t="s">
        <v>59</v>
      </c>
    </row>
    <row r="736">
      <c r="A736" s="202">
        <v>45208.0</v>
      </c>
      <c r="B736" s="23" t="s">
        <v>234</v>
      </c>
      <c r="C736" s="201">
        <v>4.0</v>
      </c>
      <c r="D736" s="23" t="s">
        <v>59</v>
      </c>
    </row>
    <row r="737">
      <c r="A737" s="202">
        <v>45208.0</v>
      </c>
      <c r="B737" s="23" t="s">
        <v>268</v>
      </c>
      <c r="C737" s="201">
        <v>6.098999999999999</v>
      </c>
      <c r="D737" s="23" t="s">
        <v>61</v>
      </c>
    </row>
    <row r="738">
      <c r="A738" s="202">
        <v>45208.0</v>
      </c>
      <c r="B738" s="23" t="s">
        <v>80</v>
      </c>
      <c r="C738" s="201">
        <v>5.399</v>
      </c>
      <c r="D738" s="23" t="s">
        <v>35</v>
      </c>
    </row>
    <row r="739">
      <c r="A739" s="202">
        <v>45208.0</v>
      </c>
      <c r="B739" s="23" t="s">
        <v>258</v>
      </c>
      <c r="C739" s="201">
        <v>2.2</v>
      </c>
      <c r="D739" s="23" t="s">
        <v>125</v>
      </c>
    </row>
    <row r="740">
      <c r="A740" s="202">
        <v>45208.0</v>
      </c>
      <c r="B740" s="23" t="s">
        <v>88</v>
      </c>
      <c r="C740" s="201">
        <v>4.5</v>
      </c>
      <c r="D740" s="23" t="s">
        <v>35</v>
      </c>
    </row>
    <row r="741">
      <c r="A741" s="202">
        <v>45208.0</v>
      </c>
      <c r="B741" s="23" t="s">
        <v>201</v>
      </c>
      <c r="C741" s="201">
        <v>5.883</v>
      </c>
      <c r="D741" s="23" t="s">
        <v>57</v>
      </c>
    </row>
    <row r="742">
      <c r="A742" s="202">
        <v>45208.0</v>
      </c>
      <c r="B742" s="23" t="s">
        <v>216</v>
      </c>
      <c r="C742" s="201">
        <v>10.282</v>
      </c>
      <c r="D742" s="23" t="s">
        <v>67</v>
      </c>
    </row>
    <row r="743">
      <c r="A743" s="202">
        <v>45208.0</v>
      </c>
      <c r="B743" s="23" t="s">
        <v>221</v>
      </c>
      <c r="C743" s="201">
        <v>3.7</v>
      </c>
      <c r="D743" s="23" t="s">
        <v>67</v>
      </c>
    </row>
    <row r="744">
      <c r="A744" s="202">
        <v>45208.0</v>
      </c>
      <c r="B744" s="23" t="s">
        <v>117</v>
      </c>
      <c r="C744" s="201">
        <v>6.158</v>
      </c>
      <c r="D744" s="23" t="s">
        <v>58</v>
      </c>
    </row>
    <row r="745">
      <c r="A745" s="202">
        <v>45208.0</v>
      </c>
      <c r="B745" s="23" t="s">
        <v>261</v>
      </c>
      <c r="C745" s="201">
        <v>4.5</v>
      </c>
      <c r="D745" s="23" t="s">
        <v>125</v>
      </c>
    </row>
    <row r="746">
      <c r="A746" s="202">
        <v>45208.0</v>
      </c>
      <c r="B746" s="23" t="s">
        <v>128</v>
      </c>
      <c r="C746" s="201">
        <v>8.9</v>
      </c>
      <c r="D746" s="23" t="s">
        <v>56</v>
      </c>
    </row>
    <row r="747">
      <c r="A747" s="202">
        <v>45208.0</v>
      </c>
      <c r="B747" s="23" t="s">
        <v>214</v>
      </c>
      <c r="C747" s="201">
        <v>9.105</v>
      </c>
      <c r="D747" s="23" t="s">
        <v>57</v>
      </c>
    </row>
    <row r="748">
      <c r="A748" s="202">
        <v>45208.0</v>
      </c>
      <c r="B748" s="23" t="s">
        <v>200</v>
      </c>
      <c r="C748" s="201">
        <v>10.779</v>
      </c>
      <c r="D748" s="23" t="s">
        <v>57</v>
      </c>
    </row>
    <row r="749">
      <c r="A749" s="202">
        <v>45208.0</v>
      </c>
      <c r="B749" s="23" t="s">
        <v>179</v>
      </c>
      <c r="C749" s="201">
        <v>11.571</v>
      </c>
      <c r="D749" s="23" t="s">
        <v>60</v>
      </c>
    </row>
    <row r="750">
      <c r="A750" s="202">
        <v>45208.0</v>
      </c>
      <c r="B750" s="23" t="s">
        <v>267</v>
      </c>
      <c r="C750" s="201">
        <v>5.7989999999999995</v>
      </c>
      <c r="D750" s="23" t="s">
        <v>61</v>
      </c>
    </row>
    <row r="751">
      <c r="A751" s="202">
        <v>45208.0</v>
      </c>
      <c r="B751" s="23" t="s">
        <v>270</v>
      </c>
      <c r="C751" s="201">
        <v>4.497</v>
      </c>
      <c r="D751" s="23" t="s">
        <v>61</v>
      </c>
    </row>
    <row r="752">
      <c r="A752" s="202">
        <v>45208.0</v>
      </c>
      <c r="B752" s="23" t="s">
        <v>225</v>
      </c>
      <c r="C752" s="201">
        <v>9.385</v>
      </c>
      <c r="D752" s="23" t="s">
        <v>67</v>
      </c>
    </row>
    <row r="753">
      <c r="A753" s="202">
        <v>45208.0</v>
      </c>
      <c r="B753" s="23" t="s">
        <v>38</v>
      </c>
      <c r="C753" s="201">
        <v>10.722999999999999</v>
      </c>
      <c r="D753" s="23" t="s">
        <v>35</v>
      </c>
    </row>
    <row r="754">
      <c r="A754" s="202">
        <v>45208.0</v>
      </c>
      <c r="B754" s="23" t="s">
        <v>247</v>
      </c>
      <c r="C754" s="201">
        <v>8.655999999999999</v>
      </c>
      <c r="D754" s="23" t="s">
        <v>62</v>
      </c>
    </row>
    <row r="755">
      <c r="A755" s="202">
        <v>45208.0</v>
      </c>
      <c r="B755" s="23" t="s">
        <v>135</v>
      </c>
      <c r="C755" s="201">
        <v>10.487</v>
      </c>
      <c r="D755" s="23" t="s">
        <v>56</v>
      </c>
    </row>
    <row r="756">
      <c r="A756" s="202">
        <v>45208.0</v>
      </c>
      <c r="B756" s="23" t="s">
        <v>256</v>
      </c>
      <c r="C756" s="201">
        <v>3.2</v>
      </c>
      <c r="D756" s="23" t="s">
        <v>69</v>
      </c>
    </row>
    <row r="757">
      <c r="A757" s="202">
        <v>45208.0</v>
      </c>
      <c r="B757" s="23" t="s">
        <v>222</v>
      </c>
      <c r="C757" s="201">
        <v>4.5</v>
      </c>
      <c r="D757" s="23" t="s">
        <v>67</v>
      </c>
    </row>
    <row r="758">
      <c r="A758" s="202">
        <v>45208.0</v>
      </c>
      <c r="B758" s="23" t="s">
        <v>263</v>
      </c>
      <c r="C758" s="201">
        <v>5.397</v>
      </c>
      <c r="D758" s="23" t="s">
        <v>125</v>
      </c>
    </row>
    <row r="759">
      <c r="A759" s="202">
        <v>45208.0</v>
      </c>
      <c r="B759" s="23" t="s">
        <v>185</v>
      </c>
      <c r="C759" s="201">
        <v>6.1</v>
      </c>
      <c r="D759" s="23" t="s">
        <v>46</v>
      </c>
    </row>
    <row r="760">
      <c r="A760" s="202">
        <v>45208.0</v>
      </c>
      <c r="B760" s="23" t="s">
        <v>190</v>
      </c>
      <c r="C760" s="201">
        <v>4.6</v>
      </c>
      <c r="D760" s="23" t="s">
        <v>70</v>
      </c>
    </row>
    <row r="761">
      <c r="A761" s="202">
        <v>45208.0</v>
      </c>
      <c r="B761" s="23" t="s">
        <v>129</v>
      </c>
      <c r="C761" s="201">
        <v>4.098999999999999</v>
      </c>
      <c r="D761" s="23" t="s">
        <v>56</v>
      </c>
    </row>
    <row r="762">
      <c r="A762" s="202">
        <v>45208.0</v>
      </c>
      <c r="B762" s="23" t="s">
        <v>139</v>
      </c>
      <c r="C762" s="201">
        <v>8.889000000000001</v>
      </c>
      <c r="D762" s="23" t="s">
        <v>60</v>
      </c>
    </row>
    <row r="763">
      <c r="A763" s="202">
        <v>45208.0</v>
      </c>
      <c r="B763" s="23" t="s">
        <v>205</v>
      </c>
      <c r="C763" s="201">
        <v>6.963</v>
      </c>
      <c r="D763" s="23" t="s">
        <v>67</v>
      </c>
    </row>
    <row r="764">
      <c r="A764" s="202">
        <v>45208.0</v>
      </c>
      <c r="B764" s="23" t="s">
        <v>184</v>
      </c>
      <c r="C764" s="201">
        <v>5.8</v>
      </c>
      <c r="D764" s="23" t="s">
        <v>46</v>
      </c>
    </row>
    <row r="765">
      <c r="A765" s="202">
        <v>45208.0</v>
      </c>
      <c r="B765" s="23" t="s">
        <v>253</v>
      </c>
      <c r="C765" s="201">
        <v>5.992</v>
      </c>
      <c r="D765" s="23" t="s">
        <v>69</v>
      </c>
    </row>
    <row r="766">
      <c r="A766" s="202">
        <v>45208.0</v>
      </c>
      <c r="B766" s="23" t="s">
        <v>197</v>
      </c>
      <c r="C766" s="201">
        <v>2.5</v>
      </c>
      <c r="D766" s="23" t="s">
        <v>70</v>
      </c>
    </row>
    <row r="767">
      <c r="A767" s="202">
        <v>45208.0</v>
      </c>
      <c r="B767" s="23" t="s">
        <v>193</v>
      </c>
      <c r="C767" s="201">
        <v>1.8</v>
      </c>
      <c r="D767" s="23" t="s">
        <v>70</v>
      </c>
    </row>
    <row r="768">
      <c r="A768" s="202">
        <v>45208.0</v>
      </c>
      <c r="B768" s="23" t="s">
        <v>130</v>
      </c>
      <c r="C768" s="201">
        <v>7.898000000000001</v>
      </c>
      <c r="D768" s="23" t="s">
        <v>56</v>
      </c>
    </row>
    <row r="769">
      <c r="A769" s="202">
        <v>45208.0</v>
      </c>
      <c r="B769" s="23" t="s">
        <v>223</v>
      </c>
      <c r="C769" s="201">
        <v>5.598999999999999</v>
      </c>
      <c r="D769" s="23" t="s">
        <v>67</v>
      </c>
    </row>
    <row r="770">
      <c r="A770" s="202">
        <v>45208.0</v>
      </c>
      <c r="B770" s="23" t="s">
        <v>81</v>
      </c>
      <c r="C770" s="201">
        <v>3.5</v>
      </c>
      <c r="D770" s="23" t="s">
        <v>35</v>
      </c>
    </row>
    <row r="771">
      <c r="A771" s="202">
        <v>45208.0</v>
      </c>
      <c r="B771" s="23" t="s">
        <v>233</v>
      </c>
      <c r="C771" s="201">
        <v>8.281</v>
      </c>
      <c r="D771" s="23" t="s">
        <v>61</v>
      </c>
    </row>
    <row r="772">
      <c r="A772" s="202">
        <v>45208.0</v>
      </c>
      <c r="B772" s="23" t="s">
        <v>264</v>
      </c>
      <c r="C772" s="201">
        <v>7.893000000000001</v>
      </c>
      <c r="D772" s="23" t="s">
        <v>125</v>
      </c>
    </row>
    <row r="773">
      <c r="A773" s="202">
        <v>45208.0</v>
      </c>
      <c r="B773" s="23" t="s">
        <v>239</v>
      </c>
      <c r="C773" s="201">
        <v>10.264999999999999</v>
      </c>
      <c r="D773" s="23" t="s">
        <v>125</v>
      </c>
    </row>
    <row r="774">
      <c r="A774" s="202">
        <v>45208.0</v>
      </c>
      <c r="B774" s="23" t="s">
        <v>126</v>
      </c>
      <c r="C774" s="201">
        <v>7.256</v>
      </c>
      <c r="D774" s="23" t="s">
        <v>56</v>
      </c>
    </row>
    <row r="775">
      <c r="A775" s="202">
        <v>45208.0</v>
      </c>
      <c r="B775" s="23" t="s">
        <v>188</v>
      </c>
      <c r="C775" s="201">
        <v>6.092</v>
      </c>
      <c r="D775" s="23" t="s">
        <v>46</v>
      </c>
    </row>
    <row r="776">
      <c r="A776" s="202">
        <v>45208.0</v>
      </c>
      <c r="B776" s="23" t="s">
        <v>120</v>
      </c>
      <c r="C776" s="201">
        <v>9.450000000000001</v>
      </c>
      <c r="D776" s="23" t="s">
        <v>56</v>
      </c>
    </row>
    <row r="777">
      <c r="A777" s="202">
        <v>45208.0</v>
      </c>
      <c r="B777" s="23" t="s">
        <v>181</v>
      </c>
      <c r="C777" s="201">
        <v>8.074</v>
      </c>
      <c r="D777" s="23" t="s">
        <v>46</v>
      </c>
    </row>
    <row r="778">
      <c r="A778" s="202">
        <v>45208.0</v>
      </c>
      <c r="B778" s="23" t="s">
        <v>182</v>
      </c>
      <c r="C778" s="201">
        <v>9.236</v>
      </c>
      <c r="D778" s="23" t="s">
        <v>46</v>
      </c>
    </row>
    <row r="779">
      <c r="A779" s="202">
        <v>45208.0</v>
      </c>
      <c r="B779" s="23" t="s">
        <v>207</v>
      </c>
      <c r="C779" s="201">
        <v>5.696000000000001</v>
      </c>
      <c r="D779" s="23" t="s">
        <v>57</v>
      </c>
    </row>
    <row r="780">
      <c r="A780" s="202">
        <v>45208.0</v>
      </c>
      <c r="B780" s="23" t="s">
        <v>271</v>
      </c>
      <c r="C780" s="201">
        <v>5.585</v>
      </c>
      <c r="D780" s="23" t="s">
        <v>61</v>
      </c>
    </row>
    <row r="781">
      <c r="A781" s="202">
        <v>45208.0</v>
      </c>
      <c r="B781" s="23" t="s">
        <v>257</v>
      </c>
      <c r="C781" s="201">
        <v>5.9</v>
      </c>
      <c r="D781" s="23" t="s">
        <v>69</v>
      </c>
    </row>
    <row r="782">
      <c r="A782" s="202">
        <v>45208.0</v>
      </c>
      <c r="B782" s="23" t="s">
        <v>109</v>
      </c>
      <c r="C782" s="201">
        <v>8.291</v>
      </c>
      <c r="D782" s="23" t="s">
        <v>58</v>
      </c>
    </row>
    <row r="783">
      <c r="A783" s="202">
        <v>45208.0</v>
      </c>
      <c r="B783" s="23" t="s">
        <v>236</v>
      </c>
      <c r="C783" s="201">
        <v>3.4</v>
      </c>
      <c r="D783" s="23" t="s">
        <v>59</v>
      </c>
    </row>
    <row r="784">
      <c r="A784" s="202">
        <v>45208.0</v>
      </c>
      <c r="B784" s="23" t="s">
        <v>218</v>
      </c>
      <c r="C784" s="201">
        <v>3.2</v>
      </c>
      <c r="D784" s="23" t="s">
        <v>67</v>
      </c>
    </row>
    <row r="785">
      <c r="A785" s="202">
        <v>45208.0</v>
      </c>
      <c r="B785" s="23" t="s">
        <v>176</v>
      </c>
      <c r="C785" s="201">
        <v>2.6</v>
      </c>
      <c r="D785" s="23" t="s">
        <v>60</v>
      </c>
    </row>
    <row r="786">
      <c r="A786" s="202">
        <v>45208.0</v>
      </c>
      <c r="B786" s="23" t="s">
        <v>202</v>
      </c>
      <c r="C786" s="201">
        <v>7.663</v>
      </c>
      <c r="D786" s="23" t="s">
        <v>57</v>
      </c>
    </row>
    <row r="787">
      <c r="A787" s="202">
        <v>45208.0</v>
      </c>
      <c r="B787" s="23" t="s">
        <v>204</v>
      </c>
      <c r="C787" s="201">
        <v>9.503</v>
      </c>
      <c r="D787" s="23" t="s">
        <v>57</v>
      </c>
    </row>
    <row r="788">
      <c r="A788" s="202">
        <v>45208.0</v>
      </c>
      <c r="B788" s="23" t="s">
        <v>273</v>
      </c>
      <c r="C788" s="201">
        <v>6.474</v>
      </c>
      <c r="D788" s="23" t="s">
        <v>61</v>
      </c>
    </row>
    <row r="789">
      <c r="A789" s="202">
        <v>45208.0</v>
      </c>
      <c r="B789" s="23" t="s">
        <v>231</v>
      </c>
      <c r="C789" s="201">
        <v>7.689</v>
      </c>
      <c r="D789" s="23" t="s">
        <v>59</v>
      </c>
    </row>
    <row r="790">
      <c r="A790" s="202">
        <v>45208.0</v>
      </c>
      <c r="B790" s="23" t="s">
        <v>194</v>
      </c>
      <c r="C790" s="201">
        <v>2.998</v>
      </c>
      <c r="D790" s="23" t="s">
        <v>70</v>
      </c>
    </row>
    <row r="791">
      <c r="A791" s="202">
        <v>45208.0</v>
      </c>
      <c r="B791" s="23" t="s">
        <v>198</v>
      </c>
      <c r="C791" s="201">
        <v>6.345000000000001</v>
      </c>
      <c r="D791" s="23" t="s">
        <v>70</v>
      </c>
    </row>
    <row r="792">
      <c r="A792" s="202">
        <v>45208.0</v>
      </c>
      <c r="B792" s="23" t="s">
        <v>277</v>
      </c>
      <c r="C792" s="201">
        <v>2.4</v>
      </c>
      <c r="D792" s="23" t="s">
        <v>274</v>
      </c>
    </row>
    <row r="793">
      <c r="A793" s="202">
        <v>45208.0</v>
      </c>
      <c r="B793" s="23" t="s">
        <v>275</v>
      </c>
      <c r="C793" s="201">
        <v>2.1</v>
      </c>
      <c r="D793" s="23" t="s">
        <v>274</v>
      </c>
    </row>
    <row r="794">
      <c r="A794" s="202">
        <v>45208.0</v>
      </c>
      <c r="B794" s="23" t="s">
        <v>113</v>
      </c>
      <c r="C794" s="201">
        <v>4.499</v>
      </c>
      <c r="D794" s="23" t="s">
        <v>58</v>
      </c>
    </row>
    <row r="795">
      <c r="A795" s="202">
        <v>45208.0</v>
      </c>
      <c r="B795" s="23" t="s">
        <v>208</v>
      </c>
      <c r="C795" s="201">
        <v>5.2</v>
      </c>
      <c r="D795" s="23" t="s">
        <v>57</v>
      </c>
    </row>
    <row r="796">
      <c r="A796" s="202">
        <v>45208.0</v>
      </c>
      <c r="B796" s="23" t="s">
        <v>180</v>
      </c>
      <c r="C796" s="201">
        <v>10.142</v>
      </c>
      <c r="D796" s="23" t="s">
        <v>46</v>
      </c>
    </row>
    <row r="797">
      <c r="A797" s="202">
        <v>45208.0</v>
      </c>
      <c r="B797" s="23" t="s">
        <v>259</v>
      </c>
      <c r="C797" s="201">
        <v>7.696000000000001</v>
      </c>
      <c r="D797" s="23" t="s">
        <v>125</v>
      </c>
    </row>
    <row r="798">
      <c r="A798" s="202">
        <v>45208.0</v>
      </c>
      <c r="B798" s="23" t="s">
        <v>276</v>
      </c>
      <c r="C798" s="201">
        <v>7.392</v>
      </c>
      <c r="D798" s="23" t="s">
        <v>274</v>
      </c>
    </row>
    <row r="799">
      <c r="A799" s="202">
        <v>45208.0</v>
      </c>
      <c r="B799" s="23" t="s">
        <v>215</v>
      </c>
      <c r="C799" s="201">
        <v>8.217</v>
      </c>
      <c r="D799" s="23" t="s">
        <v>62</v>
      </c>
    </row>
    <row r="800">
      <c r="A800" s="202">
        <v>45208.0</v>
      </c>
      <c r="B800" s="23" t="s">
        <v>272</v>
      </c>
      <c r="C800" s="201">
        <v>4.198</v>
      </c>
      <c r="D800" s="23" t="s">
        <v>61</v>
      </c>
    </row>
    <row r="801">
      <c r="A801" s="202">
        <v>45208.0</v>
      </c>
      <c r="B801" s="23" t="s">
        <v>255</v>
      </c>
      <c r="C801" s="201">
        <v>8.792</v>
      </c>
      <c r="D801" s="23" t="s">
        <v>69</v>
      </c>
    </row>
    <row r="802">
      <c r="A802" s="202">
        <v>45208.0</v>
      </c>
      <c r="B802" t="s">
        <v>183</v>
      </c>
      <c r="C802" s="23">
        <v>8.757</v>
      </c>
      <c r="D802" t="s">
        <v>46</v>
      </c>
    </row>
    <row r="803">
      <c r="A803" s="202">
        <v>45208.0</v>
      </c>
      <c r="B803" t="s">
        <v>78</v>
      </c>
      <c r="C803" s="23">
        <v>3.8</v>
      </c>
      <c r="D803" t="s">
        <v>35</v>
      </c>
    </row>
    <row r="804">
      <c r="A804" s="202">
        <v>45208.0</v>
      </c>
      <c r="B804" t="s">
        <v>260</v>
      </c>
      <c r="C804" s="23">
        <v>8.0</v>
      </c>
      <c r="D804" t="s">
        <v>125</v>
      </c>
    </row>
    <row r="805">
      <c r="A805" s="23" t="s">
        <v>680</v>
      </c>
      <c r="B805" s="23" t="s">
        <v>3</v>
      </c>
      <c r="C805" s="23" t="s">
        <v>279</v>
      </c>
      <c r="D805" s="23" t="s">
        <v>280</v>
      </c>
    </row>
    <row r="806">
      <c r="A806" s="202">
        <v>45215.0</v>
      </c>
      <c r="B806" s="23" t="s">
        <v>243</v>
      </c>
      <c r="C806" s="201">
        <v>10.545</v>
      </c>
      <c r="D806" s="23" t="s">
        <v>69</v>
      </c>
    </row>
    <row r="807">
      <c r="A807" s="202">
        <v>45215.0</v>
      </c>
      <c r="B807" s="23" t="s">
        <v>189</v>
      </c>
      <c r="C807" s="201">
        <v>2.3</v>
      </c>
      <c r="D807" s="23" t="s">
        <v>46</v>
      </c>
    </row>
    <row r="808">
      <c r="A808" s="202">
        <v>45215.0</v>
      </c>
      <c r="B808" s="23" t="s">
        <v>137</v>
      </c>
      <c r="C808" s="201">
        <v>10.174999999999999</v>
      </c>
      <c r="D808" s="23" t="s">
        <v>60</v>
      </c>
    </row>
    <row r="809">
      <c r="A809" s="202">
        <v>45215.0</v>
      </c>
      <c r="B809" s="23" t="s">
        <v>71</v>
      </c>
      <c r="C809" s="201">
        <v>6.24</v>
      </c>
      <c r="D809" s="23" t="s">
        <v>35</v>
      </c>
    </row>
    <row r="810">
      <c r="A810" s="202">
        <v>45215.0</v>
      </c>
      <c r="B810" s="23" t="s">
        <v>174</v>
      </c>
      <c r="C810" s="201">
        <v>1.8</v>
      </c>
      <c r="D810" s="23" t="s">
        <v>60</v>
      </c>
    </row>
    <row r="811">
      <c r="A811" s="202">
        <v>45215.0</v>
      </c>
      <c r="B811" s="23" t="s">
        <v>217</v>
      </c>
      <c r="C811" s="201">
        <v>6.997</v>
      </c>
      <c r="D811" s="23" t="s">
        <v>67</v>
      </c>
    </row>
    <row r="812">
      <c r="A812" s="202">
        <v>45215.0</v>
      </c>
      <c r="B812" s="23" t="s">
        <v>213</v>
      </c>
      <c r="C812" s="201">
        <v>5.3</v>
      </c>
      <c r="D812" s="23" t="s">
        <v>57</v>
      </c>
    </row>
    <row r="813">
      <c r="A813" s="202">
        <v>45215.0</v>
      </c>
      <c r="B813" s="23" t="s">
        <v>254</v>
      </c>
      <c r="C813" s="201">
        <v>4.598999999999999</v>
      </c>
      <c r="D813" s="23" t="s">
        <v>69</v>
      </c>
    </row>
    <row r="814">
      <c r="A814" s="202">
        <v>45215.0</v>
      </c>
      <c r="B814" s="23" t="s">
        <v>123</v>
      </c>
      <c r="C814" s="201">
        <v>5.0</v>
      </c>
      <c r="D814" s="23" t="s">
        <v>56</v>
      </c>
    </row>
    <row r="815">
      <c r="A815" s="202">
        <v>45215.0</v>
      </c>
      <c r="B815" s="23" t="s">
        <v>112</v>
      </c>
      <c r="C815" s="201">
        <v>6.1</v>
      </c>
      <c r="D815" s="23" t="s">
        <v>58</v>
      </c>
    </row>
    <row r="816">
      <c r="A816" s="202">
        <v>45215.0</v>
      </c>
      <c r="B816" s="23" t="s">
        <v>177</v>
      </c>
      <c r="C816" s="201">
        <v>2.8</v>
      </c>
      <c r="D816" s="23" t="s">
        <v>60</v>
      </c>
    </row>
    <row r="817">
      <c r="A817" s="202">
        <v>45215.0</v>
      </c>
      <c r="B817" s="23" t="s">
        <v>230</v>
      </c>
      <c r="C817" s="201">
        <v>3.6</v>
      </c>
      <c r="D817" s="23" t="s">
        <v>59</v>
      </c>
    </row>
    <row r="818">
      <c r="A818" s="202">
        <v>45215.0</v>
      </c>
      <c r="B818" s="23" t="s">
        <v>227</v>
      </c>
      <c r="C818" s="201">
        <v>5.822</v>
      </c>
      <c r="D818" s="23" t="s">
        <v>59</v>
      </c>
    </row>
    <row r="819">
      <c r="A819" s="202">
        <v>45215.0</v>
      </c>
      <c r="B819" s="23" t="s">
        <v>248</v>
      </c>
      <c r="C819" s="201">
        <v>5.0</v>
      </c>
      <c r="D819" s="23" t="s">
        <v>62</v>
      </c>
    </row>
    <row r="820">
      <c r="A820" s="202">
        <v>45215.0</v>
      </c>
      <c r="B820" s="23" t="s">
        <v>226</v>
      </c>
      <c r="C820" s="201">
        <v>6.098999999999999</v>
      </c>
      <c r="D820" s="23" t="s">
        <v>67</v>
      </c>
    </row>
    <row r="821">
      <c r="A821" s="202">
        <v>45215.0</v>
      </c>
      <c r="B821" s="23" t="s">
        <v>199</v>
      </c>
      <c r="C821" s="201">
        <v>3.794</v>
      </c>
      <c r="D821" s="23" t="s">
        <v>70</v>
      </c>
    </row>
    <row r="822">
      <c r="A822" s="202">
        <v>45215.0</v>
      </c>
      <c r="B822" s="23" t="s">
        <v>119</v>
      </c>
      <c r="C822" s="201">
        <v>5.4</v>
      </c>
      <c r="D822" s="23" t="s">
        <v>58</v>
      </c>
    </row>
    <row r="823">
      <c r="A823" s="202">
        <v>45215.0</v>
      </c>
      <c r="B823" s="23" t="s">
        <v>251</v>
      </c>
      <c r="C823" s="201">
        <v>5.0</v>
      </c>
      <c r="D823" s="23" t="s">
        <v>69</v>
      </c>
    </row>
    <row r="824">
      <c r="A824" s="202">
        <v>45215.0</v>
      </c>
      <c r="B824" s="23" t="s">
        <v>265</v>
      </c>
      <c r="C824" s="201">
        <v>5.8870000000000005</v>
      </c>
      <c r="D824" s="23" t="s">
        <v>125</v>
      </c>
    </row>
    <row r="825">
      <c r="A825" s="202">
        <v>45215.0</v>
      </c>
      <c r="B825" s="23" t="s">
        <v>252</v>
      </c>
      <c r="C825" s="201">
        <v>3.0</v>
      </c>
      <c r="D825" s="23" t="s">
        <v>69</v>
      </c>
    </row>
    <row r="826">
      <c r="A826" s="202">
        <v>45215.0</v>
      </c>
      <c r="B826" s="23" t="s">
        <v>242</v>
      </c>
      <c r="C826" s="201">
        <v>5.2</v>
      </c>
      <c r="D826" s="23" t="s">
        <v>62</v>
      </c>
    </row>
    <row r="827">
      <c r="A827" s="202">
        <v>45215.0</v>
      </c>
      <c r="B827" s="23" t="s">
        <v>191</v>
      </c>
      <c r="C827" s="201">
        <v>7.889</v>
      </c>
      <c r="D827" s="23" t="s">
        <v>70</v>
      </c>
    </row>
    <row r="828">
      <c r="A828" s="202">
        <v>45215.0</v>
      </c>
      <c r="B828" s="23" t="s">
        <v>206</v>
      </c>
      <c r="C828" s="201">
        <v>6.86</v>
      </c>
      <c r="D828" s="23" t="s">
        <v>57</v>
      </c>
    </row>
    <row r="829">
      <c r="A829" s="202">
        <v>45215.0</v>
      </c>
      <c r="B829" s="23" t="s">
        <v>269</v>
      </c>
      <c r="C829" s="201">
        <v>5.2</v>
      </c>
      <c r="D829" s="23" t="s">
        <v>61</v>
      </c>
    </row>
    <row r="830">
      <c r="A830" s="202">
        <v>45215.0</v>
      </c>
      <c r="B830" s="23" t="s">
        <v>105</v>
      </c>
      <c r="C830" s="201">
        <v>5.098</v>
      </c>
      <c r="D830" s="23" t="s">
        <v>58</v>
      </c>
    </row>
    <row r="831">
      <c r="A831" s="202">
        <v>45215.0</v>
      </c>
      <c r="B831" s="23" t="s">
        <v>187</v>
      </c>
      <c r="C831" s="201">
        <v>8.529</v>
      </c>
      <c r="D831" s="23" t="s">
        <v>46</v>
      </c>
    </row>
    <row r="832">
      <c r="A832" s="202">
        <v>45215.0</v>
      </c>
      <c r="B832" s="23" t="s">
        <v>246</v>
      </c>
      <c r="C832" s="201">
        <v>3.6</v>
      </c>
      <c r="D832" s="23" t="s">
        <v>62</v>
      </c>
    </row>
    <row r="833">
      <c r="A833" s="202">
        <v>45215.0</v>
      </c>
      <c r="B833" s="23" t="s">
        <v>238</v>
      </c>
      <c r="C833" s="201">
        <v>6.093999999999999</v>
      </c>
      <c r="D833" s="23" t="s">
        <v>59</v>
      </c>
    </row>
    <row r="834">
      <c r="A834" s="202">
        <v>45215.0</v>
      </c>
      <c r="B834" s="23" t="s">
        <v>133</v>
      </c>
      <c r="C834" s="201">
        <v>6.356000000000001</v>
      </c>
      <c r="D834" s="23" t="s">
        <v>56</v>
      </c>
    </row>
    <row r="835">
      <c r="A835" s="202">
        <v>45215.0</v>
      </c>
      <c r="B835" s="23" t="s">
        <v>127</v>
      </c>
      <c r="C835" s="201">
        <v>6.3950000000000005</v>
      </c>
      <c r="D835" s="23" t="s">
        <v>56</v>
      </c>
    </row>
    <row r="836">
      <c r="A836" s="202">
        <v>45215.0</v>
      </c>
      <c r="B836" s="23" t="s">
        <v>220</v>
      </c>
      <c r="C836" s="201">
        <v>4.0</v>
      </c>
      <c r="D836" s="23" t="s">
        <v>67</v>
      </c>
    </row>
    <row r="837">
      <c r="A837" s="202">
        <v>45215.0</v>
      </c>
      <c r="B837" s="23" t="s">
        <v>224</v>
      </c>
      <c r="C837" s="201">
        <v>11.168000000000001</v>
      </c>
      <c r="D837" s="23" t="s">
        <v>125</v>
      </c>
    </row>
    <row r="838">
      <c r="A838" s="202">
        <v>45215.0</v>
      </c>
      <c r="B838" s="23" t="s">
        <v>241</v>
      </c>
      <c r="C838" s="201">
        <v>9.715</v>
      </c>
      <c r="D838" s="23" t="s">
        <v>62</v>
      </c>
    </row>
    <row r="839">
      <c r="A839" s="202">
        <v>45215.0</v>
      </c>
      <c r="B839" s="23" t="s">
        <v>63</v>
      </c>
      <c r="C839" s="201">
        <v>10.979000000000001</v>
      </c>
      <c r="D839" s="23" t="s">
        <v>35</v>
      </c>
    </row>
    <row r="840">
      <c r="A840" s="202">
        <v>45215.0</v>
      </c>
      <c r="B840" s="23" t="s">
        <v>245</v>
      </c>
      <c r="C840" s="201">
        <v>7.598</v>
      </c>
      <c r="D840" s="23" t="s">
        <v>62</v>
      </c>
    </row>
    <row r="841">
      <c r="A841" s="202">
        <v>45215.0</v>
      </c>
      <c r="B841" s="23" t="s">
        <v>232</v>
      </c>
      <c r="C841" s="201">
        <v>7.767</v>
      </c>
      <c r="D841" s="23" t="s">
        <v>59</v>
      </c>
    </row>
    <row r="842">
      <c r="A842" s="202">
        <v>45215.0</v>
      </c>
      <c r="B842" s="23" t="s">
        <v>229</v>
      </c>
      <c r="C842" s="201">
        <v>5.199</v>
      </c>
      <c r="D842" s="23" t="s">
        <v>59</v>
      </c>
    </row>
    <row r="843">
      <c r="A843" s="202">
        <v>45215.0</v>
      </c>
      <c r="B843" s="23" t="s">
        <v>173</v>
      </c>
      <c r="C843" s="201">
        <v>4.2</v>
      </c>
      <c r="D843" s="23" t="s">
        <v>60</v>
      </c>
    </row>
    <row r="844">
      <c r="A844" s="202">
        <v>45215.0</v>
      </c>
      <c r="B844" s="23" t="s">
        <v>210</v>
      </c>
      <c r="C844" s="201">
        <v>4.9</v>
      </c>
      <c r="D844" s="23" t="s">
        <v>57</v>
      </c>
    </row>
    <row r="845">
      <c r="A845" s="202">
        <v>45215.0</v>
      </c>
      <c r="B845" s="23" t="s">
        <v>186</v>
      </c>
      <c r="C845" s="201">
        <v>5.499</v>
      </c>
      <c r="D845" s="23" t="s">
        <v>46</v>
      </c>
    </row>
    <row r="846">
      <c r="A846" s="202">
        <v>45215.0</v>
      </c>
      <c r="B846" s="23" t="s">
        <v>195</v>
      </c>
      <c r="C846" s="201">
        <v>3.5</v>
      </c>
      <c r="D846" s="23" t="s">
        <v>70</v>
      </c>
    </row>
    <row r="847">
      <c r="A847" s="202">
        <v>45215.0</v>
      </c>
      <c r="B847" s="23" t="s">
        <v>266</v>
      </c>
      <c r="C847" s="201">
        <v>9.722000000000001</v>
      </c>
      <c r="D847" s="23" t="s">
        <v>61</v>
      </c>
    </row>
    <row r="848">
      <c r="A848" s="202">
        <v>45215.0</v>
      </c>
      <c r="B848" s="23" t="s">
        <v>124</v>
      </c>
      <c r="C848" s="201">
        <v>6.293</v>
      </c>
      <c r="D848" s="23" t="s">
        <v>56</v>
      </c>
    </row>
    <row r="849">
      <c r="A849" s="202">
        <v>45215.0</v>
      </c>
      <c r="B849" s="23" t="s">
        <v>262</v>
      </c>
      <c r="C849" s="201">
        <v>10.1</v>
      </c>
      <c r="D849" s="23" t="s">
        <v>125</v>
      </c>
    </row>
    <row r="850">
      <c r="A850" s="202">
        <v>45215.0</v>
      </c>
      <c r="B850" s="23" t="s">
        <v>192</v>
      </c>
      <c r="C850" s="201">
        <v>6.7</v>
      </c>
      <c r="D850" s="23" t="s">
        <v>70</v>
      </c>
    </row>
    <row r="851">
      <c r="A851" s="202">
        <v>45215.0</v>
      </c>
      <c r="B851" s="23" t="s">
        <v>74</v>
      </c>
      <c r="C851" s="201">
        <v>8.161</v>
      </c>
      <c r="D851" s="23" t="s">
        <v>35</v>
      </c>
    </row>
    <row r="852">
      <c r="A852" s="202">
        <v>45215.0</v>
      </c>
      <c r="B852" s="23" t="s">
        <v>75</v>
      </c>
      <c r="C852" s="201">
        <v>2.6</v>
      </c>
      <c r="D852" s="23" t="s">
        <v>35</v>
      </c>
    </row>
    <row r="853">
      <c r="A853" s="202">
        <v>45215.0</v>
      </c>
      <c r="B853" s="23" t="s">
        <v>196</v>
      </c>
      <c r="C853" s="201">
        <v>6.6</v>
      </c>
      <c r="D853" s="23" t="s">
        <v>70</v>
      </c>
    </row>
    <row r="854">
      <c r="A854" s="202">
        <v>45215.0</v>
      </c>
      <c r="B854" s="23" t="s">
        <v>102</v>
      </c>
      <c r="C854" s="201">
        <v>10.854</v>
      </c>
      <c r="D854" s="23" t="s">
        <v>58</v>
      </c>
    </row>
    <row r="855">
      <c r="A855" s="202">
        <v>45215.0</v>
      </c>
      <c r="B855" s="23" t="s">
        <v>175</v>
      </c>
      <c r="C855" s="201">
        <v>7.542</v>
      </c>
      <c r="D855" s="23" t="s">
        <v>60</v>
      </c>
    </row>
    <row r="856">
      <c r="A856" s="202">
        <v>45215.0</v>
      </c>
      <c r="B856" s="23" t="s">
        <v>250</v>
      </c>
      <c r="C856" s="201">
        <v>4.6930000000000005</v>
      </c>
      <c r="D856" s="23" t="s">
        <v>69</v>
      </c>
    </row>
    <row r="857">
      <c r="A857" s="202">
        <v>45215.0</v>
      </c>
      <c r="B857" s="23" t="s">
        <v>164</v>
      </c>
      <c r="C857" s="201">
        <v>9.266</v>
      </c>
      <c r="D857" s="23" t="s">
        <v>60</v>
      </c>
    </row>
    <row r="858">
      <c r="A858" s="202">
        <v>45215.0</v>
      </c>
      <c r="B858" s="23" t="s">
        <v>219</v>
      </c>
      <c r="C858" s="201">
        <v>8.716000000000001</v>
      </c>
      <c r="D858" s="23" t="s">
        <v>69</v>
      </c>
    </row>
    <row r="859">
      <c r="A859" s="202">
        <v>45215.0</v>
      </c>
      <c r="B859" s="23" t="s">
        <v>111</v>
      </c>
      <c r="C859" s="201">
        <v>7.237</v>
      </c>
      <c r="D859" s="23" t="s">
        <v>58</v>
      </c>
    </row>
    <row r="860">
      <c r="A860" s="202">
        <v>45215.0</v>
      </c>
      <c r="B860" s="23" t="s">
        <v>244</v>
      </c>
      <c r="C860" s="201">
        <v>7.5</v>
      </c>
      <c r="D860" s="23" t="s">
        <v>62</v>
      </c>
    </row>
    <row r="861">
      <c r="A861" s="202">
        <v>45215.0</v>
      </c>
      <c r="B861" s="23" t="s">
        <v>118</v>
      </c>
      <c r="C861" s="201">
        <v>8.263</v>
      </c>
      <c r="D861" s="23" t="s">
        <v>58</v>
      </c>
    </row>
    <row r="862">
      <c r="A862" s="202">
        <v>45215.0</v>
      </c>
      <c r="B862" s="23" t="s">
        <v>240</v>
      </c>
      <c r="C862" s="201">
        <v>9.667</v>
      </c>
      <c r="D862" s="23" t="s">
        <v>62</v>
      </c>
    </row>
    <row r="863">
      <c r="A863" s="202">
        <v>45215.0</v>
      </c>
      <c r="B863" s="23" t="s">
        <v>79</v>
      </c>
      <c r="C863" s="201">
        <v>7.8950000000000005</v>
      </c>
      <c r="D863" s="23" t="s">
        <v>35</v>
      </c>
    </row>
    <row r="864">
      <c r="A864" s="202">
        <v>45215.0</v>
      </c>
      <c r="B864" s="23" t="s">
        <v>178</v>
      </c>
      <c r="C864" s="201">
        <v>3.8</v>
      </c>
      <c r="D864" s="23" t="s">
        <v>60</v>
      </c>
    </row>
    <row r="865">
      <c r="A865" s="202">
        <v>45215.0</v>
      </c>
      <c r="B865" s="23" t="s">
        <v>209</v>
      </c>
      <c r="C865" s="201">
        <v>10.57</v>
      </c>
      <c r="D865" s="23" t="s">
        <v>59</v>
      </c>
    </row>
    <row r="866">
      <c r="A866" s="202">
        <v>45215.0</v>
      </c>
      <c r="B866" s="23" t="s">
        <v>228</v>
      </c>
      <c r="C866" s="201">
        <v>4.3950000000000005</v>
      </c>
      <c r="D866" s="23" t="s">
        <v>61</v>
      </c>
    </row>
    <row r="867">
      <c r="A867" s="202">
        <v>45215.0</v>
      </c>
      <c r="B867" s="23" t="s">
        <v>116</v>
      </c>
      <c r="C867" s="201">
        <v>5.199</v>
      </c>
      <c r="D867" s="23" t="s">
        <v>58</v>
      </c>
    </row>
    <row r="868">
      <c r="A868" s="202">
        <v>45215.0</v>
      </c>
      <c r="B868" s="23" t="s">
        <v>249</v>
      </c>
      <c r="C868" s="201">
        <v>5.4</v>
      </c>
      <c r="D868" s="23" t="s">
        <v>62</v>
      </c>
    </row>
    <row r="869">
      <c r="A869" s="202">
        <v>45215.0</v>
      </c>
      <c r="B869" s="23" t="s">
        <v>237</v>
      </c>
      <c r="C869" s="201">
        <v>8.292000000000002</v>
      </c>
      <c r="D869" s="23" t="s">
        <v>59</v>
      </c>
    </row>
    <row r="870">
      <c r="A870" s="202">
        <v>45215.0</v>
      </c>
      <c r="B870" s="23" t="s">
        <v>234</v>
      </c>
      <c r="C870" s="201">
        <v>5.1</v>
      </c>
      <c r="D870" s="23" t="s">
        <v>59</v>
      </c>
    </row>
    <row r="871">
      <c r="A871" s="202">
        <v>45215.0</v>
      </c>
      <c r="B871" s="23" t="s">
        <v>268</v>
      </c>
      <c r="C871" s="201">
        <v>5.7</v>
      </c>
      <c r="D871" s="23" t="s">
        <v>61</v>
      </c>
    </row>
    <row r="872">
      <c r="A872" s="202">
        <v>45215.0</v>
      </c>
      <c r="B872" s="23" t="s">
        <v>80</v>
      </c>
      <c r="C872" s="201">
        <v>5.499</v>
      </c>
      <c r="D872" s="23" t="s">
        <v>35</v>
      </c>
    </row>
    <row r="873">
      <c r="A873" s="202">
        <v>45215.0</v>
      </c>
      <c r="B873" s="23" t="s">
        <v>258</v>
      </c>
      <c r="C873" s="201">
        <v>1.8</v>
      </c>
      <c r="D873" s="23" t="s">
        <v>125</v>
      </c>
    </row>
    <row r="874">
      <c r="A874" s="202">
        <v>45215.0</v>
      </c>
      <c r="B874" s="23" t="s">
        <v>88</v>
      </c>
      <c r="C874" s="201">
        <v>3.8</v>
      </c>
      <c r="D874" s="23" t="s">
        <v>35</v>
      </c>
    </row>
    <row r="875">
      <c r="A875" s="202">
        <v>45215.0</v>
      </c>
      <c r="B875" s="23" t="s">
        <v>201</v>
      </c>
      <c r="C875" s="201">
        <v>6.282</v>
      </c>
      <c r="D875" s="23" t="s">
        <v>57</v>
      </c>
    </row>
    <row r="876">
      <c r="A876" s="202">
        <v>45215.0</v>
      </c>
      <c r="B876" s="23" t="s">
        <v>216</v>
      </c>
      <c r="C876" s="201">
        <v>10.657</v>
      </c>
      <c r="D876" s="23" t="s">
        <v>67</v>
      </c>
    </row>
    <row r="877">
      <c r="A877" s="202">
        <v>45215.0</v>
      </c>
      <c r="B877" s="23" t="s">
        <v>221</v>
      </c>
      <c r="C877" s="201">
        <v>4.4</v>
      </c>
      <c r="D877" s="23" t="s">
        <v>67</v>
      </c>
    </row>
    <row r="878">
      <c r="A878" s="202">
        <v>45215.0</v>
      </c>
      <c r="B878" s="23" t="s">
        <v>117</v>
      </c>
      <c r="C878" s="201">
        <v>6.836</v>
      </c>
      <c r="D878" s="23" t="s">
        <v>58</v>
      </c>
    </row>
    <row r="879">
      <c r="A879" s="202">
        <v>45215.0</v>
      </c>
      <c r="B879" s="23" t="s">
        <v>261</v>
      </c>
      <c r="C879" s="201">
        <v>4.5</v>
      </c>
      <c r="D879" s="23" t="s">
        <v>125</v>
      </c>
    </row>
    <row r="880">
      <c r="A880" s="202">
        <v>45215.0</v>
      </c>
      <c r="B880" s="23" t="s">
        <v>128</v>
      </c>
      <c r="C880" s="201">
        <v>9.3</v>
      </c>
      <c r="D880" s="23" t="s">
        <v>56</v>
      </c>
    </row>
    <row r="881">
      <c r="A881" s="202">
        <v>45215.0</v>
      </c>
      <c r="B881" s="23" t="s">
        <v>214</v>
      </c>
      <c r="C881" s="201">
        <v>8.647</v>
      </c>
      <c r="D881" s="23" t="s">
        <v>57</v>
      </c>
    </row>
    <row r="882">
      <c r="A882" s="202">
        <v>45215.0</v>
      </c>
      <c r="B882" s="23" t="s">
        <v>200</v>
      </c>
      <c r="C882" s="201">
        <v>10.903</v>
      </c>
      <c r="D882" s="23" t="s">
        <v>57</v>
      </c>
    </row>
    <row r="883">
      <c r="A883" s="202">
        <v>45215.0</v>
      </c>
      <c r="B883" s="23" t="s">
        <v>179</v>
      </c>
      <c r="C883" s="201">
        <v>11.561</v>
      </c>
      <c r="D883" s="23" t="s">
        <v>60</v>
      </c>
    </row>
    <row r="884">
      <c r="A884" s="202">
        <v>45215.0</v>
      </c>
      <c r="B884" s="23" t="s">
        <v>267</v>
      </c>
      <c r="C884" s="201">
        <v>6.598</v>
      </c>
      <c r="D884" s="23" t="s">
        <v>61</v>
      </c>
    </row>
    <row r="885">
      <c r="A885" s="202">
        <v>45215.0</v>
      </c>
      <c r="B885" s="23" t="s">
        <v>270</v>
      </c>
      <c r="C885" s="201">
        <v>4.3950000000000005</v>
      </c>
      <c r="D885" s="23" t="s">
        <v>61</v>
      </c>
    </row>
    <row r="886">
      <c r="A886" s="202">
        <v>45215.0</v>
      </c>
      <c r="B886" s="23" t="s">
        <v>225</v>
      </c>
      <c r="C886" s="201">
        <v>9.483</v>
      </c>
      <c r="D886" s="23" t="s">
        <v>67</v>
      </c>
    </row>
    <row r="887">
      <c r="A887" s="202">
        <v>45215.0</v>
      </c>
      <c r="B887" s="23" t="s">
        <v>38</v>
      </c>
      <c r="C887" s="201">
        <v>10.166</v>
      </c>
      <c r="D887" s="23" t="s">
        <v>35</v>
      </c>
    </row>
    <row r="888">
      <c r="A888" s="202">
        <v>45215.0</v>
      </c>
      <c r="B888" s="23" t="s">
        <v>247</v>
      </c>
      <c r="C888" s="201">
        <v>8.94</v>
      </c>
      <c r="D888" s="23" t="s">
        <v>62</v>
      </c>
    </row>
    <row r="889">
      <c r="A889" s="202">
        <v>45215.0</v>
      </c>
      <c r="B889" s="23" t="s">
        <v>135</v>
      </c>
      <c r="C889" s="201">
        <v>10.628</v>
      </c>
      <c r="D889" s="23" t="s">
        <v>56</v>
      </c>
    </row>
    <row r="890">
      <c r="A890" s="202">
        <v>45215.0</v>
      </c>
      <c r="B890" s="23" t="s">
        <v>256</v>
      </c>
      <c r="C890" s="201">
        <v>4.2</v>
      </c>
      <c r="D890" s="23" t="s">
        <v>69</v>
      </c>
    </row>
    <row r="891">
      <c r="A891" s="202">
        <v>45215.0</v>
      </c>
      <c r="B891" s="23" t="s">
        <v>222</v>
      </c>
      <c r="C891" s="201">
        <v>4.4</v>
      </c>
      <c r="D891" s="23" t="s">
        <v>67</v>
      </c>
    </row>
    <row r="892">
      <c r="A892" s="202">
        <v>45215.0</v>
      </c>
      <c r="B892" s="23" t="s">
        <v>263</v>
      </c>
      <c r="C892" s="201">
        <v>5.098</v>
      </c>
      <c r="D892" s="23" t="s">
        <v>125</v>
      </c>
    </row>
    <row r="893">
      <c r="A893" s="202">
        <v>45215.0</v>
      </c>
      <c r="B893" s="23" t="s">
        <v>185</v>
      </c>
      <c r="C893" s="201">
        <v>6.5</v>
      </c>
      <c r="D893" s="23" t="s">
        <v>46</v>
      </c>
    </row>
    <row r="894">
      <c r="A894" s="202">
        <v>45215.0</v>
      </c>
      <c r="B894" s="23" t="s">
        <v>190</v>
      </c>
      <c r="C894" s="201">
        <v>5.199</v>
      </c>
      <c r="D894" s="23" t="s">
        <v>70</v>
      </c>
    </row>
    <row r="895">
      <c r="A895" s="202">
        <v>45215.0</v>
      </c>
      <c r="B895" s="23" t="s">
        <v>129</v>
      </c>
      <c r="C895" s="201">
        <v>4.695</v>
      </c>
      <c r="D895" s="23" t="s">
        <v>56</v>
      </c>
    </row>
    <row r="896">
      <c r="A896" s="202">
        <v>45215.0</v>
      </c>
      <c r="B896" s="23" t="s">
        <v>139</v>
      </c>
      <c r="C896" s="201">
        <v>9.238000000000001</v>
      </c>
      <c r="D896" s="23" t="s">
        <v>60</v>
      </c>
    </row>
    <row r="897">
      <c r="A897" s="202">
        <v>45215.0</v>
      </c>
      <c r="B897" s="23" t="s">
        <v>205</v>
      </c>
      <c r="C897" s="201">
        <v>7.046</v>
      </c>
      <c r="D897" s="23" t="s">
        <v>67</v>
      </c>
    </row>
    <row r="898">
      <c r="A898" s="202">
        <v>45215.0</v>
      </c>
      <c r="B898" s="23" t="s">
        <v>184</v>
      </c>
      <c r="C898" s="201">
        <v>5.2</v>
      </c>
      <c r="D898" s="23" t="s">
        <v>46</v>
      </c>
    </row>
    <row r="899">
      <c r="A899" s="202">
        <v>45215.0</v>
      </c>
      <c r="B899" s="23" t="s">
        <v>253</v>
      </c>
      <c r="C899" s="201">
        <v>5.2</v>
      </c>
      <c r="D899" s="23" t="s">
        <v>69</v>
      </c>
    </row>
    <row r="900">
      <c r="A900" s="202">
        <v>45215.0</v>
      </c>
      <c r="B900" s="23" t="s">
        <v>197</v>
      </c>
      <c r="C900" s="201">
        <v>2.4</v>
      </c>
      <c r="D900" s="23" t="s">
        <v>70</v>
      </c>
    </row>
    <row r="901">
      <c r="A901" s="202">
        <v>45215.0</v>
      </c>
      <c r="B901" s="23" t="s">
        <v>193</v>
      </c>
      <c r="C901" s="201">
        <v>2.8</v>
      </c>
      <c r="D901" s="23" t="s">
        <v>70</v>
      </c>
    </row>
    <row r="902">
      <c r="A902" s="202">
        <v>45215.0</v>
      </c>
      <c r="B902" s="23" t="s">
        <v>130</v>
      </c>
      <c r="C902" s="201">
        <v>7.4</v>
      </c>
      <c r="D902" s="23" t="s">
        <v>56</v>
      </c>
    </row>
    <row r="903">
      <c r="A903" s="202">
        <v>45215.0</v>
      </c>
      <c r="B903" s="23" t="s">
        <v>223</v>
      </c>
      <c r="C903" s="201">
        <v>6.098</v>
      </c>
      <c r="D903" s="23" t="s">
        <v>67</v>
      </c>
    </row>
    <row r="904">
      <c r="A904" s="202">
        <v>45215.0</v>
      </c>
      <c r="B904" s="23" t="s">
        <v>81</v>
      </c>
      <c r="C904" s="201">
        <v>3.0</v>
      </c>
      <c r="D904" s="23" t="s">
        <v>35</v>
      </c>
    </row>
    <row r="905">
      <c r="A905" s="202">
        <v>45215.0</v>
      </c>
      <c r="B905" s="23" t="s">
        <v>233</v>
      </c>
      <c r="C905" s="201">
        <v>8.862</v>
      </c>
      <c r="D905" s="23" t="s">
        <v>61</v>
      </c>
    </row>
    <row r="906">
      <c r="A906" s="202">
        <v>45215.0</v>
      </c>
      <c r="B906" s="23" t="s">
        <v>264</v>
      </c>
      <c r="C906" s="201">
        <v>7.398000000000001</v>
      </c>
      <c r="D906" s="23" t="s">
        <v>125</v>
      </c>
    </row>
    <row r="907">
      <c r="A907" s="202">
        <v>45215.0</v>
      </c>
      <c r="B907" s="23" t="s">
        <v>239</v>
      </c>
      <c r="C907" s="201">
        <v>10.194</v>
      </c>
      <c r="D907" s="23" t="s">
        <v>125</v>
      </c>
    </row>
    <row r="908">
      <c r="A908" s="202">
        <v>45215.0</v>
      </c>
      <c r="B908" s="23" t="s">
        <v>126</v>
      </c>
      <c r="C908" s="201">
        <v>7.166</v>
      </c>
      <c r="D908" s="23" t="s">
        <v>56</v>
      </c>
    </row>
    <row r="909">
      <c r="A909" s="202">
        <v>45215.0</v>
      </c>
      <c r="B909" s="23" t="s">
        <v>188</v>
      </c>
      <c r="C909" s="201">
        <v>5.499</v>
      </c>
      <c r="D909" s="23" t="s">
        <v>46</v>
      </c>
    </row>
    <row r="910">
      <c r="A910" s="202">
        <v>45215.0</v>
      </c>
      <c r="B910" s="23" t="s">
        <v>120</v>
      </c>
      <c r="C910" s="201">
        <v>9.576</v>
      </c>
      <c r="D910" s="23" t="s">
        <v>56</v>
      </c>
    </row>
    <row r="911">
      <c r="A911" s="202">
        <v>45215.0</v>
      </c>
      <c r="B911" s="23" t="s">
        <v>181</v>
      </c>
      <c r="C911" s="201">
        <v>8.75</v>
      </c>
      <c r="D911" s="23" t="s">
        <v>46</v>
      </c>
    </row>
    <row r="912">
      <c r="A912" s="202">
        <v>45215.0</v>
      </c>
      <c r="B912" s="23" t="s">
        <v>182</v>
      </c>
      <c r="C912" s="201">
        <v>9.705</v>
      </c>
      <c r="D912" s="23" t="s">
        <v>46</v>
      </c>
    </row>
    <row r="913">
      <c r="A913" s="202">
        <v>45215.0</v>
      </c>
      <c r="B913" s="23" t="s">
        <v>207</v>
      </c>
      <c r="C913" s="201">
        <v>5.697</v>
      </c>
      <c r="D913" s="23" t="s">
        <v>57</v>
      </c>
    </row>
    <row r="914">
      <c r="A914" s="202">
        <v>45215.0</v>
      </c>
      <c r="B914" s="23" t="s">
        <v>271</v>
      </c>
      <c r="C914" s="201">
        <v>4.7</v>
      </c>
      <c r="D914" s="23" t="s">
        <v>61</v>
      </c>
    </row>
    <row r="915">
      <c r="A915" s="202">
        <v>45215.0</v>
      </c>
      <c r="B915" s="23" t="s">
        <v>257</v>
      </c>
      <c r="C915" s="201">
        <v>5.9</v>
      </c>
      <c r="D915" s="23" t="s">
        <v>69</v>
      </c>
    </row>
    <row r="916">
      <c r="A916" s="202">
        <v>45215.0</v>
      </c>
      <c r="B916" s="23" t="s">
        <v>109</v>
      </c>
      <c r="C916" s="201">
        <v>7.899</v>
      </c>
      <c r="D916" s="23" t="s">
        <v>58</v>
      </c>
    </row>
    <row r="917">
      <c r="A917" s="202">
        <v>45215.0</v>
      </c>
      <c r="B917" s="23" t="s">
        <v>236</v>
      </c>
      <c r="C917" s="201">
        <v>3.5</v>
      </c>
      <c r="D917" s="23" t="s">
        <v>59</v>
      </c>
    </row>
    <row r="918">
      <c r="A918" s="202">
        <v>45215.0</v>
      </c>
      <c r="B918" s="23" t="s">
        <v>218</v>
      </c>
      <c r="C918" s="201">
        <v>3.2</v>
      </c>
      <c r="D918" s="23" t="s">
        <v>67</v>
      </c>
    </row>
    <row r="919">
      <c r="A919" s="202">
        <v>45215.0</v>
      </c>
      <c r="B919" s="23" t="s">
        <v>176</v>
      </c>
      <c r="C919" s="201">
        <v>2.5</v>
      </c>
      <c r="D919" s="23" t="s">
        <v>60</v>
      </c>
    </row>
    <row r="920">
      <c r="A920" s="202">
        <v>45215.0</v>
      </c>
      <c r="B920" s="23" t="s">
        <v>202</v>
      </c>
      <c r="C920" s="201">
        <v>8.133</v>
      </c>
      <c r="D920" s="23" t="s">
        <v>57</v>
      </c>
    </row>
    <row r="921">
      <c r="A921" s="202">
        <v>45215.0</v>
      </c>
      <c r="B921" s="23" t="s">
        <v>204</v>
      </c>
      <c r="C921" s="201">
        <v>8.855</v>
      </c>
      <c r="D921" s="23" t="s">
        <v>57</v>
      </c>
    </row>
    <row r="922">
      <c r="A922" s="202">
        <v>45215.0</v>
      </c>
      <c r="B922" s="23" t="s">
        <v>273</v>
      </c>
      <c r="C922" s="201">
        <v>6.093999999999999</v>
      </c>
      <c r="D922" s="23" t="s">
        <v>61</v>
      </c>
    </row>
    <row r="923">
      <c r="A923" s="202">
        <v>45215.0</v>
      </c>
      <c r="B923" s="23" t="s">
        <v>231</v>
      </c>
      <c r="C923" s="201">
        <v>8.081</v>
      </c>
      <c r="D923" s="23" t="s">
        <v>59</v>
      </c>
    </row>
    <row r="924">
      <c r="A924" s="202">
        <v>45215.0</v>
      </c>
      <c r="B924" s="23" t="s">
        <v>194</v>
      </c>
      <c r="C924" s="201">
        <v>3.696</v>
      </c>
      <c r="D924" s="23" t="s">
        <v>70</v>
      </c>
    </row>
    <row r="925">
      <c r="A925" s="202">
        <v>45215.0</v>
      </c>
      <c r="B925" s="23" t="s">
        <v>198</v>
      </c>
      <c r="C925" s="201">
        <v>6.742999999999999</v>
      </c>
      <c r="D925" s="23" t="s">
        <v>70</v>
      </c>
    </row>
    <row r="926">
      <c r="A926" s="202">
        <v>45215.0</v>
      </c>
      <c r="B926" s="23" t="s">
        <v>277</v>
      </c>
      <c r="C926" s="201">
        <v>2.4</v>
      </c>
      <c r="D926" s="23" t="s">
        <v>274</v>
      </c>
    </row>
    <row r="927">
      <c r="A927" s="202">
        <v>45215.0</v>
      </c>
      <c r="B927" s="23" t="s">
        <v>275</v>
      </c>
      <c r="C927" s="201">
        <v>2.0</v>
      </c>
      <c r="D927" s="23" t="s">
        <v>274</v>
      </c>
    </row>
    <row r="928">
      <c r="A928" s="202">
        <v>45215.0</v>
      </c>
      <c r="B928" s="23" t="s">
        <v>113</v>
      </c>
      <c r="C928" s="201">
        <v>5.398000000000001</v>
      </c>
      <c r="D928" s="23" t="s">
        <v>58</v>
      </c>
    </row>
    <row r="929">
      <c r="A929" s="202">
        <v>45215.0</v>
      </c>
      <c r="B929" s="23" t="s">
        <v>208</v>
      </c>
      <c r="C929" s="201">
        <v>4.5</v>
      </c>
      <c r="D929" s="23" t="s">
        <v>57</v>
      </c>
    </row>
    <row r="930">
      <c r="A930" s="202">
        <v>45215.0</v>
      </c>
      <c r="B930" s="23" t="s">
        <v>180</v>
      </c>
      <c r="C930" s="201">
        <v>10.863000000000001</v>
      </c>
      <c r="D930" s="23" t="s">
        <v>46</v>
      </c>
    </row>
    <row r="931">
      <c r="A931" s="202">
        <v>45215.0</v>
      </c>
      <c r="B931" s="23" t="s">
        <v>259</v>
      </c>
      <c r="C931" s="201">
        <v>6.6</v>
      </c>
      <c r="D931" s="23" t="s">
        <v>125</v>
      </c>
    </row>
    <row r="932">
      <c r="A932" s="202">
        <v>45215.0</v>
      </c>
      <c r="B932" s="23" t="s">
        <v>276</v>
      </c>
      <c r="C932" s="201">
        <v>6.996</v>
      </c>
      <c r="D932" s="23" t="s">
        <v>274</v>
      </c>
    </row>
    <row r="933">
      <c r="A933" s="202">
        <v>45215.0</v>
      </c>
      <c r="B933" s="23" t="s">
        <v>215</v>
      </c>
      <c r="C933" s="201">
        <v>8.18</v>
      </c>
      <c r="D933" s="23" t="s">
        <v>62</v>
      </c>
    </row>
    <row r="934">
      <c r="A934" s="202">
        <v>45215.0</v>
      </c>
      <c r="B934" s="23" t="s">
        <v>272</v>
      </c>
      <c r="C934" s="201">
        <v>3.899</v>
      </c>
      <c r="D934" s="23" t="s">
        <v>61</v>
      </c>
    </row>
    <row r="935">
      <c r="A935" s="202">
        <v>45215.0</v>
      </c>
      <c r="B935" s="23" t="s">
        <v>255</v>
      </c>
      <c r="C935" s="201">
        <v>7.880000000000001</v>
      </c>
      <c r="D935" s="23" t="s">
        <v>69</v>
      </c>
    </row>
    <row r="936">
      <c r="A936" s="202">
        <v>45215.0</v>
      </c>
      <c r="B936" t="s">
        <v>183</v>
      </c>
      <c r="C936" s="23">
        <v>8.47</v>
      </c>
      <c r="D936" t="s">
        <v>46</v>
      </c>
    </row>
    <row r="937">
      <c r="A937" s="202">
        <v>45215.0</v>
      </c>
      <c r="B937" t="s">
        <v>78</v>
      </c>
      <c r="C937" s="23">
        <v>3.2</v>
      </c>
      <c r="D937" t="s">
        <v>35</v>
      </c>
    </row>
    <row r="938">
      <c r="A938" s="202">
        <v>45215.0</v>
      </c>
      <c r="B938" t="s">
        <v>260</v>
      </c>
      <c r="C938" s="23">
        <v>7.5</v>
      </c>
      <c r="D938" t="s">
        <v>125</v>
      </c>
    </row>
    <row r="939">
      <c r="A939" s="23" t="s">
        <v>680</v>
      </c>
      <c r="B939" s="23" t="s">
        <v>3</v>
      </c>
      <c r="C939" s="23" t="s">
        <v>279</v>
      </c>
      <c r="D939" s="23" t="s">
        <v>280</v>
      </c>
    </row>
    <row r="940">
      <c r="A940" s="202">
        <v>45222.0</v>
      </c>
      <c r="B940" s="23" t="s">
        <v>243</v>
      </c>
      <c r="C940" s="201">
        <v>10.917</v>
      </c>
      <c r="D940" s="23" t="s">
        <v>69</v>
      </c>
    </row>
    <row r="941">
      <c r="A941" s="202">
        <v>45222.0</v>
      </c>
      <c r="B941" s="23" t="s">
        <v>189</v>
      </c>
      <c r="C941" s="201">
        <v>2.0</v>
      </c>
      <c r="D941" s="23" t="s">
        <v>46</v>
      </c>
    </row>
    <row r="942">
      <c r="A942" s="202">
        <v>45222.0</v>
      </c>
      <c r="B942" s="23" t="s">
        <v>137</v>
      </c>
      <c r="C942" s="201">
        <v>10.373000000000001</v>
      </c>
      <c r="D942" s="23" t="s">
        <v>60</v>
      </c>
    </row>
    <row r="943">
      <c r="A943" s="202">
        <v>45222.0</v>
      </c>
      <c r="B943" s="23" t="s">
        <v>71</v>
      </c>
      <c r="C943" s="201">
        <v>5.487</v>
      </c>
      <c r="D943" s="23" t="s">
        <v>35</v>
      </c>
    </row>
    <row r="944">
      <c r="A944" s="202">
        <v>45222.0</v>
      </c>
      <c r="B944" s="23" t="s">
        <v>174</v>
      </c>
      <c r="C944" s="201">
        <v>1.8</v>
      </c>
      <c r="D944" s="23" t="s">
        <v>60</v>
      </c>
    </row>
    <row r="945">
      <c r="A945" s="202">
        <v>45222.0</v>
      </c>
      <c r="B945" s="23" t="s">
        <v>217</v>
      </c>
      <c r="C945" s="201">
        <v>6.795</v>
      </c>
      <c r="D945" s="23" t="s">
        <v>67</v>
      </c>
    </row>
    <row r="946">
      <c r="A946" s="202">
        <v>45222.0</v>
      </c>
      <c r="B946" s="23" t="s">
        <v>213</v>
      </c>
      <c r="C946" s="201">
        <v>4.5</v>
      </c>
      <c r="D946" s="23" t="s">
        <v>57</v>
      </c>
    </row>
    <row r="947">
      <c r="A947" s="202">
        <v>45222.0</v>
      </c>
      <c r="B947" s="23" t="s">
        <v>254</v>
      </c>
      <c r="C947" s="201">
        <v>4.3</v>
      </c>
      <c r="D947" s="23" t="s">
        <v>69</v>
      </c>
    </row>
    <row r="948">
      <c r="A948" s="202">
        <v>45222.0</v>
      </c>
      <c r="B948" s="23" t="s">
        <v>123</v>
      </c>
      <c r="C948" s="201">
        <v>4.6</v>
      </c>
      <c r="D948" s="23" t="s">
        <v>56</v>
      </c>
    </row>
    <row r="949">
      <c r="A949" s="202">
        <v>45222.0</v>
      </c>
      <c r="B949" s="23" t="s">
        <v>112</v>
      </c>
      <c r="C949" s="201">
        <v>5.9</v>
      </c>
      <c r="D949" s="23" t="s">
        <v>58</v>
      </c>
    </row>
    <row r="950">
      <c r="A950" s="202">
        <v>45222.0</v>
      </c>
      <c r="B950" s="23" t="s">
        <v>177</v>
      </c>
      <c r="C950" s="201">
        <v>3.4</v>
      </c>
      <c r="D950" s="23" t="s">
        <v>60</v>
      </c>
    </row>
    <row r="951">
      <c r="A951" s="202">
        <v>45222.0</v>
      </c>
      <c r="B951" s="23" t="s">
        <v>230</v>
      </c>
      <c r="C951" s="201">
        <v>4.4</v>
      </c>
      <c r="D951" s="23" t="s">
        <v>59</v>
      </c>
    </row>
    <row r="952">
      <c r="A952" s="202">
        <v>45222.0</v>
      </c>
      <c r="B952" s="23" t="s">
        <v>227</v>
      </c>
      <c r="C952" s="201">
        <v>5.82</v>
      </c>
      <c r="D952" s="23" t="s">
        <v>59</v>
      </c>
    </row>
    <row r="953">
      <c r="A953" s="202">
        <v>45222.0</v>
      </c>
      <c r="B953" s="23" t="s">
        <v>248</v>
      </c>
      <c r="C953" s="201">
        <v>6.0</v>
      </c>
      <c r="D953" s="23" t="s">
        <v>62</v>
      </c>
    </row>
    <row r="954">
      <c r="A954" s="202">
        <v>45222.0</v>
      </c>
      <c r="B954" s="23" t="s">
        <v>226</v>
      </c>
      <c r="C954" s="201">
        <v>6.398000000000001</v>
      </c>
      <c r="D954" s="23" t="s">
        <v>67</v>
      </c>
    </row>
    <row r="955">
      <c r="A955" s="202">
        <v>45222.0</v>
      </c>
      <c r="B955" s="23" t="s">
        <v>199</v>
      </c>
      <c r="C955" s="201">
        <v>4.288</v>
      </c>
      <c r="D955" s="23" t="s">
        <v>70</v>
      </c>
    </row>
    <row r="956">
      <c r="A956" s="202">
        <v>45222.0</v>
      </c>
      <c r="B956" s="23" t="s">
        <v>119</v>
      </c>
      <c r="C956" s="201">
        <v>6.2</v>
      </c>
      <c r="D956" s="23" t="s">
        <v>58</v>
      </c>
    </row>
    <row r="957">
      <c r="A957" s="202">
        <v>45222.0</v>
      </c>
      <c r="B957" s="23" t="s">
        <v>251</v>
      </c>
      <c r="C957" s="201">
        <v>5.0</v>
      </c>
      <c r="D957" s="23" t="s">
        <v>69</v>
      </c>
    </row>
    <row r="958">
      <c r="A958" s="202">
        <v>45222.0</v>
      </c>
      <c r="B958" s="23" t="s">
        <v>265</v>
      </c>
      <c r="C958" s="201">
        <v>5.298</v>
      </c>
      <c r="D958" s="23" t="s">
        <v>125</v>
      </c>
    </row>
    <row r="959">
      <c r="A959" s="202">
        <v>45222.0</v>
      </c>
      <c r="B959" s="23" t="s">
        <v>252</v>
      </c>
      <c r="C959" s="201">
        <v>3.9</v>
      </c>
      <c r="D959" s="23" t="s">
        <v>69</v>
      </c>
    </row>
    <row r="960">
      <c r="A960" s="202">
        <v>45222.0</v>
      </c>
      <c r="B960" s="23" t="s">
        <v>242</v>
      </c>
      <c r="C960" s="201">
        <v>4.2</v>
      </c>
      <c r="D960" s="23" t="s">
        <v>62</v>
      </c>
    </row>
    <row r="961">
      <c r="A961" s="202">
        <v>45222.0</v>
      </c>
      <c r="B961" s="23" t="s">
        <v>191</v>
      </c>
      <c r="C961" s="201">
        <v>7.394</v>
      </c>
      <c r="D961" s="23" t="s">
        <v>70</v>
      </c>
    </row>
    <row r="962">
      <c r="A962" s="202">
        <v>45222.0</v>
      </c>
      <c r="B962" s="23" t="s">
        <v>206</v>
      </c>
      <c r="C962" s="201">
        <v>7.17</v>
      </c>
      <c r="D962" s="23" t="s">
        <v>57</v>
      </c>
    </row>
    <row r="963">
      <c r="A963" s="202">
        <v>45222.0</v>
      </c>
      <c r="B963" s="23" t="s">
        <v>269</v>
      </c>
      <c r="C963" s="201">
        <v>5.1</v>
      </c>
      <c r="D963" s="23" t="s">
        <v>61</v>
      </c>
    </row>
    <row r="964">
      <c r="A964" s="202">
        <v>45222.0</v>
      </c>
      <c r="B964" s="23" t="s">
        <v>105</v>
      </c>
      <c r="C964" s="201">
        <v>5.098999999999999</v>
      </c>
      <c r="D964" s="23" t="s">
        <v>58</v>
      </c>
    </row>
    <row r="965">
      <c r="A965" s="202">
        <v>45222.0</v>
      </c>
      <c r="B965" s="23" t="s">
        <v>187</v>
      </c>
      <c r="C965" s="201">
        <v>8.332</v>
      </c>
      <c r="D965" s="23" t="s">
        <v>46</v>
      </c>
    </row>
    <row r="966">
      <c r="A966" s="202">
        <v>45222.0</v>
      </c>
      <c r="B966" s="23" t="s">
        <v>246</v>
      </c>
      <c r="C966" s="201">
        <v>3.0</v>
      </c>
      <c r="D966" s="23" t="s">
        <v>62</v>
      </c>
    </row>
    <row r="967">
      <c r="A967" s="202">
        <v>45222.0</v>
      </c>
      <c r="B967" s="23" t="s">
        <v>238</v>
      </c>
      <c r="C967" s="201">
        <v>5.7989999999999995</v>
      </c>
      <c r="D967" s="23" t="s">
        <v>59</v>
      </c>
    </row>
    <row r="968">
      <c r="A968" s="202">
        <v>45222.0</v>
      </c>
      <c r="B968" s="23" t="s">
        <v>133</v>
      </c>
      <c r="C968" s="201">
        <v>5.297</v>
      </c>
      <c r="D968" s="23" t="s">
        <v>56</v>
      </c>
    </row>
    <row r="969">
      <c r="A969" s="202">
        <v>45222.0</v>
      </c>
      <c r="B969" s="23" t="s">
        <v>127</v>
      </c>
      <c r="C969" s="201">
        <v>6.295</v>
      </c>
      <c r="D969" s="23" t="s">
        <v>56</v>
      </c>
    </row>
    <row r="970">
      <c r="A970" s="202">
        <v>45222.0</v>
      </c>
      <c r="B970" s="23" t="s">
        <v>220</v>
      </c>
      <c r="C970" s="201">
        <v>4.7</v>
      </c>
      <c r="D970" s="23" t="s">
        <v>67</v>
      </c>
    </row>
    <row r="971">
      <c r="A971" s="202">
        <v>45222.0</v>
      </c>
      <c r="B971" s="23" t="s">
        <v>224</v>
      </c>
      <c r="C971" s="201">
        <v>11.447999999999999</v>
      </c>
      <c r="D971" s="23" t="s">
        <v>125</v>
      </c>
    </row>
    <row r="972">
      <c r="A972" s="202">
        <v>45222.0</v>
      </c>
      <c r="B972" s="23" t="s">
        <v>241</v>
      </c>
      <c r="C972" s="201">
        <v>9.729000000000001</v>
      </c>
      <c r="D972" s="23" t="s">
        <v>62</v>
      </c>
    </row>
    <row r="973">
      <c r="A973" s="202">
        <v>45222.0</v>
      </c>
      <c r="B973" s="23" t="s">
        <v>63</v>
      </c>
      <c r="C973" s="201">
        <v>10.906</v>
      </c>
      <c r="D973" s="23" t="s">
        <v>35</v>
      </c>
    </row>
    <row r="974">
      <c r="A974" s="202">
        <v>45222.0</v>
      </c>
      <c r="B974" s="23" t="s">
        <v>245</v>
      </c>
      <c r="C974" s="201">
        <v>7.707</v>
      </c>
      <c r="D974" s="23" t="s">
        <v>62</v>
      </c>
    </row>
    <row r="975">
      <c r="A975" s="202">
        <v>45222.0</v>
      </c>
      <c r="B975" s="23" t="s">
        <v>232</v>
      </c>
      <c r="C975" s="201">
        <v>8.322</v>
      </c>
      <c r="D975" s="23" t="s">
        <v>59</v>
      </c>
    </row>
    <row r="976">
      <c r="A976" s="202">
        <v>45222.0</v>
      </c>
      <c r="B976" s="23" t="s">
        <v>229</v>
      </c>
      <c r="C976" s="201">
        <v>4.3</v>
      </c>
      <c r="D976" s="23" t="s">
        <v>59</v>
      </c>
    </row>
    <row r="977">
      <c r="A977" s="202">
        <v>45222.0</v>
      </c>
      <c r="B977" s="23" t="s">
        <v>173</v>
      </c>
      <c r="C977" s="201">
        <v>3.5</v>
      </c>
      <c r="D977" s="23" t="s">
        <v>60</v>
      </c>
    </row>
    <row r="978">
      <c r="A978" s="202">
        <v>45222.0</v>
      </c>
      <c r="B978" s="23" t="s">
        <v>210</v>
      </c>
      <c r="C978" s="201">
        <v>4.9</v>
      </c>
      <c r="D978" s="23" t="s">
        <v>57</v>
      </c>
    </row>
    <row r="979">
      <c r="A979" s="202">
        <v>45222.0</v>
      </c>
      <c r="B979" s="23" t="s">
        <v>186</v>
      </c>
      <c r="C979" s="201">
        <v>5.1</v>
      </c>
      <c r="D979" s="23" t="s">
        <v>46</v>
      </c>
    </row>
    <row r="980">
      <c r="A980" s="202">
        <v>45222.0</v>
      </c>
      <c r="B980" s="23" t="s">
        <v>195</v>
      </c>
      <c r="C980" s="201">
        <v>3.2</v>
      </c>
      <c r="D980" s="23" t="s">
        <v>70</v>
      </c>
    </row>
    <row r="981">
      <c r="A981" s="202">
        <v>45222.0</v>
      </c>
      <c r="B981" s="23" t="s">
        <v>266</v>
      </c>
      <c r="C981" s="201">
        <v>8.867</v>
      </c>
      <c r="D981" s="23" t="s">
        <v>61</v>
      </c>
    </row>
    <row r="982">
      <c r="A982" s="202">
        <v>45222.0</v>
      </c>
      <c r="B982" s="23" t="s">
        <v>124</v>
      </c>
      <c r="C982" s="201">
        <v>6.195</v>
      </c>
      <c r="D982" s="23" t="s">
        <v>56</v>
      </c>
    </row>
    <row r="983">
      <c r="A983" s="202">
        <v>45222.0</v>
      </c>
      <c r="B983" s="23" t="s">
        <v>262</v>
      </c>
      <c r="C983" s="201">
        <v>10.7</v>
      </c>
      <c r="D983" s="23" t="s">
        <v>125</v>
      </c>
    </row>
    <row r="984">
      <c r="A984" s="202">
        <v>45222.0</v>
      </c>
      <c r="B984" s="23" t="s">
        <v>192</v>
      </c>
      <c r="C984" s="201">
        <v>6.7</v>
      </c>
      <c r="D984" s="23" t="s">
        <v>70</v>
      </c>
    </row>
    <row r="985">
      <c r="A985" s="202">
        <v>45222.0</v>
      </c>
      <c r="B985" s="23" t="s">
        <v>74</v>
      </c>
      <c r="C985" s="201">
        <v>8.704</v>
      </c>
      <c r="D985" s="23" t="s">
        <v>35</v>
      </c>
    </row>
    <row r="986">
      <c r="A986" s="202">
        <v>45222.0</v>
      </c>
      <c r="B986" s="23" t="s">
        <v>75</v>
      </c>
      <c r="C986" s="201">
        <v>2.1</v>
      </c>
      <c r="D986" s="23" t="s">
        <v>35</v>
      </c>
    </row>
    <row r="987">
      <c r="A987" s="202">
        <v>45222.0</v>
      </c>
      <c r="B987" s="23" t="s">
        <v>196</v>
      </c>
      <c r="C987" s="201">
        <v>6.6</v>
      </c>
      <c r="D987" s="23" t="s">
        <v>70</v>
      </c>
    </row>
    <row r="988">
      <c r="A988" s="202">
        <v>45222.0</v>
      </c>
      <c r="B988" s="23" t="s">
        <v>102</v>
      </c>
      <c r="C988" s="201">
        <v>11.011</v>
      </c>
      <c r="D988" s="23" t="s">
        <v>58</v>
      </c>
    </row>
    <row r="989">
      <c r="A989" s="202">
        <v>45222.0</v>
      </c>
      <c r="B989" s="23" t="s">
        <v>175</v>
      </c>
      <c r="C989" s="201">
        <v>6.877000000000001</v>
      </c>
      <c r="D989" s="23" t="s">
        <v>60</v>
      </c>
    </row>
    <row r="990">
      <c r="A990" s="202">
        <v>45222.0</v>
      </c>
      <c r="B990" s="23" t="s">
        <v>250</v>
      </c>
      <c r="C990" s="201">
        <v>4.592</v>
      </c>
      <c r="D990" s="23" t="s">
        <v>69</v>
      </c>
    </row>
    <row r="991">
      <c r="A991" s="202">
        <v>45222.0</v>
      </c>
      <c r="B991" s="23" t="s">
        <v>164</v>
      </c>
      <c r="C991" s="201">
        <v>9.248000000000001</v>
      </c>
      <c r="D991" s="23" t="s">
        <v>60</v>
      </c>
    </row>
    <row r="992">
      <c r="A992" s="202">
        <v>45222.0</v>
      </c>
      <c r="B992" s="23" t="s">
        <v>219</v>
      </c>
      <c r="C992" s="201">
        <v>8.975999999999999</v>
      </c>
      <c r="D992" s="23" t="s">
        <v>69</v>
      </c>
    </row>
    <row r="993">
      <c r="A993" s="202">
        <v>45222.0</v>
      </c>
      <c r="B993" s="23" t="s">
        <v>111</v>
      </c>
      <c r="C993" s="201">
        <v>6.585999999999999</v>
      </c>
      <c r="D993" s="23" t="s">
        <v>58</v>
      </c>
    </row>
    <row r="994">
      <c r="A994" s="202">
        <v>45222.0</v>
      </c>
      <c r="B994" s="23" t="s">
        <v>244</v>
      </c>
      <c r="C994" s="201">
        <v>7.4</v>
      </c>
      <c r="D994" s="23" t="s">
        <v>62</v>
      </c>
    </row>
    <row r="995">
      <c r="A995" s="202">
        <v>45222.0</v>
      </c>
      <c r="B995" s="23" t="s">
        <v>118</v>
      </c>
      <c r="C995" s="201">
        <v>8.648</v>
      </c>
      <c r="D995" s="23" t="s">
        <v>58</v>
      </c>
    </row>
    <row r="996">
      <c r="A996" s="202">
        <v>45222.0</v>
      </c>
      <c r="B996" s="23" t="s">
        <v>240</v>
      </c>
      <c r="C996" s="201">
        <v>9.057</v>
      </c>
      <c r="D996" s="23" t="s">
        <v>62</v>
      </c>
    </row>
    <row r="997">
      <c r="A997" s="202">
        <v>45222.0</v>
      </c>
      <c r="B997" s="23" t="s">
        <v>79</v>
      </c>
      <c r="C997" s="201">
        <v>8.285</v>
      </c>
      <c r="D997" s="23" t="s">
        <v>35</v>
      </c>
    </row>
    <row r="998">
      <c r="A998" s="202">
        <v>45222.0</v>
      </c>
      <c r="B998" s="23" t="s">
        <v>178</v>
      </c>
      <c r="C998" s="201">
        <v>3.5</v>
      </c>
      <c r="D998" s="23" t="s">
        <v>60</v>
      </c>
    </row>
    <row r="999">
      <c r="A999" s="202">
        <v>45222.0</v>
      </c>
      <c r="B999" s="23" t="s">
        <v>209</v>
      </c>
      <c r="C999" s="201">
        <v>10.883</v>
      </c>
      <c r="D999" s="23" t="s">
        <v>59</v>
      </c>
    </row>
    <row r="1000">
      <c r="A1000" s="202">
        <v>45222.0</v>
      </c>
      <c r="B1000" s="23" t="s">
        <v>228</v>
      </c>
      <c r="C1000" s="201">
        <v>4.298</v>
      </c>
      <c r="D1000" s="23" t="s">
        <v>61</v>
      </c>
    </row>
    <row r="1001">
      <c r="A1001" s="202">
        <v>45222.0</v>
      </c>
      <c r="B1001" s="23" t="s">
        <v>116</v>
      </c>
      <c r="C1001" s="201">
        <v>6.0969999999999995</v>
      </c>
      <c r="D1001" s="23" t="s">
        <v>58</v>
      </c>
    </row>
    <row r="1002">
      <c r="A1002" s="202">
        <v>45222.0</v>
      </c>
      <c r="B1002" s="23" t="s">
        <v>249</v>
      </c>
      <c r="C1002" s="201">
        <v>6.3</v>
      </c>
      <c r="D1002" s="23" t="s">
        <v>62</v>
      </c>
    </row>
    <row r="1003">
      <c r="A1003" s="202">
        <v>45222.0</v>
      </c>
      <c r="B1003" s="23" t="s">
        <v>237</v>
      </c>
      <c r="C1003" s="201">
        <v>8.884</v>
      </c>
      <c r="D1003" s="23" t="s">
        <v>59</v>
      </c>
    </row>
    <row r="1004">
      <c r="A1004" s="202">
        <v>45222.0</v>
      </c>
      <c r="B1004" s="23" t="s">
        <v>234</v>
      </c>
      <c r="C1004" s="201">
        <v>5.2</v>
      </c>
      <c r="D1004" s="23" t="s">
        <v>59</v>
      </c>
    </row>
    <row r="1005">
      <c r="A1005" s="202">
        <v>45222.0</v>
      </c>
      <c r="B1005" s="23" t="s">
        <v>268</v>
      </c>
      <c r="C1005" s="201">
        <v>5.7</v>
      </c>
      <c r="D1005" s="23" t="s">
        <v>61</v>
      </c>
    </row>
    <row r="1006">
      <c r="A1006" s="202">
        <v>45222.0</v>
      </c>
      <c r="B1006" s="23" t="s">
        <v>80</v>
      </c>
      <c r="C1006" s="201">
        <v>5.898000000000001</v>
      </c>
      <c r="D1006" s="23" t="s">
        <v>35</v>
      </c>
    </row>
    <row r="1007">
      <c r="A1007" s="202">
        <v>45222.0</v>
      </c>
      <c r="B1007" s="23" t="s">
        <v>258</v>
      </c>
      <c r="C1007" s="201">
        <v>2.8</v>
      </c>
      <c r="D1007" s="23" t="s">
        <v>125</v>
      </c>
    </row>
    <row r="1008">
      <c r="A1008" s="202">
        <v>45222.0</v>
      </c>
      <c r="B1008" s="23" t="s">
        <v>88</v>
      </c>
      <c r="C1008" s="201">
        <v>4.4</v>
      </c>
      <c r="D1008" s="23" t="s">
        <v>35</v>
      </c>
    </row>
    <row r="1009">
      <c r="A1009" s="202">
        <v>45222.0</v>
      </c>
      <c r="B1009" s="23" t="s">
        <v>201</v>
      </c>
      <c r="C1009" s="201">
        <v>6.955</v>
      </c>
      <c r="D1009" s="23" t="s">
        <v>57</v>
      </c>
    </row>
    <row r="1010">
      <c r="A1010" s="202">
        <v>45222.0</v>
      </c>
      <c r="B1010" s="23" t="s">
        <v>216</v>
      </c>
      <c r="C1010" s="201">
        <v>9.597999999999999</v>
      </c>
      <c r="D1010" s="23" t="s">
        <v>67</v>
      </c>
    </row>
    <row r="1011">
      <c r="A1011" s="202">
        <v>45222.0</v>
      </c>
      <c r="B1011" s="23" t="s">
        <v>221</v>
      </c>
      <c r="C1011" s="201">
        <v>4.5</v>
      </c>
      <c r="D1011" s="23" t="s">
        <v>67</v>
      </c>
    </row>
    <row r="1012">
      <c r="A1012" s="202">
        <v>45222.0</v>
      </c>
      <c r="B1012" s="23" t="s">
        <v>117</v>
      </c>
      <c r="C1012" s="201">
        <v>6.969</v>
      </c>
      <c r="D1012" s="23" t="s">
        <v>58</v>
      </c>
    </row>
    <row r="1013">
      <c r="A1013" s="202">
        <v>45222.0</v>
      </c>
      <c r="B1013" s="23" t="s">
        <v>261</v>
      </c>
      <c r="C1013" s="201">
        <v>4.2</v>
      </c>
      <c r="D1013" s="23" t="s">
        <v>125</v>
      </c>
    </row>
    <row r="1014">
      <c r="A1014" s="202">
        <v>45222.0</v>
      </c>
      <c r="B1014" s="23" t="s">
        <v>128</v>
      </c>
      <c r="C1014" s="201">
        <v>9.3</v>
      </c>
      <c r="D1014" s="23" t="s">
        <v>56</v>
      </c>
    </row>
    <row r="1015">
      <c r="A1015" s="202">
        <v>45222.0</v>
      </c>
      <c r="B1015" s="23" t="s">
        <v>214</v>
      </c>
      <c r="C1015" s="201">
        <v>8.739</v>
      </c>
      <c r="D1015" s="23" t="s">
        <v>57</v>
      </c>
    </row>
    <row r="1016">
      <c r="A1016" s="202">
        <v>45222.0</v>
      </c>
      <c r="B1016" s="23" t="s">
        <v>200</v>
      </c>
      <c r="C1016" s="201">
        <v>11.251000000000001</v>
      </c>
      <c r="D1016" s="23" t="s">
        <v>57</v>
      </c>
    </row>
    <row r="1017">
      <c r="A1017" s="202">
        <v>45222.0</v>
      </c>
      <c r="B1017" s="23" t="s">
        <v>179</v>
      </c>
      <c r="C1017" s="201">
        <v>11.493</v>
      </c>
      <c r="D1017" s="23" t="s">
        <v>60</v>
      </c>
    </row>
    <row r="1018">
      <c r="A1018" s="202">
        <v>45222.0</v>
      </c>
      <c r="B1018" s="23" t="s">
        <v>267</v>
      </c>
      <c r="C1018" s="201">
        <v>7.495</v>
      </c>
      <c r="D1018" s="23" t="s">
        <v>61</v>
      </c>
    </row>
    <row r="1019">
      <c r="A1019" s="202">
        <v>45222.0</v>
      </c>
      <c r="B1019" s="23" t="s">
        <v>270</v>
      </c>
      <c r="C1019" s="201">
        <v>5.09</v>
      </c>
      <c r="D1019" s="23" t="s">
        <v>61</v>
      </c>
    </row>
    <row r="1020">
      <c r="A1020" s="202">
        <v>45222.0</v>
      </c>
      <c r="B1020" s="23" t="s">
        <v>225</v>
      </c>
      <c r="C1020" s="201">
        <v>9.687999999999999</v>
      </c>
      <c r="D1020" s="23" t="s">
        <v>67</v>
      </c>
    </row>
    <row r="1021">
      <c r="A1021" s="202">
        <v>45222.0</v>
      </c>
      <c r="B1021" s="23" t="s">
        <v>38</v>
      </c>
      <c r="C1021" s="201">
        <v>10.062000000000001</v>
      </c>
      <c r="D1021" s="23" t="s">
        <v>35</v>
      </c>
    </row>
    <row r="1022">
      <c r="A1022" s="202">
        <v>45222.0</v>
      </c>
      <c r="B1022" s="23" t="s">
        <v>247</v>
      </c>
      <c r="C1022" s="201">
        <v>9.091999999999999</v>
      </c>
      <c r="D1022" s="23" t="s">
        <v>62</v>
      </c>
    </row>
    <row r="1023">
      <c r="A1023" s="202">
        <v>45222.0</v>
      </c>
      <c r="B1023" s="23" t="s">
        <v>135</v>
      </c>
      <c r="C1023" s="201">
        <v>10.244000000000002</v>
      </c>
      <c r="D1023" s="23" t="s">
        <v>56</v>
      </c>
    </row>
    <row r="1024">
      <c r="A1024" s="202">
        <v>45222.0</v>
      </c>
      <c r="B1024" s="23" t="s">
        <v>256</v>
      </c>
      <c r="C1024" s="201">
        <v>3.5</v>
      </c>
      <c r="D1024" s="23" t="s">
        <v>69</v>
      </c>
    </row>
    <row r="1025">
      <c r="A1025" s="202">
        <v>45222.0</v>
      </c>
      <c r="B1025" s="23" t="s">
        <v>222</v>
      </c>
      <c r="C1025" s="201">
        <v>4.4</v>
      </c>
      <c r="D1025" s="23" t="s">
        <v>67</v>
      </c>
    </row>
    <row r="1026">
      <c r="A1026" s="202">
        <v>45222.0</v>
      </c>
      <c r="B1026" s="23" t="s">
        <v>263</v>
      </c>
      <c r="C1026" s="201">
        <v>6.096</v>
      </c>
      <c r="D1026" s="23" t="s">
        <v>125</v>
      </c>
    </row>
    <row r="1027">
      <c r="A1027" s="202">
        <v>45222.0</v>
      </c>
      <c r="B1027" s="23" t="s">
        <v>185</v>
      </c>
      <c r="C1027" s="201">
        <v>6.9</v>
      </c>
      <c r="D1027" s="23" t="s">
        <v>46</v>
      </c>
    </row>
    <row r="1028">
      <c r="A1028" s="202">
        <v>45222.0</v>
      </c>
      <c r="B1028" s="23" t="s">
        <v>190</v>
      </c>
      <c r="C1028" s="201">
        <v>4.3</v>
      </c>
      <c r="D1028" s="23" t="s">
        <v>70</v>
      </c>
    </row>
    <row r="1029">
      <c r="A1029" s="202">
        <v>45222.0</v>
      </c>
      <c r="B1029" s="23" t="s">
        <v>129</v>
      </c>
      <c r="C1029" s="201">
        <v>5.384</v>
      </c>
      <c r="D1029" s="23" t="s">
        <v>56</v>
      </c>
    </row>
    <row r="1030">
      <c r="A1030" s="202">
        <v>45222.0</v>
      </c>
      <c r="B1030" s="23" t="s">
        <v>139</v>
      </c>
      <c r="C1030" s="201">
        <v>9.373</v>
      </c>
      <c r="D1030" s="23" t="s">
        <v>60</v>
      </c>
    </row>
    <row r="1031">
      <c r="A1031" s="202">
        <v>45222.0</v>
      </c>
      <c r="B1031" s="23" t="s">
        <v>205</v>
      </c>
      <c r="C1031" s="201">
        <v>7.6000000000000005</v>
      </c>
      <c r="D1031" s="23" t="s">
        <v>67</v>
      </c>
    </row>
    <row r="1032">
      <c r="A1032" s="202">
        <v>45222.0</v>
      </c>
      <c r="B1032" s="23" t="s">
        <v>184</v>
      </c>
      <c r="C1032" s="201">
        <v>4.7</v>
      </c>
      <c r="D1032" s="23" t="s">
        <v>46</v>
      </c>
    </row>
    <row r="1033">
      <c r="A1033" s="202">
        <v>45222.0</v>
      </c>
      <c r="B1033" s="23" t="s">
        <v>253</v>
      </c>
      <c r="C1033" s="201">
        <v>5.7</v>
      </c>
      <c r="D1033" s="23" t="s">
        <v>69</v>
      </c>
    </row>
    <row r="1034">
      <c r="A1034" s="202">
        <v>45222.0</v>
      </c>
      <c r="B1034" s="23" t="s">
        <v>197</v>
      </c>
      <c r="C1034" s="201">
        <v>2.1</v>
      </c>
      <c r="D1034" s="23" t="s">
        <v>70</v>
      </c>
    </row>
    <row r="1035">
      <c r="A1035" s="202">
        <v>45222.0</v>
      </c>
      <c r="B1035" s="23" t="s">
        <v>193</v>
      </c>
      <c r="C1035" s="201">
        <v>2.5</v>
      </c>
      <c r="D1035" s="23" t="s">
        <v>70</v>
      </c>
    </row>
    <row r="1036">
      <c r="A1036" s="202">
        <v>45222.0</v>
      </c>
      <c r="B1036" s="23" t="s">
        <v>130</v>
      </c>
      <c r="C1036" s="201">
        <v>7.4</v>
      </c>
      <c r="D1036" s="23" t="s">
        <v>56</v>
      </c>
    </row>
    <row r="1037">
      <c r="A1037" s="202">
        <v>45222.0</v>
      </c>
      <c r="B1037" s="23" t="s">
        <v>223</v>
      </c>
      <c r="C1037" s="201">
        <v>5.6</v>
      </c>
      <c r="D1037" s="23" t="s">
        <v>67</v>
      </c>
    </row>
    <row r="1038">
      <c r="A1038" s="202">
        <v>45222.0</v>
      </c>
      <c r="B1038" s="23" t="s">
        <v>81</v>
      </c>
      <c r="C1038" s="201">
        <v>2.7</v>
      </c>
      <c r="D1038" s="23" t="s">
        <v>35</v>
      </c>
    </row>
    <row r="1039">
      <c r="A1039" s="202">
        <v>45222.0</v>
      </c>
      <c r="B1039" s="23" t="s">
        <v>233</v>
      </c>
      <c r="C1039" s="201">
        <v>8.578</v>
      </c>
      <c r="D1039" s="23" t="s">
        <v>61</v>
      </c>
    </row>
    <row r="1040">
      <c r="A1040" s="202">
        <v>45222.0</v>
      </c>
      <c r="B1040" s="23" t="s">
        <v>264</v>
      </c>
      <c r="C1040" s="201">
        <v>7.2989999999999995</v>
      </c>
      <c r="D1040" s="23" t="s">
        <v>125</v>
      </c>
    </row>
    <row r="1041">
      <c r="A1041" s="202">
        <v>45222.0</v>
      </c>
      <c r="B1041" s="23" t="s">
        <v>239</v>
      </c>
      <c r="C1041" s="201">
        <v>10.114</v>
      </c>
      <c r="D1041" s="23" t="s">
        <v>125</v>
      </c>
    </row>
    <row r="1042">
      <c r="A1042" s="202">
        <v>45222.0</v>
      </c>
      <c r="B1042" s="23" t="s">
        <v>126</v>
      </c>
      <c r="C1042" s="201">
        <v>7.069</v>
      </c>
      <c r="D1042" s="23" t="s">
        <v>56</v>
      </c>
    </row>
    <row r="1043">
      <c r="A1043" s="202">
        <v>45222.0</v>
      </c>
      <c r="B1043" s="23" t="s">
        <v>188</v>
      </c>
      <c r="C1043" s="201">
        <v>4.7</v>
      </c>
      <c r="D1043" s="23" t="s">
        <v>46</v>
      </c>
    </row>
    <row r="1044">
      <c r="A1044" s="202">
        <v>45222.0</v>
      </c>
      <c r="B1044" s="23" t="s">
        <v>120</v>
      </c>
      <c r="C1044" s="201">
        <v>10.152</v>
      </c>
      <c r="D1044" s="23" t="s">
        <v>56</v>
      </c>
    </row>
    <row r="1045">
      <c r="A1045" s="202">
        <v>45222.0</v>
      </c>
      <c r="B1045" s="23" t="s">
        <v>181</v>
      </c>
      <c r="C1045" s="201">
        <v>8.692</v>
      </c>
      <c r="D1045" s="23" t="s">
        <v>46</v>
      </c>
    </row>
    <row r="1046">
      <c r="A1046" s="202">
        <v>45222.0</v>
      </c>
      <c r="B1046" s="23" t="s">
        <v>182</v>
      </c>
      <c r="C1046" s="201">
        <v>9.678</v>
      </c>
      <c r="D1046" s="23" t="s">
        <v>46</v>
      </c>
    </row>
    <row r="1047">
      <c r="A1047" s="202">
        <v>45222.0</v>
      </c>
      <c r="B1047" s="23" t="s">
        <v>207</v>
      </c>
      <c r="C1047" s="201">
        <v>4.6</v>
      </c>
      <c r="D1047" s="23" t="s">
        <v>57</v>
      </c>
    </row>
    <row r="1048">
      <c r="A1048" s="202">
        <v>45222.0</v>
      </c>
      <c r="B1048" s="23" t="s">
        <v>271</v>
      </c>
      <c r="C1048" s="201">
        <v>4.3</v>
      </c>
      <c r="D1048" s="23" t="s">
        <v>61</v>
      </c>
    </row>
    <row r="1049">
      <c r="A1049" s="202">
        <v>45222.0</v>
      </c>
      <c r="B1049" s="23" t="s">
        <v>257</v>
      </c>
      <c r="C1049" s="201">
        <v>6.1</v>
      </c>
      <c r="D1049" s="23" t="s">
        <v>69</v>
      </c>
    </row>
    <row r="1050">
      <c r="A1050" s="202">
        <v>45222.0</v>
      </c>
      <c r="B1050" s="23" t="s">
        <v>109</v>
      </c>
      <c r="C1050" s="201">
        <v>8.396</v>
      </c>
      <c r="D1050" s="23" t="s">
        <v>58</v>
      </c>
    </row>
    <row r="1051">
      <c r="A1051" s="202">
        <v>45222.0</v>
      </c>
      <c r="B1051" s="23" t="s">
        <v>236</v>
      </c>
      <c r="C1051" s="201">
        <v>2.9</v>
      </c>
      <c r="D1051" s="23" t="s">
        <v>59</v>
      </c>
    </row>
    <row r="1052">
      <c r="A1052" s="202">
        <v>45222.0</v>
      </c>
      <c r="B1052" s="23" t="s">
        <v>218</v>
      </c>
      <c r="C1052" s="201">
        <v>3.2</v>
      </c>
      <c r="D1052" s="23" t="s">
        <v>67</v>
      </c>
    </row>
    <row r="1053">
      <c r="A1053" s="202">
        <v>45222.0</v>
      </c>
      <c r="B1053" s="23" t="s">
        <v>176</v>
      </c>
      <c r="C1053" s="201">
        <v>2.5</v>
      </c>
      <c r="D1053" s="23" t="s">
        <v>60</v>
      </c>
    </row>
    <row r="1054">
      <c r="A1054" s="202">
        <v>45222.0</v>
      </c>
      <c r="B1054" s="23" t="s">
        <v>202</v>
      </c>
      <c r="C1054" s="201">
        <v>8.142</v>
      </c>
      <c r="D1054" s="23" t="s">
        <v>57</v>
      </c>
    </row>
    <row r="1055">
      <c r="A1055" s="202">
        <v>45222.0</v>
      </c>
      <c r="B1055" s="23" t="s">
        <v>204</v>
      </c>
      <c r="C1055" s="201">
        <v>8.213000000000001</v>
      </c>
      <c r="D1055" s="23" t="s">
        <v>57</v>
      </c>
    </row>
    <row r="1056">
      <c r="A1056" s="202">
        <v>45222.0</v>
      </c>
      <c r="B1056" s="23" t="s">
        <v>273</v>
      </c>
      <c r="C1056" s="201">
        <v>5.5</v>
      </c>
      <c r="D1056" s="23" t="s">
        <v>61</v>
      </c>
    </row>
    <row r="1057">
      <c r="A1057" s="202">
        <v>45222.0</v>
      </c>
      <c r="B1057" s="23" t="s">
        <v>231</v>
      </c>
      <c r="C1057" s="201">
        <v>8.924</v>
      </c>
      <c r="D1057" s="23" t="s">
        <v>59</v>
      </c>
    </row>
    <row r="1058">
      <c r="A1058" s="202">
        <v>45222.0</v>
      </c>
      <c r="B1058" s="23" t="s">
        <v>194</v>
      </c>
      <c r="C1058" s="201">
        <v>3.099</v>
      </c>
      <c r="D1058" s="23" t="s">
        <v>70</v>
      </c>
    </row>
    <row r="1059">
      <c r="A1059" s="202">
        <v>45222.0</v>
      </c>
      <c r="B1059" s="23" t="s">
        <v>198</v>
      </c>
      <c r="C1059" s="201">
        <v>7.41</v>
      </c>
      <c r="D1059" s="23" t="s">
        <v>70</v>
      </c>
    </row>
    <row r="1060">
      <c r="A1060" s="202">
        <v>45222.0</v>
      </c>
      <c r="B1060" s="23" t="s">
        <v>277</v>
      </c>
      <c r="C1060" s="201">
        <v>2.4</v>
      </c>
      <c r="D1060" s="23" t="s">
        <v>274</v>
      </c>
    </row>
    <row r="1061">
      <c r="A1061" s="202">
        <v>45222.0</v>
      </c>
      <c r="B1061" s="23" t="s">
        <v>275</v>
      </c>
      <c r="C1061" s="201">
        <v>3.3</v>
      </c>
      <c r="D1061" s="23" t="s">
        <v>274</v>
      </c>
    </row>
    <row r="1062">
      <c r="A1062" s="202">
        <v>45222.0</v>
      </c>
      <c r="B1062" s="23" t="s">
        <v>113</v>
      </c>
      <c r="C1062" s="201">
        <v>5.196000000000001</v>
      </c>
      <c r="D1062" s="23" t="s">
        <v>58</v>
      </c>
    </row>
    <row r="1063">
      <c r="A1063" s="202">
        <v>45222.0</v>
      </c>
      <c r="B1063" s="23" t="s">
        <v>208</v>
      </c>
      <c r="C1063" s="201">
        <v>5.1</v>
      </c>
      <c r="D1063" s="23" t="s">
        <v>57</v>
      </c>
    </row>
    <row r="1064">
      <c r="A1064" s="202">
        <v>45222.0</v>
      </c>
      <c r="B1064" s="23" t="s">
        <v>180</v>
      </c>
      <c r="C1064" s="201">
        <v>10.618</v>
      </c>
      <c r="D1064" s="23" t="s">
        <v>46</v>
      </c>
    </row>
    <row r="1065">
      <c r="A1065" s="202">
        <v>45222.0</v>
      </c>
      <c r="B1065" s="23" t="s">
        <v>259</v>
      </c>
      <c r="C1065" s="201">
        <v>6.7</v>
      </c>
      <c r="D1065" s="23" t="s">
        <v>125</v>
      </c>
    </row>
    <row r="1066">
      <c r="A1066" s="202">
        <v>45222.0</v>
      </c>
      <c r="B1066" s="23" t="s">
        <v>276</v>
      </c>
      <c r="C1066" s="201">
        <v>6.1</v>
      </c>
      <c r="D1066" s="23" t="s">
        <v>274</v>
      </c>
    </row>
    <row r="1067">
      <c r="A1067" s="202">
        <v>45222.0</v>
      </c>
      <c r="B1067" s="23" t="s">
        <v>215</v>
      </c>
      <c r="C1067" s="201">
        <v>7.545</v>
      </c>
      <c r="D1067" s="23" t="s">
        <v>62</v>
      </c>
    </row>
    <row r="1068">
      <c r="A1068" s="202">
        <v>45222.0</v>
      </c>
      <c r="B1068" s="23" t="s">
        <v>272</v>
      </c>
      <c r="C1068" s="201">
        <v>3.7</v>
      </c>
      <c r="D1068" s="23" t="s">
        <v>61</v>
      </c>
    </row>
    <row r="1069">
      <c r="A1069" s="202">
        <v>45222.0</v>
      </c>
      <c r="B1069" s="23" t="s">
        <v>255</v>
      </c>
      <c r="C1069" s="201">
        <v>8.16</v>
      </c>
      <c r="D1069" s="23" t="s">
        <v>69</v>
      </c>
    </row>
    <row r="1070">
      <c r="A1070" s="202">
        <v>45222.0</v>
      </c>
      <c r="B1070" t="s">
        <v>183</v>
      </c>
      <c r="C1070" s="23">
        <v>8.41</v>
      </c>
      <c r="D1070" t="s">
        <v>46</v>
      </c>
    </row>
    <row r="1071">
      <c r="A1071" s="202">
        <v>45222.0</v>
      </c>
      <c r="B1071" t="s">
        <v>78</v>
      </c>
      <c r="C1071" s="23">
        <v>2.4</v>
      </c>
      <c r="D1071" t="s">
        <v>35</v>
      </c>
    </row>
    <row r="1072">
      <c r="A1072" s="202">
        <v>45222.0</v>
      </c>
      <c r="B1072" t="s">
        <v>260</v>
      </c>
      <c r="C1072" s="23">
        <v>8.1</v>
      </c>
      <c r="D1072" t="s">
        <v>125</v>
      </c>
    </row>
    <row r="1073">
      <c r="A1073" s="23" t="s">
        <v>680</v>
      </c>
      <c r="B1073" s="23" t="s">
        <v>3</v>
      </c>
      <c r="C1073" s="23" t="s">
        <v>279</v>
      </c>
      <c r="D1073" s="23" t="s">
        <v>280</v>
      </c>
    </row>
    <row r="1074">
      <c r="A1074" s="202">
        <v>45229.0</v>
      </c>
      <c r="B1074" s="23" t="s">
        <v>243</v>
      </c>
      <c r="C1074" s="201">
        <v>11.097</v>
      </c>
      <c r="D1074" s="23" t="s">
        <v>69</v>
      </c>
    </row>
    <row r="1075">
      <c r="A1075" s="202">
        <v>45229.0</v>
      </c>
      <c r="B1075" s="23" t="s">
        <v>189</v>
      </c>
      <c r="C1075" s="201">
        <v>2.1</v>
      </c>
      <c r="D1075" s="23" t="s">
        <v>46</v>
      </c>
    </row>
    <row r="1076">
      <c r="A1076" s="202">
        <v>45229.0</v>
      </c>
      <c r="B1076" s="23" t="s">
        <v>137</v>
      </c>
      <c r="C1076" s="201">
        <v>10.293</v>
      </c>
      <c r="D1076" s="23" t="s">
        <v>60</v>
      </c>
    </row>
    <row r="1077">
      <c r="A1077" s="202">
        <v>45229.0</v>
      </c>
      <c r="B1077" s="23" t="s">
        <v>71</v>
      </c>
      <c r="C1077" s="201">
        <v>5.5889999999999995</v>
      </c>
      <c r="D1077" s="23" t="s">
        <v>35</v>
      </c>
    </row>
    <row r="1078">
      <c r="A1078" s="202">
        <v>45229.0</v>
      </c>
      <c r="B1078" s="23" t="s">
        <v>174</v>
      </c>
      <c r="C1078" s="201">
        <v>2.5</v>
      </c>
      <c r="D1078" s="23" t="s">
        <v>60</v>
      </c>
    </row>
    <row r="1079">
      <c r="A1079" s="202">
        <v>45229.0</v>
      </c>
      <c r="B1079" s="23" t="s">
        <v>217</v>
      </c>
      <c r="C1079" s="201">
        <v>7.392</v>
      </c>
      <c r="D1079" s="23" t="s">
        <v>67</v>
      </c>
    </row>
    <row r="1080">
      <c r="A1080" s="202">
        <v>45229.0</v>
      </c>
      <c r="B1080" s="23" t="s">
        <v>213</v>
      </c>
      <c r="C1080" s="201">
        <v>4.4</v>
      </c>
      <c r="D1080" s="23" t="s">
        <v>57</v>
      </c>
    </row>
    <row r="1081">
      <c r="A1081" s="202">
        <v>45229.0</v>
      </c>
      <c r="B1081" s="23" t="s">
        <v>254</v>
      </c>
      <c r="C1081" s="201">
        <v>4.999</v>
      </c>
      <c r="D1081" s="23" t="s">
        <v>69</v>
      </c>
    </row>
    <row r="1082">
      <c r="A1082" s="202">
        <v>45229.0</v>
      </c>
      <c r="B1082" s="23" t="s">
        <v>123</v>
      </c>
      <c r="C1082" s="201">
        <v>3.6</v>
      </c>
      <c r="D1082" s="23" t="s">
        <v>56</v>
      </c>
    </row>
    <row r="1083">
      <c r="A1083" s="202">
        <v>45229.0</v>
      </c>
      <c r="B1083" s="23" t="s">
        <v>112</v>
      </c>
      <c r="C1083" s="201">
        <v>6.4</v>
      </c>
      <c r="D1083" s="23" t="s">
        <v>58</v>
      </c>
    </row>
    <row r="1084">
      <c r="A1084" s="202">
        <v>45229.0</v>
      </c>
      <c r="B1084" s="23" t="s">
        <v>177</v>
      </c>
      <c r="C1084" s="201">
        <v>3.4</v>
      </c>
      <c r="D1084" s="23" t="s">
        <v>60</v>
      </c>
    </row>
    <row r="1085">
      <c r="A1085" s="202">
        <v>45229.0</v>
      </c>
      <c r="B1085" s="23" t="s">
        <v>230</v>
      </c>
      <c r="C1085" s="201">
        <v>4.0</v>
      </c>
      <c r="D1085" s="23" t="s">
        <v>59</v>
      </c>
    </row>
    <row r="1086">
      <c r="A1086" s="202">
        <v>45229.0</v>
      </c>
      <c r="B1086" s="23" t="s">
        <v>227</v>
      </c>
      <c r="C1086" s="201">
        <v>6.358</v>
      </c>
      <c r="D1086" s="23" t="s">
        <v>59</v>
      </c>
    </row>
    <row r="1087">
      <c r="A1087" s="202">
        <v>45229.0</v>
      </c>
      <c r="B1087" s="23" t="s">
        <v>248</v>
      </c>
      <c r="C1087" s="201">
        <v>6.2</v>
      </c>
      <c r="D1087" s="23" t="s">
        <v>62</v>
      </c>
    </row>
    <row r="1088">
      <c r="A1088" s="202">
        <v>45229.0</v>
      </c>
      <c r="B1088" s="23" t="s">
        <v>226</v>
      </c>
      <c r="C1088" s="201">
        <v>6.399</v>
      </c>
      <c r="D1088" s="23" t="s">
        <v>67</v>
      </c>
    </row>
    <row r="1089">
      <c r="A1089" s="202">
        <v>45229.0</v>
      </c>
      <c r="B1089" s="23" t="s">
        <v>199</v>
      </c>
      <c r="C1089" s="201">
        <v>4.289</v>
      </c>
      <c r="D1089" s="23" t="s">
        <v>70</v>
      </c>
    </row>
    <row r="1090">
      <c r="A1090" s="202">
        <v>45229.0</v>
      </c>
      <c r="B1090" s="23" t="s">
        <v>119</v>
      </c>
      <c r="C1090" s="201">
        <v>6.0</v>
      </c>
      <c r="D1090" s="23" t="s">
        <v>58</v>
      </c>
    </row>
    <row r="1091">
      <c r="A1091" s="202">
        <v>45229.0</v>
      </c>
      <c r="B1091" s="23" t="s">
        <v>251</v>
      </c>
      <c r="C1091" s="201">
        <v>4.8</v>
      </c>
      <c r="D1091" s="23" t="s">
        <v>69</v>
      </c>
    </row>
    <row r="1092">
      <c r="A1092" s="202">
        <v>45229.0</v>
      </c>
      <c r="B1092" s="23" t="s">
        <v>265</v>
      </c>
      <c r="C1092" s="201">
        <v>5.198</v>
      </c>
      <c r="D1092" s="23" t="s">
        <v>125</v>
      </c>
    </row>
    <row r="1093">
      <c r="A1093" s="202">
        <v>45229.0</v>
      </c>
      <c r="B1093" s="23" t="s">
        <v>252</v>
      </c>
      <c r="C1093" s="201">
        <v>3.4</v>
      </c>
      <c r="D1093" s="23" t="s">
        <v>69</v>
      </c>
    </row>
    <row r="1094">
      <c r="A1094" s="202">
        <v>45229.0</v>
      </c>
      <c r="B1094" s="23" t="s">
        <v>242</v>
      </c>
      <c r="C1094" s="201">
        <v>3.6</v>
      </c>
      <c r="D1094" s="23" t="s">
        <v>62</v>
      </c>
    </row>
    <row r="1095">
      <c r="A1095" s="202">
        <v>45229.0</v>
      </c>
      <c r="B1095" s="23" t="s">
        <v>191</v>
      </c>
      <c r="C1095" s="201">
        <v>6.5</v>
      </c>
      <c r="D1095" s="23" t="s">
        <v>70</v>
      </c>
    </row>
    <row r="1096">
      <c r="A1096" s="202">
        <v>45229.0</v>
      </c>
      <c r="B1096" s="23" t="s">
        <v>206</v>
      </c>
      <c r="C1096" s="201">
        <v>7.811</v>
      </c>
      <c r="D1096" s="23" t="s">
        <v>57</v>
      </c>
    </row>
    <row r="1097">
      <c r="A1097" s="202">
        <v>45229.0</v>
      </c>
      <c r="B1097" s="23" t="s">
        <v>269</v>
      </c>
      <c r="C1097" s="201">
        <v>5.1</v>
      </c>
      <c r="D1097" s="23" t="s">
        <v>61</v>
      </c>
    </row>
    <row r="1098">
      <c r="A1098" s="202">
        <v>45229.0</v>
      </c>
      <c r="B1098" s="23" t="s">
        <v>105</v>
      </c>
      <c r="C1098" s="201">
        <v>5.0</v>
      </c>
      <c r="D1098" s="23" t="s">
        <v>58</v>
      </c>
    </row>
    <row r="1099">
      <c r="A1099" s="202">
        <v>45229.0</v>
      </c>
      <c r="B1099" s="23" t="s">
        <v>187</v>
      </c>
      <c r="C1099" s="201">
        <v>7.79</v>
      </c>
      <c r="D1099" s="23" t="s">
        <v>46</v>
      </c>
    </row>
    <row r="1100">
      <c r="A1100" s="202">
        <v>45229.0</v>
      </c>
      <c r="B1100" s="23" t="s">
        <v>246</v>
      </c>
      <c r="C1100" s="201">
        <v>2.9</v>
      </c>
      <c r="D1100" s="23" t="s">
        <v>62</v>
      </c>
    </row>
    <row r="1101">
      <c r="A1101" s="202">
        <v>45229.0</v>
      </c>
      <c r="B1101" s="23" t="s">
        <v>238</v>
      </c>
      <c r="C1101" s="201">
        <v>5.2</v>
      </c>
      <c r="D1101" s="23" t="s">
        <v>59</v>
      </c>
    </row>
    <row r="1102">
      <c r="A1102" s="202">
        <v>45229.0</v>
      </c>
      <c r="B1102" s="23" t="s">
        <v>133</v>
      </c>
      <c r="C1102" s="201">
        <v>5.896000000000001</v>
      </c>
      <c r="D1102" s="23" t="s">
        <v>56</v>
      </c>
    </row>
    <row r="1103">
      <c r="A1103" s="202">
        <v>45229.0</v>
      </c>
      <c r="B1103" s="23" t="s">
        <v>127</v>
      </c>
      <c r="C1103" s="201">
        <v>6.1</v>
      </c>
      <c r="D1103" s="23" t="s">
        <v>56</v>
      </c>
    </row>
    <row r="1104">
      <c r="A1104" s="202">
        <v>45229.0</v>
      </c>
      <c r="B1104" s="23" t="s">
        <v>220</v>
      </c>
      <c r="C1104" s="201">
        <v>4.4</v>
      </c>
      <c r="D1104" s="23" t="s">
        <v>67</v>
      </c>
    </row>
    <row r="1105">
      <c r="A1105" s="202">
        <v>45229.0</v>
      </c>
      <c r="B1105" s="23" t="s">
        <v>224</v>
      </c>
      <c r="C1105" s="201">
        <v>11.601</v>
      </c>
      <c r="D1105" s="23" t="s">
        <v>125</v>
      </c>
    </row>
    <row r="1106">
      <c r="A1106" s="202">
        <v>45229.0</v>
      </c>
      <c r="B1106" s="23" t="s">
        <v>241</v>
      </c>
      <c r="C1106" s="201">
        <v>9.733</v>
      </c>
      <c r="D1106" s="23" t="s">
        <v>62</v>
      </c>
    </row>
    <row r="1107">
      <c r="A1107" s="202">
        <v>45229.0</v>
      </c>
      <c r="B1107" s="23" t="s">
        <v>63</v>
      </c>
      <c r="C1107" s="201">
        <v>11.068</v>
      </c>
      <c r="D1107" s="23" t="s">
        <v>35</v>
      </c>
    </row>
    <row r="1108">
      <c r="A1108" s="202">
        <v>45229.0</v>
      </c>
      <c r="B1108" s="23" t="s">
        <v>245</v>
      </c>
      <c r="C1108" s="201">
        <v>8.385</v>
      </c>
      <c r="D1108" s="23" t="s">
        <v>62</v>
      </c>
    </row>
    <row r="1109">
      <c r="A1109" s="202">
        <v>45229.0</v>
      </c>
      <c r="B1109" s="23" t="s">
        <v>232</v>
      </c>
      <c r="C1109" s="201">
        <v>7.745</v>
      </c>
      <c r="D1109" s="23" t="s">
        <v>59</v>
      </c>
    </row>
    <row r="1110">
      <c r="A1110" s="202">
        <v>45229.0</v>
      </c>
      <c r="B1110" s="23" t="s">
        <v>229</v>
      </c>
      <c r="C1110" s="201">
        <v>5.2989999999999995</v>
      </c>
      <c r="D1110" s="23" t="s">
        <v>59</v>
      </c>
    </row>
    <row r="1111">
      <c r="A1111" s="202">
        <v>45229.0</v>
      </c>
      <c r="B1111" s="23" t="s">
        <v>173</v>
      </c>
      <c r="C1111" s="201">
        <v>3.1</v>
      </c>
      <c r="D1111" s="23" t="s">
        <v>60</v>
      </c>
    </row>
    <row r="1112">
      <c r="A1112" s="202">
        <v>45229.0</v>
      </c>
      <c r="B1112" s="23" t="s">
        <v>210</v>
      </c>
      <c r="C1112" s="201">
        <v>4.7</v>
      </c>
      <c r="D1112" s="23" t="s">
        <v>57</v>
      </c>
    </row>
    <row r="1113">
      <c r="A1113" s="202">
        <v>45229.0</v>
      </c>
      <c r="B1113" s="23" t="s">
        <v>186</v>
      </c>
      <c r="C1113" s="201">
        <v>5.0</v>
      </c>
      <c r="D1113" s="23" t="s">
        <v>46</v>
      </c>
    </row>
    <row r="1114">
      <c r="A1114" s="202">
        <v>45229.0</v>
      </c>
      <c r="B1114" s="23" t="s">
        <v>195</v>
      </c>
      <c r="C1114" s="201">
        <v>3.5</v>
      </c>
      <c r="D1114" s="23" t="s">
        <v>70</v>
      </c>
    </row>
    <row r="1115">
      <c r="A1115" s="202">
        <v>45229.0</v>
      </c>
      <c r="B1115" s="23" t="s">
        <v>266</v>
      </c>
      <c r="C1115" s="201">
        <v>8.768</v>
      </c>
      <c r="D1115" s="23" t="s">
        <v>61</v>
      </c>
    </row>
    <row r="1116">
      <c r="A1116" s="202">
        <v>45229.0</v>
      </c>
      <c r="B1116" s="23" t="s">
        <v>124</v>
      </c>
      <c r="C1116" s="201">
        <v>6.492</v>
      </c>
      <c r="D1116" s="23" t="s">
        <v>56</v>
      </c>
    </row>
    <row r="1117">
      <c r="A1117" s="202">
        <v>45229.0</v>
      </c>
      <c r="B1117" s="23" t="s">
        <v>262</v>
      </c>
      <c r="C1117" s="201">
        <v>10.7</v>
      </c>
      <c r="D1117" s="23" t="s">
        <v>125</v>
      </c>
    </row>
    <row r="1118">
      <c r="A1118" s="202">
        <v>45229.0</v>
      </c>
      <c r="B1118" s="23" t="s">
        <v>192</v>
      </c>
      <c r="C1118" s="201">
        <v>7.798</v>
      </c>
      <c r="D1118" s="23" t="s">
        <v>70</v>
      </c>
    </row>
    <row r="1119">
      <c r="A1119" s="202">
        <v>45229.0</v>
      </c>
      <c r="B1119" s="23" t="s">
        <v>74</v>
      </c>
      <c r="C1119" s="201">
        <v>8.839</v>
      </c>
      <c r="D1119" s="23" t="s">
        <v>35</v>
      </c>
    </row>
    <row r="1120">
      <c r="A1120" s="202">
        <v>45229.0</v>
      </c>
      <c r="B1120" s="23" t="s">
        <v>75</v>
      </c>
      <c r="C1120" s="201">
        <v>2.1</v>
      </c>
      <c r="D1120" s="23" t="s">
        <v>35</v>
      </c>
    </row>
    <row r="1121">
      <c r="A1121" s="202">
        <v>45229.0</v>
      </c>
      <c r="B1121" s="23" t="s">
        <v>196</v>
      </c>
      <c r="C1121" s="201">
        <v>6.3</v>
      </c>
      <c r="D1121" s="23" t="s">
        <v>70</v>
      </c>
    </row>
    <row r="1122">
      <c r="A1122" s="202">
        <v>45229.0</v>
      </c>
      <c r="B1122" s="23" t="s">
        <v>102</v>
      </c>
      <c r="C1122" s="201">
        <v>11.444999999999999</v>
      </c>
      <c r="D1122" s="23" t="s">
        <v>58</v>
      </c>
    </row>
    <row r="1123">
      <c r="A1123" s="202">
        <v>45229.0</v>
      </c>
      <c r="B1123" s="23" t="s">
        <v>175</v>
      </c>
      <c r="C1123" s="201">
        <v>7.799</v>
      </c>
      <c r="D1123" s="23" t="s">
        <v>60</v>
      </c>
    </row>
    <row r="1124">
      <c r="A1124" s="202">
        <v>45229.0</v>
      </c>
      <c r="B1124" s="23" t="s">
        <v>250</v>
      </c>
      <c r="C1124" s="201">
        <v>4.1</v>
      </c>
      <c r="D1124" s="23" t="s">
        <v>69</v>
      </c>
    </row>
    <row r="1125">
      <c r="A1125" s="202">
        <v>45229.0</v>
      </c>
      <c r="B1125" s="23" t="s">
        <v>164</v>
      </c>
      <c r="C1125" s="201">
        <v>9.848</v>
      </c>
      <c r="D1125" s="23" t="s">
        <v>60</v>
      </c>
    </row>
    <row r="1126">
      <c r="A1126" s="202">
        <v>45229.0</v>
      </c>
      <c r="B1126" s="23" t="s">
        <v>219</v>
      </c>
      <c r="C1126" s="201">
        <v>8.89</v>
      </c>
      <c r="D1126" s="23" t="s">
        <v>69</v>
      </c>
    </row>
    <row r="1127">
      <c r="A1127" s="202">
        <v>45229.0</v>
      </c>
      <c r="B1127" s="23" t="s">
        <v>111</v>
      </c>
      <c r="C1127" s="201">
        <v>6.098</v>
      </c>
      <c r="D1127" s="23" t="s">
        <v>58</v>
      </c>
    </row>
    <row r="1128">
      <c r="A1128" s="202">
        <v>45229.0</v>
      </c>
      <c r="B1128" s="23" t="s">
        <v>244</v>
      </c>
      <c r="C1128" s="201">
        <v>6.5</v>
      </c>
      <c r="D1128" s="23" t="s">
        <v>62</v>
      </c>
    </row>
    <row r="1129">
      <c r="A1129" s="202">
        <v>45229.0</v>
      </c>
      <c r="B1129" s="23" t="s">
        <v>118</v>
      </c>
      <c r="C1129" s="201">
        <v>8.860000000000001</v>
      </c>
      <c r="D1129" s="23" t="s">
        <v>58</v>
      </c>
    </row>
    <row r="1130">
      <c r="A1130" s="202">
        <v>45229.0</v>
      </c>
      <c r="B1130" s="23" t="s">
        <v>240</v>
      </c>
      <c r="C1130" s="201">
        <v>9.563</v>
      </c>
      <c r="D1130" s="23" t="s">
        <v>62</v>
      </c>
    </row>
    <row r="1131">
      <c r="A1131" s="202">
        <v>45229.0</v>
      </c>
      <c r="B1131" s="23" t="s">
        <v>79</v>
      </c>
      <c r="C1131" s="201">
        <v>8.189</v>
      </c>
      <c r="D1131" s="23" t="s">
        <v>35</v>
      </c>
    </row>
    <row r="1132">
      <c r="A1132" s="202">
        <v>45229.0</v>
      </c>
      <c r="B1132" s="23" t="s">
        <v>178</v>
      </c>
      <c r="C1132" s="201">
        <v>3.0</v>
      </c>
      <c r="D1132" s="23" t="s">
        <v>60</v>
      </c>
    </row>
    <row r="1133">
      <c r="A1133" s="202">
        <v>45229.0</v>
      </c>
      <c r="B1133" s="23" t="s">
        <v>209</v>
      </c>
      <c r="C1133" s="201">
        <v>10.955</v>
      </c>
      <c r="D1133" s="23" t="s">
        <v>59</v>
      </c>
    </row>
    <row r="1134">
      <c r="A1134" s="202">
        <v>45229.0</v>
      </c>
      <c r="B1134" s="23" t="s">
        <v>228</v>
      </c>
      <c r="C1134" s="201">
        <v>4.397</v>
      </c>
      <c r="D1134" s="23" t="s">
        <v>61</v>
      </c>
    </row>
    <row r="1135">
      <c r="A1135" s="202">
        <v>45229.0</v>
      </c>
      <c r="B1135" s="23" t="s">
        <v>116</v>
      </c>
      <c r="C1135" s="201">
        <v>6.494</v>
      </c>
      <c r="D1135" s="23" t="s">
        <v>58</v>
      </c>
    </row>
    <row r="1136">
      <c r="A1136" s="202">
        <v>45229.0</v>
      </c>
      <c r="B1136" s="23" t="s">
        <v>249</v>
      </c>
      <c r="C1136" s="201">
        <v>5.8</v>
      </c>
      <c r="D1136" s="23" t="s">
        <v>62</v>
      </c>
    </row>
    <row r="1137">
      <c r="A1137" s="202">
        <v>45229.0</v>
      </c>
      <c r="B1137" s="23" t="s">
        <v>237</v>
      </c>
      <c r="C1137" s="201">
        <v>8.887</v>
      </c>
      <c r="D1137" s="23" t="s">
        <v>59</v>
      </c>
    </row>
    <row r="1138">
      <c r="A1138" s="202">
        <v>45229.0</v>
      </c>
      <c r="B1138" s="23" t="s">
        <v>234</v>
      </c>
      <c r="C1138" s="201">
        <v>5.2</v>
      </c>
      <c r="D1138" s="23" t="s">
        <v>59</v>
      </c>
    </row>
    <row r="1139">
      <c r="A1139" s="202">
        <v>45229.0</v>
      </c>
      <c r="B1139" s="23" t="s">
        <v>268</v>
      </c>
      <c r="C1139" s="201">
        <v>6.699</v>
      </c>
      <c r="D1139" s="23" t="s">
        <v>61</v>
      </c>
    </row>
    <row r="1140">
      <c r="A1140" s="202">
        <v>45229.0</v>
      </c>
      <c r="B1140" s="23" t="s">
        <v>80</v>
      </c>
      <c r="C1140" s="201">
        <v>6.596</v>
      </c>
      <c r="D1140" s="23" t="s">
        <v>35</v>
      </c>
    </row>
    <row r="1141">
      <c r="A1141" s="202">
        <v>45229.0</v>
      </c>
      <c r="B1141" s="23" t="s">
        <v>258</v>
      </c>
      <c r="C1141" s="201">
        <v>3.5</v>
      </c>
      <c r="D1141" s="23" t="s">
        <v>125</v>
      </c>
    </row>
    <row r="1142">
      <c r="A1142" s="202">
        <v>45229.0</v>
      </c>
      <c r="B1142" s="23" t="s">
        <v>88</v>
      </c>
      <c r="C1142" s="201">
        <v>3.8</v>
      </c>
      <c r="D1142" s="23" t="s">
        <v>35</v>
      </c>
    </row>
    <row r="1143">
      <c r="A1143" s="202">
        <v>45229.0</v>
      </c>
      <c r="B1143" s="23" t="s">
        <v>201</v>
      </c>
      <c r="C1143" s="201">
        <v>7.434</v>
      </c>
      <c r="D1143" s="23" t="s">
        <v>57</v>
      </c>
    </row>
    <row r="1144">
      <c r="A1144" s="202">
        <v>45229.0</v>
      </c>
      <c r="B1144" s="23" t="s">
        <v>216</v>
      </c>
      <c r="C1144" s="201">
        <v>8.687999999999999</v>
      </c>
      <c r="D1144" s="23" t="s">
        <v>67</v>
      </c>
    </row>
    <row r="1145">
      <c r="A1145" s="202">
        <v>45229.0</v>
      </c>
      <c r="B1145" s="23" t="s">
        <v>221</v>
      </c>
      <c r="C1145" s="201">
        <v>4.4</v>
      </c>
      <c r="D1145" s="23" t="s">
        <v>67</v>
      </c>
    </row>
    <row r="1146">
      <c r="A1146" s="202">
        <v>45229.0</v>
      </c>
      <c r="B1146" s="23" t="s">
        <v>117</v>
      </c>
      <c r="C1146" s="201">
        <v>6.978</v>
      </c>
      <c r="D1146" s="23" t="s">
        <v>58</v>
      </c>
    </row>
    <row r="1147">
      <c r="A1147" s="202">
        <v>45229.0</v>
      </c>
      <c r="B1147" s="23" t="s">
        <v>261</v>
      </c>
      <c r="C1147" s="201">
        <v>5.2</v>
      </c>
      <c r="D1147" s="23" t="s">
        <v>125</v>
      </c>
    </row>
    <row r="1148">
      <c r="A1148" s="202">
        <v>45229.0</v>
      </c>
      <c r="B1148" s="23" t="s">
        <v>128</v>
      </c>
      <c r="C1148" s="201">
        <v>9.6</v>
      </c>
      <c r="D1148" s="23" t="s">
        <v>56</v>
      </c>
    </row>
    <row r="1149">
      <c r="A1149" s="202">
        <v>45229.0</v>
      </c>
      <c r="B1149" s="23" t="s">
        <v>214</v>
      </c>
      <c r="C1149" s="201">
        <v>8.192</v>
      </c>
      <c r="D1149" s="23" t="s">
        <v>57</v>
      </c>
    </row>
    <row r="1150">
      <c r="A1150" s="202">
        <v>45229.0</v>
      </c>
      <c r="B1150" s="23" t="s">
        <v>200</v>
      </c>
      <c r="C1150" s="201">
        <v>11.276</v>
      </c>
      <c r="D1150" s="23" t="s">
        <v>57</v>
      </c>
    </row>
    <row r="1151">
      <c r="A1151" s="202">
        <v>45229.0</v>
      </c>
      <c r="B1151" s="23" t="s">
        <v>179</v>
      </c>
      <c r="C1151" s="201">
        <v>10.442</v>
      </c>
      <c r="D1151" s="23" t="s">
        <v>60</v>
      </c>
    </row>
    <row r="1152">
      <c r="A1152" s="202">
        <v>45229.0</v>
      </c>
      <c r="B1152" s="23" t="s">
        <v>267</v>
      </c>
      <c r="C1152" s="201">
        <v>8.17</v>
      </c>
      <c r="D1152" s="23" t="s">
        <v>61</v>
      </c>
    </row>
    <row r="1153">
      <c r="A1153" s="202">
        <v>45229.0</v>
      </c>
      <c r="B1153" s="23" t="s">
        <v>270</v>
      </c>
      <c r="C1153" s="201">
        <v>4.991</v>
      </c>
      <c r="D1153" s="23" t="s">
        <v>61</v>
      </c>
    </row>
    <row r="1154">
      <c r="A1154" s="202">
        <v>45229.0</v>
      </c>
      <c r="B1154" s="23" t="s">
        <v>225</v>
      </c>
      <c r="C1154" s="201">
        <v>9.689</v>
      </c>
      <c r="D1154" s="23" t="s">
        <v>67</v>
      </c>
    </row>
    <row r="1155">
      <c r="A1155" s="202">
        <v>45229.0</v>
      </c>
      <c r="B1155" s="23" t="s">
        <v>38</v>
      </c>
      <c r="C1155" s="201">
        <v>10.481</v>
      </c>
      <c r="D1155" s="23" t="s">
        <v>35</v>
      </c>
    </row>
    <row r="1156">
      <c r="A1156" s="202">
        <v>45229.0</v>
      </c>
      <c r="B1156" s="23" t="s">
        <v>247</v>
      </c>
      <c r="C1156" s="201">
        <v>8.464</v>
      </c>
      <c r="D1156" s="23" t="s">
        <v>62</v>
      </c>
    </row>
    <row r="1157">
      <c r="A1157" s="202">
        <v>45229.0</v>
      </c>
      <c r="B1157" s="23" t="s">
        <v>135</v>
      </c>
      <c r="C1157" s="201">
        <v>10.151</v>
      </c>
      <c r="D1157" s="23" t="s">
        <v>56</v>
      </c>
    </row>
    <row r="1158">
      <c r="A1158" s="202">
        <v>45229.0</v>
      </c>
      <c r="B1158" s="23" t="s">
        <v>256</v>
      </c>
      <c r="C1158" s="201">
        <v>3.3</v>
      </c>
      <c r="D1158" s="23" t="s">
        <v>69</v>
      </c>
    </row>
    <row r="1159">
      <c r="A1159" s="202">
        <v>45229.0</v>
      </c>
      <c r="B1159" s="23" t="s">
        <v>222</v>
      </c>
      <c r="C1159" s="201">
        <v>3.6</v>
      </c>
      <c r="D1159" s="23" t="s">
        <v>67</v>
      </c>
    </row>
    <row r="1160">
      <c r="A1160" s="202">
        <v>45229.0</v>
      </c>
      <c r="B1160" s="23" t="s">
        <v>263</v>
      </c>
      <c r="C1160" s="201">
        <v>5.7</v>
      </c>
      <c r="D1160" s="23" t="s">
        <v>125</v>
      </c>
    </row>
    <row r="1161">
      <c r="A1161" s="202">
        <v>45229.0</v>
      </c>
      <c r="B1161" s="23" t="s">
        <v>185</v>
      </c>
      <c r="C1161" s="201">
        <v>7.0</v>
      </c>
      <c r="D1161" s="23" t="s">
        <v>46</v>
      </c>
    </row>
    <row r="1162">
      <c r="A1162" s="202">
        <v>45229.0</v>
      </c>
      <c r="B1162" s="23" t="s">
        <v>190</v>
      </c>
      <c r="C1162" s="201">
        <v>4.2</v>
      </c>
      <c r="D1162" s="23" t="s">
        <v>70</v>
      </c>
    </row>
    <row r="1163">
      <c r="A1163" s="202">
        <v>45229.0</v>
      </c>
      <c r="B1163" s="23" t="s">
        <v>129</v>
      </c>
      <c r="C1163" s="201">
        <v>5.865</v>
      </c>
      <c r="D1163" s="23" t="s">
        <v>56</v>
      </c>
    </row>
    <row r="1164">
      <c r="A1164" s="202">
        <v>45229.0</v>
      </c>
      <c r="B1164" s="23" t="s">
        <v>139</v>
      </c>
      <c r="C1164" s="201">
        <v>9.513</v>
      </c>
      <c r="D1164" s="23" t="s">
        <v>60</v>
      </c>
    </row>
    <row r="1165">
      <c r="A1165" s="202">
        <v>45229.0</v>
      </c>
      <c r="B1165" s="23" t="s">
        <v>205</v>
      </c>
      <c r="C1165" s="201">
        <v>6.702999999999999</v>
      </c>
      <c r="D1165" s="23" t="s">
        <v>67</v>
      </c>
    </row>
    <row r="1166">
      <c r="A1166" s="202">
        <v>45229.0</v>
      </c>
      <c r="B1166" s="23" t="s">
        <v>184</v>
      </c>
      <c r="C1166" s="201">
        <v>4.5</v>
      </c>
      <c r="D1166" s="23" t="s">
        <v>46</v>
      </c>
    </row>
    <row r="1167">
      <c r="A1167" s="202">
        <v>45229.0</v>
      </c>
      <c r="B1167" s="23" t="s">
        <v>253</v>
      </c>
      <c r="C1167" s="201">
        <v>5.8</v>
      </c>
      <c r="D1167" s="23" t="s">
        <v>69</v>
      </c>
    </row>
    <row r="1168">
      <c r="A1168" s="202">
        <v>45229.0</v>
      </c>
      <c r="B1168" s="23" t="s">
        <v>197</v>
      </c>
      <c r="C1168" s="201">
        <v>1.9</v>
      </c>
      <c r="D1168" s="23" t="s">
        <v>70</v>
      </c>
    </row>
    <row r="1169">
      <c r="A1169" s="202">
        <v>45229.0</v>
      </c>
      <c r="B1169" s="23" t="s">
        <v>193</v>
      </c>
      <c r="C1169" s="201">
        <v>2.5</v>
      </c>
      <c r="D1169" s="23" t="s">
        <v>70</v>
      </c>
    </row>
    <row r="1170">
      <c r="A1170" s="202">
        <v>45229.0</v>
      </c>
      <c r="B1170" s="23" t="s">
        <v>130</v>
      </c>
      <c r="C1170" s="201">
        <v>6.6</v>
      </c>
      <c r="D1170" s="23" t="s">
        <v>56</v>
      </c>
    </row>
    <row r="1171">
      <c r="A1171" s="202">
        <v>45229.0</v>
      </c>
      <c r="B1171" s="23" t="s">
        <v>223</v>
      </c>
      <c r="C1171" s="201">
        <v>5.7</v>
      </c>
      <c r="D1171" s="23" t="s">
        <v>67</v>
      </c>
    </row>
    <row r="1172">
      <c r="A1172" s="202">
        <v>45229.0</v>
      </c>
      <c r="B1172" s="23" t="s">
        <v>81</v>
      </c>
      <c r="C1172" s="201">
        <v>2.7</v>
      </c>
      <c r="D1172" s="23" t="s">
        <v>35</v>
      </c>
    </row>
    <row r="1173">
      <c r="A1173" s="202">
        <v>45229.0</v>
      </c>
      <c r="B1173" s="23" t="s">
        <v>233</v>
      </c>
      <c r="C1173" s="201">
        <v>8.875</v>
      </c>
      <c r="D1173" s="23" t="s">
        <v>61</v>
      </c>
    </row>
    <row r="1174">
      <c r="A1174" s="202">
        <v>45229.0</v>
      </c>
      <c r="B1174" s="23" t="s">
        <v>264</v>
      </c>
      <c r="C1174" s="201">
        <v>7.498</v>
      </c>
      <c r="D1174" s="23" t="s">
        <v>125</v>
      </c>
    </row>
    <row r="1175">
      <c r="A1175" s="202">
        <v>45229.0</v>
      </c>
      <c r="B1175" s="23" t="s">
        <v>239</v>
      </c>
      <c r="C1175" s="201">
        <v>10.161</v>
      </c>
      <c r="D1175" s="23" t="s">
        <v>125</v>
      </c>
    </row>
    <row r="1176">
      <c r="A1176" s="202">
        <v>45229.0</v>
      </c>
      <c r="B1176" s="23" t="s">
        <v>126</v>
      </c>
      <c r="C1176" s="201">
        <v>6.598999999999999</v>
      </c>
      <c r="D1176" s="23" t="s">
        <v>56</v>
      </c>
    </row>
    <row r="1177">
      <c r="A1177" s="202">
        <v>45229.0</v>
      </c>
      <c r="B1177" s="23" t="s">
        <v>188</v>
      </c>
      <c r="C1177" s="201">
        <v>4.6</v>
      </c>
      <c r="D1177" s="23" t="s">
        <v>46</v>
      </c>
    </row>
    <row r="1178">
      <c r="A1178" s="202">
        <v>45229.0</v>
      </c>
      <c r="B1178" s="23" t="s">
        <v>120</v>
      </c>
      <c r="C1178" s="201">
        <v>10.181</v>
      </c>
      <c r="D1178" s="23" t="s">
        <v>56</v>
      </c>
    </row>
    <row r="1179">
      <c r="A1179" s="202">
        <v>45229.0</v>
      </c>
      <c r="B1179" s="23" t="s">
        <v>181</v>
      </c>
      <c r="C1179" s="201">
        <v>9.08</v>
      </c>
      <c r="D1179" s="23" t="s">
        <v>46</v>
      </c>
    </row>
    <row r="1180">
      <c r="A1180" s="202">
        <v>45229.0</v>
      </c>
      <c r="B1180" s="23" t="s">
        <v>182</v>
      </c>
      <c r="C1180" s="201">
        <v>10.004</v>
      </c>
      <c r="D1180" s="23" t="s">
        <v>46</v>
      </c>
    </row>
    <row r="1181">
      <c r="A1181" s="202">
        <v>45229.0</v>
      </c>
      <c r="B1181" s="23" t="s">
        <v>207</v>
      </c>
      <c r="C1181" s="201">
        <v>4.3</v>
      </c>
      <c r="D1181" s="23" t="s">
        <v>57</v>
      </c>
    </row>
    <row r="1182">
      <c r="A1182" s="202">
        <v>45229.0</v>
      </c>
      <c r="B1182" s="23" t="s">
        <v>271</v>
      </c>
      <c r="C1182" s="201">
        <v>4.3</v>
      </c>
      <c r="D1182" s="23" t="s">
        <v>61</v>
      </c>
    </row>
    <row r="1183">
      <c r="A1183" s="202">
        <v>45229.0</v>
      </c>
      <c r="B1183" s="23" t="s">
        <v>257</v>
      </c>
      <c r="C1183" s="201">
        <v>5.3</v>
      </c>
      <c r="D1183" s="23" t="s">
        <v>69</v>
      </c>
    </row>
    <row r="1184">
      <c r="A1184" s="202">
        <v>45229.0</v>
      </c>
      <c r="B1184" s="23" t="s">
        <v>109</v>
      </c>
      <c r="C1184" s="201">
        <v>8.493</v>
      </c>
      <c r="D1184" s="23" t="s">
        <v>58</v>
      </c>
    </row>
    <row r="1185">
      <c r="A1185" s="202">
        <v>45229.0</v>
      </c>
      <c r="B1185" s="23" t="s">
        <v>236</v>
      </c>
      <c r="C1185" s="201">
        <v>2.7</v>
      </c>
      <c r="D1185" s="23" t="s">
        <v>59</v>
      </c>
    </row>
    <row r="1186">
      <c r="A1186" s="202">
        <v>45229.0</v>
      </c>
      <c r="B1186" s="23" t="s">
        <v>218</v>
      </c>
      <c r="C1186" s="201">
        <v>2.6</v>
      </c>
      <c r="D1186" s="23" t="s">
        <v>67</v>
      </c>
    </row>
    <row r="1187">
      <c r="A1187" s="202">
        <v>45229.0</v>
      </c>
      <c r="B1187" s="23" t="s">
        <v>176</v>
      </c>
      <c r="C1187" s="201">
        <v>3.4</v>
      </c>
      <c r="D1187" s="23" t="s">
        <v>60</v>
      </c>
    </row>
    <row r="1188">
      <c r="A1188" s="202">
        <v>45229.0</v>
      </c>
      <c r="B1188" s="23" t="s">
        <v>202</v>
      </c>
      <c r="C1188" s="201">
        <v>7.966</v>
      </c>
      <c r="D1188" s="23" t="s">
        <v>57</v>
      </c>
    </row>
    <row r="1189">
      <c r="A1189" s="202">
        <v>45229.0</v>
      </c>
      <c r="B1189" s="23" t="s">
        <v>204</v>
      </c>
      <c r="C1189" s="201">
        <v>8.472999999999999</v>
      </c>
      <c r="D1189" s="23" t="s">
        <v>57</v>
      </c>
    </row>
    <row r="1190">
      <c r="A1190" s="202">
        <v>45229.0</v>
      </c>
      <c r="B1190" s="23" t="s">
        <v>273</v>
      </c>
      <c r="C1190" s="201">
        <v>5.5</v>
      </c>
      <c r="D1190" s="23" t="s">
        <v>61</v>
      </c>
    </row>
    <row r="1191">
      <c r="A1191" s="202">
        <v>45229.0</v>
      </c>
      <c r="B1191" s="23" t="s">
        <v>231</v>
      </c>
      <c r="C1191" s="201">
        <v>8.476</v>
      </c>
      <c r="D1191" s="23" t="s">
        <v>59</v>
      </c>
    </row>
    <row r="1192">
      <c r="A1192" s="202">
        <v>45229.0</v>
      </c>
      <c r="B1192" s="23" t="s">
        <v>194</v>
      </c>
      <c r="C1192" s="201">
        <v>3.799</v>
      </c>
      <c r="D1192" s="23" t="s">
        <v>70</v>
      </c>
    </row>
    <row r="1193">
      <c r="A1193" s="202">
        <v>45229.0</v>
      </c>
      <c r="B1193" s="23" t="s">
        <v>198</v>
      </c>
      <c r="C1193" s="201">
        <v>7.626</v>
      </c>
      <c r="D1193" s="23" t="s">
        <v>70</v>
      </c>
    </row>
    <row r="1194">
      <c r="A1194" s="202">
        <v>45229.0</v>
      </c>
      <c r="B1194" s="23" t="s">
        <v>277</v>
      </c>
      <c r="C1194" s="201">
        <v>2.4</v>
      </c>
      <c r="D1194" s="23" t="s">
        <v>274</v>
      </c>
    </row>
    <row r="1195">
      <c r="A1195" s="202">
        <v>45229.0</v>
      </c>
      <c r="B1195" s="23" t="s">
        <v>275</v>
      </c>
      <c r="C1195" s="201">
        <v>3.2</v>
      </c>
      <c r="D1195" s="23" t="s">
        <v>274</v>
      </c>
    </row>
    <row r="1196">
      <c r="A1196" s="202">
        <v>45229.0</v>
      </c>
      <c r="B1196" s="23" t="s">
        <v>113</v>
      </c>
      <c r="C1196" s="201">
        <v>5.985</v>
      </c>
      <c r="D1196" s="23" t="s">
        <v>58</v>
      </c>
    </row>
    <row r="1197">
      <c r="A1197" s="202">
        <v>45229.0</v>
      </c>
      <c r="B1197" s="23" t="s">
        <v>208</v>
      </c>
      <c r="C1197" s="201">
        <v>5.0</v>
      </c>
      <c r="D1197" s="23" t="s">
        <v>57</v>
      </c>
    </row>
    <row r="1198">
      <c r="A1198" s="202">
        <v>45229.0</v>
      </c>
      <c r="B1198" s="23" t="s">
        <v>180</v>
      </c>
      <c r="C1198" s="201">
        <v>10.621</v>
      </c>
      <c r="D1198" s="23" t="s">
        <v>46</v>
      </c>
    </row>
    <row r="1199">
      <c r="A1199" s="202">
        <v>45229.0</v>
      </c>
      <c r="B1199" s="23" t="s">
        <v>259</v>
      </c>
      <c r="C1199" s="201">
        <v>5.9</v>
      </c>
      <c r="D1199" s="23" t="s">
        <v>125</v>
      </c>
    </row>
    <row r="1200">
      <c r="A1200" s="202">
        <v>45229.0</v>
      </c>
      <c r="B1200" s="23" t="s">
        <v>276</v>
      </c>
      <c r="C1200" s="201">
        <v>7.098</v>
      </c>
      <c r="D1200" s="23" t="s">
        <v>274</v>
      </c>
    </row>
    <row r="1201">
      <c r="A1201" s="202">
        <v>45229.0</v>
      </c>
      <c r="B1201" s="23" t="s">
        <v>215</v>
      </c>
      <c r="C1201" s="201">
        <v>7.125</v>
      </c>
      <c r="D1201" s="23" t="s">
        <v>62</v>
      </c>
    </row>
    <row r="1202">
      <c r="A1202" s="202">
        <v>45229.0</v>
      </c>
      <c r="B1202" s="23" t="s">
        <v>272</v>
      </c>
      <c r="C1202" s="201">
        <v>4.4</v>
      </c>
      <c r="D1202" s="23" t="s">
        <v>61</v>
      </c>
    </row>
    <row r="1203">
      <c r="A1203" s="202">
        <v>45229.0</v>
      </c>
      <c r="B1203" s="23" t="s">
        <v>255</v>
      </c>
      <c r="C1203" s="201">
        <v>8.061</v>
      </c>
      <c r="D1203" s="23" t="s">
        <v>69</v>
      </c>
    </row>
    <row r="1204">
      <c r="A1204" s="202">
        <v>45229.0</v>
      </c>
      <c r="B1204" t="s">
        <v>183</v>
      </c>
      <c r="C1204">
        <v>7.880000000000001</v>
      </c>
      <c r="D1204" t="s">
        <v>46</v>
      </c>
    </row>
    <row r="1205">
      <c r="A1205" s="202">
        <v>45229.0</v>
      </c>
      <c r="B1205" t="s">
        <v>78</v>
      </c>
      <c r="C1205">
        <v>1.8</v>
      </c>
      <c r="D1205" t="s">
        <v>35</v>
      </c>
    </row>
    <row r="1206">
      <c r="A1206" s="202">
        <v>45229.0</v>
      </c>
      <c r="B1206" t="s">
        <v>260</v>
      </c>
      <c r="C1206">
        <v>8.5</v>
      </c>
      <c r="D1206" t="s">
        <v>125</v>
      </c>
    </row>
    <row r="1207">
      <c r="A1207" s="23" t="s">
        <v>680</v>
      </c>
      <c r="B1207" s="23" t="s">
        <v>3</v>
      </c>
      <c r="C1207" s="23" t="s">
        <v>279</v>
      </c>
      <c r="D1207" s="23" t="s">
        <v>280</v>
      </c>
    </row>
    <row r="1208">
      <c r="A1208" s="202">
        <v>45243.92762878472</v>
      </c>
      <c r="B1208" t="s">
        <v>243</v>
      </c>
      <c r="C1208">
        <v>8.319</v>
      </c>
      <c r="D1208" t="s">
        <v>69</v>
      </c>
    </row>
    <row r="1209">
      <c r="A1209" s="202">
        <v>45243.92762878472</v>
      </c>
      <c r="B1209" t="s">
        <v>189</v>
      </c>
      <c r="C1209">
        <v>2.2</v>
      </c>
      <c r="D1209" t="s">
        <v>46</v>
      </c>
    </row>
    <row r="1210">
      <c r="A1210" s="202">
        <v>45243.92762878472</v>
      </c>
      <c r="B1210" t="s">
        <v>137</v>
      </c>
      <c r="C1210">
        <v>10.81</v>
      </c>
      <c r="D1210" t="s">
        <v>60</v>
      </c>
    </row>
    <row r="1211">
      <c r="A1211" s="202">
        <v>45243.92762878472</v>
      </c>
      <c r="B1211" t="s">
        <v>71</v>
      </c>
      <c r="C1211">
        <v>7.670999999999999</v>
      </c>
      <c r="D1211" t="s">
        <v>35</v>
      </c>
    </row>
    <row r="1212">
      <c r="A1212" s="202">
        <v>45243.92762878472</v>
      </c>
      <c r="B1212" t="s">
        <v>174</v>
      </c>
      <c r="C1212">
        <v>3.2</v>
      </c>
      <c r="D1212" t="s">
        <v>60</v>
      </c>
    </row>
    <row r="1213">
      <c r="A1213" s="202">
        <v>45243.92762878472</v>
      </c>
      <c r="B1213" t="s">
        <v>217</v>
      </c>
      <c r="C1213">
        <v>8.854000000000001</v>
      </c>
      <c r="D1213" t="s">
        <v>67</v>
      </c>
    </row>
    <row r="1214">
      <c r="A1214" s="202">
        <v>45243.92762878472</v>
      </c>
      <c r="B1214" t="s">
        <v>213</v>
      </c>
      <c r="C1214">
        <v>4.3</v>
      </c>
      <c r="D1214" t="s">
        <v>57</v>
      </c>
    </row>
    <row r="1215">
      <c r="A1215" s="202">
        <v>45243.92762878472</v>
      </c>
      <c r="B1215" t="s">
        <v>254</v>
      </c>
      <c r="C1215">
        <v>6.4</v>
      </c>
      <c r="D1215" t="s">
        <v>69</v>
      </c>
    </row>
    <row r="1216">
      <c r="A1216" s="202">
        <v>45243.92762878472</v>
      </c>
      <c r="B1216" t="s">
        <v>123</v>
      </c>
      <c r="C1216">
        <v>5.6</v>
      </c>
      <c r="D1216" t="s">
        <v>56</v>
      </c>
    </row>
    <row r="1217">
      <c r="A1217" s="202">
        <v>45243.92762878472</v>
      </c>
      <c r="B1217" t="s">
        <v>112</v>
      </c>
      <c r="C1217">
        <v>6.1</v>
      </c>
      <c r="D1217" t="s">
        <v>58</v>
      </c>
    </row>
    <row r="1218">
      <c r="A1218" s="202">
        <v>45243.92762878472</v>
      </c>
      <c r="B1218" t="s">
        <v>177</v>
      </c>
      <c r="C1218">
        <v>4.2</v>
      </c>
      <c r="D1218" t="s">
        <v>60</v>
      </c>
    </row>
    <row r="1219">
      <c r="A1219" s="202">
        <v>45243.92762878472</v>
      </c>
      <c r="B1219" t="s">
        <v>230</v>
      </c>
      <c r="C1219">
        <v>3.3</v>
      </c>
      <c r="D1219" t="s">
        <v>59</v>
      </c>
    </row>
    <row r="1220">
      <c r="A1220" s="202">
        <v>45243.92762878472</v>
      </c>
      <c r="B1220" t="s">
        <v>227</v>
      </c>
      <c r="C1220">
        <v>6.693</v>
      </c>
      <c r="D1220" t="s">
        <v>59</v>
      </c>
    </row>
    <row r="1221">
      <c r="A1221" s="202">
        <v>45243.92762878472</v>
      </c>
      <c r="B1221" t="s">
        <v>248</v>
      </c>
      <c r="C1221">
        <v>6.2</v>
      </c>
      <c r="D1221" t="s">
        <v>62</v>
      </c>
    </row>
    <row r="1222">
      <c r="A1222" s="202">
        <v>45243.92762878472</v>
      </c>
      <c r="B1222" t="s">
        <v>226</v>
      </c>
      <c r="C1222">
        <v>6.6</v>
      </c>
      <c r="D1222" t="s">
        <v>67</v>
      </c>
    </row>
    <row r="1223">
      <c r="A1223" s="202">
        <v>45243.92762878472</v>
      </c>
      <c r="B1223" t="s">
        <v>199</v>
      </c>
      <c r="C1223">
        <v>3.6</v>
      </c>
      <c r="D1223" t="s">
        <v>70</v>
      </c>
    </row>
    <row r="1224">
      <c r="A1224" s="202">
        <v>45243.92762878472</v>
      </c>
      <c r="B1224" t="s">
        <v>119</v>
      </c>
      <c r="C1224">
        <v>5.2</v>
      </c>
      <c r="D1224" t="s">
        <v>58</v>
      </c>
    </row>
    <row r="1225">
      <c r="A1225" s="202">
        <v>45243.92762878472</v>
      </c>
      <c r="B1225" t="s">
        <v>251</v>
      </c>
      <c r="C1225">
        <v>5.3</v>
      </c>
      <c r="D1225" t="s">
        <v>69</v>
      </c>
    </row>
    <row r="1226">
      <c r="A1226" s="202">
        <v>45243.92762878472</v>
      </c>
      <c r="B1226" t="s">
        <v>265</v>
      </c>
      <c r="C1226">
        <v>5.2</v>
      </c>
      <c r="D1226" t="s">
        <v>125</v>
      </c>
    </row>
    <row r="1227">
      <c r="A1227" s="202">
        <v>45243.92762878472</v>
      </c>
      <c r="B1227" t="s">
        <v>252</v>
      </c>
      <c r="C1227">
        <v>3.4</v>
      </c>
      <c r="D1227" t="s">
        <v>69</v>
      </c>
    </row>
    <row r="1228">
      <c r="A1228" s="202">
        <v>45243.92762878472</v>
      </c>
      <c r="B1228" t="s">
        <v>242</v>
      </c>
      <c r="C1228">
        <v>3.4</v>
      </c>
      <c r="D1228" t="s">
        <v>62</v>
      </c>
    </row>
    <row r="1229">
      <c r="A1229" s="202">
        <v>45243.92762878472</v>
      </c>
      <c r="B1229" t="s">
        <v>191</v>
      </c>
      <c r="C1229">
        <v>7.6</v>
      </c>
      <c r="D1229" t="s">
        <v>70</v>
      </c>
    </row>
    <row r="1230">
      <c r="A1230" s="202">
        <v>45243.92762878472</v>
      </c>
      <c r="B1230" t="s">
        <v>206</v>
      </c>
      <c r="C1230">
        <v>7.401999999999999</v>
      </c>
      <c r="D1230" t="s">
        <v>57</v>
      </c>
    </row>
    <row r="1231">
      <c r="A1231" s="202">
        <v>45243.92762878472</v>
      </c>
      <c r="B1231" t="s">
        <v>269</v>
      </c>
      <c r="C1231">
        <v>4.1</v>
      </c>
      <c r="D1231" t="s">
        <v>61</v>
      </c>
    </row>
    <row r="1232">
      <c r="A1232" s="202">
        <v>45243.92762878472</v>
      </c>
      <c r="B1232" t="s">
        <v>105</v>
      </c>
      <c r="C1232">
        <v>5.4</v>
      </c>
      <c r="D1232" t="s">
        <v>58</v>
      </c>
    </row>
    <row r="1233">
      <c r="A1233" s="202">
        <v>45243.92762878472</v>
      </c>
      <c r="B1233" t="s">
        <v>187</v>
      </c>
      <c r="C1233">
        <v>6.8</v>
      </c>
      <c r="D1233" t="s">
        <v>46</v>
      </c>
    </row>
    <row r="1234">
      <c r="A1234" s="202">
        <v>45243.92762878472</v>
      </c>
      <c r="B1234" t="s">
        <v>246</v>
      </c>
      <c r="C1234">
        <v>2.8</v>
      </c>
      <c r="D1234" t="s">
        <v>62</v>
      </c>
    </row>
    <row r="1235">
      <c r="A1235" s="202">
        <v>45243.92762878472</v>
      </c>
      <c r="B1235" t="s">
        <v>238</v>
      </c>
      <c r="C1235">
        <v>5.4</v>
      </c>
      <c r="D1235" t="s">
        <v>59</v>
      </c>
    </row>
    <row r="1236">
      <c r="A1236" s="202">
        <v>45243.92762878472</v>
      </c>
      <c r="B1236" t="s">
        <v>133</v>
      </c>
      <c r="C1236">
        <v>4.3</v>
      </c>
      <c r="D1236" t="s">
        <v>56</v>
      </c>
    </row>
    <row r="1237">
      <c r="A1237" s="202">
        <v>45243.92762878472</v>
      </c>
      <c r="B1237" t="s">
        <v>127</v>
      </c>
      <c r="C1237">
        <v>5.2</v>
      </c>
      <c r="D1237" t="s">
        <v>56</v>
      </c>
    </row>
    <row r="1238">
      <c r="A1238" s="202">
        <v>45243.92762878472</v>
      </c>
      <c r="B1238" t="s">
        <v>220</v>
      </c>
      <c r="C1238">
        <v>4.2</v>
      </c>
      <c r="D1238" t="s">
        <v>67</v>
      </c>
    </row>
    <row r="1239">
      <c r="A1239" s="202">
        <v>45243.92762878472</v>
      </c>
      <c r="B1239" t="s">
        <v>224</v>
      </c>
      <c r="C1239">
        <v>11.801</v>
      </c>
      <c r="D1239" t="s">
        <v>125</v>
      </c>
    </row>
    <row r="1240">
      <c r="A1240" s="202">
        <v>45243.92762878472</v>
      </c>
      <c r="B1240" t="s">
        <v>241</v>
      </c>
      <c r="C1240">
        <v>8.7</v>
      </c>
      <c r="D1240" t="s">
        <v>62</v>
      </c>
    </row>
    <row r="1241">
      <c r="A1241" s="202">
        <v>45243.92762878472</v>
      </c>
      <c r="B1241" t="s">
        <v>63</v>
      </c>
      <c r="C1241">
        <v>11.889000000000001</v>
      </c>
      <c r="D1241" t="s">
        <v>35</v>
      </c>
    </row>
    <row r="1242">
      <c r="A1242" s="202">
        <v>45243.92762878472</v>
      </c>
      <c r="B1242" t="s">
        <v>245</v>
      </c>
      <c r="C1242">
        <v>6.3</v>
      </c>
      <c r="D1242" t="s">
        <v>62</v>
      </c>
    </row>
    <row r="1243">
      <c r="A1243" s="202">
        <v>45243.92762878472</v>
      </c>
      <c r="B1243" t="s">
        <v>232</v>
      </c>
      <c r="C1243">
        <v>6.5</v>
      </c>
      <c r="D1243" t="s">
        <v>59</v>
      </c>
    </row>
    <row r="1244">
      <c r="A1244" s="202">
        <v>45243.92762878472</v>
      </c>
      <c r="B1244" t="s">
        <v>229</v>
      </c>
      <c r="C1244">
        <v>6.1</v>
      </c>
      <c r="D1244" t="s">
        <v>59</v>
      </c>
    </row>
    <row r="1245">
      <c r="A1245" s="202">
        <v>45243.92762878472</v>
      </c>
      <c r="B1245" t="s">
        <v>173</v>
      </c>
      <c r="C1245">
        <v>4.6</v>
      </c>
      <c r="D1245" t="s">
        <v>60</v>
      </c>
    </row>
    <row r="1246">
      <c r="A1246" s="202">
        <v>45243.92762878472</v>
      </c>
      <c r="B1246" t="s">
        <v>210</v>
      </c>
      <c r="C1246">
        <v>4.2</v>
      </c>
      <c r="D1246" t="s">
        <v>57</v>
      </c>
    </row>
    <row r="1247">
      <c r="A1247" s="202">
        <v>45243.92762878472</v>
      </c>
      <c r="B1247" t="s">
        <v>186</v>
      </c>
      <c r="C1247">
        <v>5.6</v>
      </c>
      <c r="D1247" t="s">
        <v>46</v>
      </c>
    </row>
    <row r="1248">
      <c r="A1248" s="202">
        <v>45243.92762878472</v>
      </c>
      <c r="B1248" t="s">
        <v>195</v>
      </c>
      <c r="C1248">
        <v>3.4</v>
      </c>
      <c r="D1248" t="s">
        <v>70</v>
      </c>
    </row>
    <row r="1249">
      <c r="A1249" s="202">
        <v>45243.92762878472</v>
      </c>
      <c r="B1249" t="s">
        <v>266</v>
      </c>
      <c r="C1249">
        <v>9.629</v>
      </c>
      <c r="D1249" t="s">
        <v>61</v>
      </c>
    </row>
    <row r="1250">
      <c r="A1250" s="202">
        <v>45243.92762878472</v>
      </c>
      <c r="B1250" t="s">
        <v>124</v>
      </c>
      <c r="C1250">
        <v>6.2</v>
      </c>
      <c r="D1250" t="s">
        <v>56</v>
      </c>
    </row>
    <row r="1251">
      <c r="A1251" s="202">
        <v>45243.92762878472</v>
      </c>
      <c r="B1251" t="s">
        <v>262</v>
      </c>
      <c r="C1251">
        <v>10.6</v>
      </c>
      <c r="D1251" t="s">
        <v>125</v>
      </c>
    </row>
    <row r="1252">
      <c r="A1252" s="202">
        <v>45243.92762878472</v>
      </c>
      <c r="B1252" t="s">
        <v>192</v>
      </c>
      <c r="C1252">
        <v>7.6</v>
      </c>
      <c r="D1252" t="s">
        <v>70</v>
      </c>
    </row>
    <row r="1253">
      <c r="A1253" s="202">
        <v>45243.92762878472</v>
      </c>
      <c r="B1253" t="s">
        <v>74</v>
      </c>
      <c r="C1253">
        <v>8.803</v>
      </c>
      <c r="D1253" t="s">
        <v>35</v>
      </c>
    </row>
    <row r="1254">
      <c r="A1254" s="202">
        <v>45243.92762878472</v>
      </c>
      <c r="B1254" t="s">
        <v>75</v>
      </c>
      <c r="C1254">
        <v>1.1</v>
      </c>
      <c r="D1254" t="s">
        <v>35</v>
      </c>
    </row>
    <row r="1255">
      <c r="A1255" s="202">
        <v>45243.92762878472</v>
      </c>
      <c r="B1255" t="s">
        <v>196</v>
      </c>
      <c r="C1255">
        <v>6.3</v>
      </c>
      <c r="D1255" t="s">
        <v>70</v>
      </c>
    </row>
    <row r="1256">
      <c r="A1256" s="202">
        <v>45243.92762878472</v>
      </c>
      <c r="B1256" t="s">
        <v>102</v>
      </c>
      <c r="C1256">
        <v>11.870999999999999</v>
      </c>
      <c r="D1256" t="s">
        <v>58</v>
      </c>
    </row>
    <row r="1257">
      <c r="A1257" s="202">
        <v>45243.92762878472</v>
      </c>
      <c r="B1257" t="s">
        <v>175</v>
      </c>
      <c r="C1257">
        <v>5.8</v>
      </c>
      <c r="D1257" t="s">
        <v>60</v>
      </c>
    </row>
    <row r="1258">
      <c r="A1258" s="202">
        <v>45243.92762878472</v>
      </c>
      <c r="B1258" t="s">
        <v>250</v>
      </c>
      <c r="C1258">
        <v>3.0</v>
      </c>
      <c r="D1258" t="s">
        <v>69</v>
      </c>
    </row>
    <row r="1259">
      <c r="A1259" s="202">
        <v>45243.92762878472</v>
      </c>
      <c r="B1259" t="s">
        <v>164</v>
      </c>
      <c r="C1259">
        <v>10.699</v>
      </c>
      <c r="D1259" t="s">
        <v>60</v>
      </c>
    </row>
    <row r="1260">
      <c r="A1260" s="202">
        <v>45243.92762878472</v>
      </c>
      <c r="B1260" t="s">
        <v>219</v>
      </c>
      <c r="C1260">
        <v>8.7</v>
      </c>
      <c r="D1260" t="s">
        <v>69</v>
      </c>
    </row>
    <row r="1261">
      <c r="A1261" s="202">
        <v>45243.92762878472</v>
      </c>
      <c r="B1261" t="s">
        <v>111</v>
      </c>
      <c r="C1261">
        <v>5.6</v>
      </c>
      <c r="D1261" t="s">
        <v>58</v>
      </c>
    </row>
    <row r="1262">
      <c r="A1262" s="202">
        <v>45243.92762878472</v>
      </c>
      <c r="B1262" t="s">
        <v>244</v>
      </c>
      <c r="C1262">
        <v>6.5</v>
      </c>
      <c r="D1262" t="s">
        <v>62</v>
      </c>
    </row>
    <row r="1263">
      <c r="A1263" s="202">
        <v>45243.92762878472</v>
      </c>
      <c r="B1263" t="s">
        <v>118</v>
      </c>
      <c r="C1263">
        <v>8.9</v>
      </c>
      <c r="D1263" t="s">
        <v>58</v>
      </c>
    </row>
    <row r="1264">
      <c r="A1264" s="202">
        <v>45243.92762878472</v>
      </c>
      <c r="B1264" t="s">
        <v>240</v>
      </c>
      <c r="C1264">
        <v>9.764</v>
      </c>
      <c r="D1264" t="s">
        <v>62</v>
      </c>
    </row>
    <row r="1265">
      <c r="A1265" s="202">
        <v>45243.92762878472</v>
      </c>
      <c r="B1265" t="s">
        <v>79</v>
      </c>
      <c r="C1265">
        <v>6.8</v>
      </c>
      <c r="D1265" t="s">
        <v>35</v>
      </c>
    </row>
    <row r="1266">
      <c r="A1266" s="202">
        <v>45243.92762878472</v>
      </c>
      <c r="B1266" t="s">
        <v>178</v>
      </c>
      <c r="C1266">
        <v>4.1</v>
      </c>
      <c r="D1266" t="s">
        <v>60</v>
      </c>
    </row>
    <row r="1267">
      <c r="A1267" s="202">
        <v>45243.92762878472</v>
      </c>
      <c r="B1267" t="s">
        <v>209</v>
      </c>
      <c r="C1267">
        <v>11.587</v>
      </c>
      <c r="D1267" t="s">
        <v>59</v>
      </c>
    </row>
    <row r="1268">
      <c r="A1268" s="202">
        <v>45243.92762878472</v>
      </c>
      <c r="B1268" t="s">
        <v>228</v>
      </c>
      <c r="C1268">
        <v>4.6</v>
      </c>
      <c r="D1268" t="s">
        <v>61</v>
      </c>
    </row>
    <row r="1269">
      <c r="A1269" s="202">
        <v>45243.92762878472</v>
      </c>
      <c r="B1269" t="s">
        <v>116</v>
      </c>
      <c r="C1269">
        <v>5.4</v>
      </c>
      <c r="D1269" t="s">
        <v>58</v>
      </c>
    </row>
    <row r="1270">
      <c r="A1270" s="202">
        <v>45243.92762878472</v>
      </c>
      <c r="B1270" t="s">
        <v>249</v>
      </c>
      <c r="C1270">
        <v>5.2</v>
      </c>
      <c r="D1270" t="s">
        <v>62</v>
      </c>
    </row>
    <row r="1271">
      <c r="A1271" s="202">
        <v>45243.92762878472</v>
      </c>
      <c r="B1271" t="s">
        <v>237</v>
      </c>
      <c r="C1271">
        <v>9.7</v>
      </c>
      <c r="D1271" t="s">
        <v>59</v>
      </c>
    </row>
    <row r="1272">
      <c r="A1272" s="202">
        <v>45243.92762878472</v>
      </c>
      <c r="B1272" t="s">
        <v>234</v>
      </c>
      <c r="C1272">
        <v>5.5</v>
      </c>
      <c r="D1272" t="s">
        <v>59</v>
      </c>
    </row>
    <row r="1273">
      <c r="A1273" s="202">
        <v>45243.92762878472</v>
      </c>
      <c r="B1273" t="s">
        <v>268</v>
      </c>
      <c r="C1273">
        <v>8.4</v>
      </c>
      <c r="D1273" t="s">
        <v>61</v>
      </c>
    </row>
    <row r="1274">
      <c r="A1274" s="202">
        <v>45243.92762878472</v>
      </c>
      <c r="B1274" t="s">
        <v>80</v>
      </c>
      <c r="C1274">
        <v>5.4</v>
      </c>
      <c r="D1274" t="s">
        <v>35</v>
      </c>
    </row>
    <row r="1275">
      <c r="A1275" s="202">
        <v>45243.92762878472</v>
      </c>
      <c r="B1275" t="s">
        <v>258</v>
      </c>
      <c r="C1275">
        <v>2.2</v>
      </c>
      <c r="D1275" t="s">
        <v>125</v>
      </c>
    </row>
    <row r="1276">
      <c r="A1276" s="202">
        <v>45243.92762878472</v>
      </c>
      <c r="B1276" t="s">
        <v>88</v>
      </c>
      <c r="C1276">
        <v>4.4</v>
      </c>
      <c r="D1276" t="s">
        <v>35</v>
      </c>
    </row>
    <row r="1277">
      <c r="A1277" s="202">
        <v>45243.92762878472</v>
      </c>
      <c r="B1277" t="s">
        <v>201</v>
      </c>
      <c r="C1277">
        <v>9.529</v>
      </c>
      <c r="D1277" t="s">
        <v>57</v>
      </c>
    </row>
    <row r="1278">
      <c r="A1278" s="202">
        <v>45243.92762878472</v>
      </c>
      <c r="B1278" t="s">
        <v>216</v>
      </c>
      <c r="C1278">
        <v>8.6</v>
      </c>
      <c r="D1278" t="s">
        <v>67</v>
      </c>
    </row>
    <row r="1279">
      <c r="A1279" s="202">
        <v>45243.92762878472</v>
      </c>
      <c r="B1279" t="s">
        <v>221</v>
      </c>
      <c r="C1279">
        <v>4.6</v>
      </c>
      <c r="D1279" t="s">
        <v>67</v>
      </c>
    </row>
    <row r="1280">
      <c r="A1280" s="202">
        <v>45243.92762878472</v>
      </c>
      <c r="B1280" t="s">
        <v>117</v>
      </c>
      <c r="C1280">
        <v>5.9</v>
      </c>
      <c r="D1280" t="s">
        <v>58</v>
      </c>
    </row>
    <row r="1281">
      <c r="A1281" s="202">
        <v>45243.92762878472</v>
      </c>
      <c r="B1281" t="s">
        <v>261</v>
      </c>
      <c r="C1281">
        <v>6.4</v>
      </c>
      <c r="D1281" t="s">
        <v>125</v>
      </c>
    </row>
    <row r="1282">
      <c r="A1282" s="202">
        <v>45243.92762878472</v>
      </c>
      <c r="B1282" t="s">
        <v>128</v>
      </c>
      <c r="C1282">
        <v>9.0</v>
      </c>
      <c r="D1282" t="s">
        <v>56</v>
      </c>
    </row>
    <row r="1283">
      <c r="A1283" s="202">
        <v>45243.92762878472</v>
      </c>
      <c r="B1283" t="s">
        <v>214</v>
      </c>
      <c r="C1283">
        <v>8.8</v>
      </c>
      <c r="D1283" t="s">
        <v>57</v>
      </c>
    </row>
    <row r="1284">
      <c r="A1284" s="202">
        <v>45243.92762878472</v>
      </c>
      <c r="B1284" t="s">
        <v>200</v>
      </c>
      <c r="C1284">
        <v>11.484</v>
      </c>
      <c r="D1284" t="s">
        <v>57</v>
      </c>
    </row>
    <row r="1285">
      <c r="A1285" s="202">
        <v>45243.92762878472</v>
      </c>
      <c r="B1285" t="s">
        <v>179</v>
      </c>
      <c r="C1285">
        <v>9.822</v>
      </c>
      <c r="D1285" t="s">
        <v>60</v>
      </c>
    </row>
    <row r="1286">
      <c r="A1286" s="202">
        <v>45243.92762878472</v>
      </c>
      <c r="B1286" t="s">
        <v>267</v>
      </c>
      <c r="C1286">
        <v>8.864</v>
      </c>
      <c r="D1286" t="s">
        <v>61</v>
      </c>
    </row>
    <row r="1287">
      <c r="A1287" s="202">
        <v>45243.92762878472</v>
      </c>
      <c r="B1287" t="s">
        <v>270</v>
      </c>
      <c r="C1287">
        <v>5.6</v>
      </c>
      <c r="D1287" t="s">
        <v>61</v>
      </c>
    </row>
    <row r="1288">
      <c r="A1288" s="202">
        <v>45243.92762878472</v>
      </c>
      <c r="B1288" t="s">
        <v>225</v>
      </c>
      <c r="C1288">
        <v>9.8</v>
      </c>
      <c r="D1288" t="s">
        <v>67</v>
      </c>
    </row>
    <row r="1289">
      <c r="A1289" s="202">
        <v>45243.92762878472</v>
      </c>
      <c r="B1289" t="s">
        <v>38</v>
      </c>
      <c r="C1289">
        <v>10.803</v>
      </c>
      <c r="D1289" t="s">
        <v>35</v>
      </c>
    </row>
    <row r="1290">
      <c r="A1290" s="202">
        <v>45243.92762878472</v>
      </c>
      <c r="B1290" t="s">
        <v>247</v>
      </c>
      <c r="C1290">
        <v>8.2</v>
      </c>
      <c r="D1290" t="s">
        <v>62</v>
      </c>
    </row>
    <row r="1291">
      <c r="A1291" s="202">
        <v>45243.92762878472</v>
      </c>
      <c r="B1291" t="s">
        <v>135</v>
      </c>
      <c r="C1291">
        <v>9.9</v>
      </c>
      <c r="D1291" t="s">
        <v>56</v>
      </c>
    </row>
    <row r="1292">
      <c r="A1292" s="202">
        <v>45243.92762878472</v>
      </c>
      <c r="B1292" t="s">
        <v>256</v>
      </c>
      <c r="C1292">
        <v>3.2</v>
      </c>
      <c r="D1292" t="s">
        <v>69</v>
      </c>
    </row>
    <row r="1293">
      <c r="A1293" s="202">
        <v>45243.92762878472</v>
      </c>
      <c r="B1293" t="s">
        <v>222</v>
      </c>
      <c r="C1293">
        <v>3.6</v>
      </c>
      <c r="D1293" t="s">
        <v>67</v>
      </c>
    </row>
    <row r="1294">
      <c r="A1294" s="202">
        <v>45243.92762878472</v>
      </c>
      <c r="B1294" t="s">
        <v>263</v>
      </c>
      <c r="C1294">
        <v>5.7</v>
      </c>
      <c r="D1294" t="s">
        <v>125</v>
      </c>
    </row>
    <row r="1295">
      <c r="A1295" s="202">
        <v>45243.92762878472</v>
      </c>
      <c r="B1295" t="s">
        <v>185</v>
      </c>
      <c r="C1295">
        <v>6.5</v>
      </c>
      <c r="D1295" t="s">
        <v>46</v>
      </c>
    </row>
    <row r="1296">
      <c r="A1296" s="202">
        <v>45243.92762878472</v>
      </c>
      <c r="B1296" t="s">
        <v>190</v>
      </c>
      <c r="C1296">
        <v>3.3</v>
      </c>
      <c r="D1296" t="s">
        <v>70</v>
      </c>
    </row>
    <row r="1297">
      <c r="A1297" s="202">
        <v>45243.92762878472</v>
      </c>
      <c r="B1297" t="s">
        <v>129</v>
      </c>
      <c r="C1297">
        <v>6.371</v>
      </c>
      <c r="D1297" t="s">
        <v>56</v>
      </c>
    </row>
    <row r="1298">
      <c r="A1298" s="202">
        <v>45243.92762878472</v>
      </c>
      <c r="B1298" t="s">
        <v>139</v>
      </c>
      <c r="C1298">
        <v>9.908999999999999</v>
      </c>
      <c r="D1298" t="s">
        <v>60</v>
      </c>
    </row>
    <row r="1299">
      <c r="A1299" s="202">
        <v>45243.92762878472</v>
      </c>
      <c r="B1299" t="s">
        <v>205</v>
      </c>
      <c r="C1299">
        <v>6.7</v>
      </c>
      <c r="D1299" t="s">
        <v>67</v>
      </c>
    </row>
    <row r="1300">
      <c r="A1300" s="202">
        <v>45243.92762878472</v>
      </c>
      <c r="B1300" t="s">
        <v>184</v>
      </c>
      <c r="C1300">
        <v>5.4</v>
      </c>
      <c r="D1300" t="s">
        <v>46</v>
      </c>
    </row>
    <row r="1301">
      <c r="A1301" s="202">
        <v>45243.92762878472</v>
      </c>
      <c r="B1301" t="s">
        <v>253</v>
      </c>
      <c r="C1301">
        <v>5.6</v>
      </c>
      <c r="D1301" t="s">
        <v>69</v>
      </c>
    </row>
    <row r="1302">
      <c r="A1302" s="202">
        <v>45243.92762878472</v>
      </c>
      <c r="B1302" t="s">
        <v>197</v>
      </c>
      <c r="C1302">
        <v>3.1</v>
      </c>
      <c r="D1302" t="s">
        <v>70</v>
      </c>
    </row>
    <row r="1303">
      <c r="A1303" s="202">
        <v>45243.92762878472</v>
      </c>
      <c r="B1303" t="s">
        <v>193</v>
      </c>
      <c r="C1303">
        <v>3.0</v>
      </c>
      <c r="D1303" t="s">
        <v>70</v>
      </c>
    </row>
    <row r="1304">
      <c r="A1304" s="202">
        <v>45243.92762878472</v>
      </c>
      <c r="B1304" t="s">
        <v>130</v>
      </c>
      <c r="C1304">
        <v>5.7</v>
      </c>
      <c r="D1304" t="s">
        <v>56</v>
      </c>
    </row>
    <row r="1305">
      <c r="A1305" s="202">
        <v>45243.92762878472</v>
      </c>
      <c r="B1305" t="s">
        <v>223</v>
      </c>
      <c r="C1305">
        <v>5.2</v>
      </c>
      <c r="D1305" t="s">
        <v>67</v>
      </c>
    </row>
    <row r="1306">
      <c r="A1306" s="202">
        <v>45243.92762878472</v>
      </c>
      <c r="B1306" t="s">
        <v>81</v>
      </c>
      <c r="C1306">
        <v>3.1</v>
      </c>
      <c r="D1306" t="s">
        <v>35</v>
      </c>
    </row>
    <row r="1307">
      <c r="A1307" s="202">
        <v>45243.92762878472</v>
      </c>
      <c r="B1307" t="s">
        <v>233</v>
      </c>
      <c r="C1307">
        <v>7.9</v>
      </c>
      <c r="D1307" t="s">
        <v>61</v>
      </c>
    </row>
    <row r="1308">
      <c r="A1308" s="202">
        <v>45243.92762878472</v>
      </c>
      <c r="B1308" t="s">
        <v>264</v>
      </c>
      <c r="C1308">
        <v>7.3</v>
      </c>
      <c r="D1308" t="s">
        <v>125</v>
      </c>
    </row>
    <row r="1309">
      <c r="A1309" s="202">
        <v>45243.92762878472</v>
      </c>
      <c r="B1309" t="s">
        <v>239</v>
      </c>
      <c r="C1309">
        <v>10.91</v>
      </c>
      <c r="D1309" t="s">
        <v>125</v>
      </c>
    </row>
    <row r="1310">
      <c r="A1310" s="202">
        <v>45243.92762878472</v>
      </c>
      <c r="B1310" t="s">
        <v>126</v>
      </c>
      <c r="C1310">
        <v>6.3</v>
      </c>
      <c r="D1310" t="s">
        <v>56</v>
      </c>
    </row>
    <row r="1311">
      <c r="A1311" s="202">
        <v>45243.92762878472</v>
      </c>
      <c r="B1311" t="s">
        <v>188</v>
      </c>
      <c r="C1311">
        <v>6.1</v>
      </c>
      <c r="D1311" t="s">
        <v>46</v>
      </c>
    </row>
    <row r="1312">
      <c r="A1312" s="202">
        <v>45243.92762878472</v>
      </c>
      <c r="B1312" t="s">
        <v>120</v>
      </c>
      <c r="C1312">
        <v>10.836</v>
      </c>
      <c r="D1312" t="s">
        <v>56</v>
      </c>
    </row>
    <row r="1313">
      <c r="A1313" s="202">
        <v>45243.92762878472</v>
      </c>
      <c r="B1313" t="s">
        <v>181</v>
      </c>
      <c r="C1313">
        <v>9.827</v>
      </c>
      <c r="D1313" t="s">
        <v>46</v>
      </c>
    </row>
    <row r="1314">
      <c r="A1314" s="202">
        <v>45243.92762878472</v>
      </c>
      <c r="B1314" t="s">
        <v>182</v>
      </c>
      <c r="C1314">
        <v>10.574</v>
      </c>
      <c r="D1314" t="s">
        <v>46</v>
      </c>
    </row>
    <row r="1315">
      <c r="A1315" s="202">
        <v>45243.92762878472</v>
      </c>
      <c r="B1315" t="s">
        <v>207</v>
      </c>
      <c r="C1315">
        <v>3.2</v>
      </c>
      <c r="D1315" t="s">
        <v>57</v>
      </c>
    </row>
    <row r="1316">
      <c r="A1316" s="202">
        <v>45243.92762878472</v>
      </c>
      <c r="B1316" t="s">
        <v>271</v>
      </c>
      <c r="C1316">
        <v>4.4</v>
      </c>
      <c r="D1316" t="s">
        <v>61</v>
      </c>
    </row>
    <row r="1317">
      <c r="A1317" s="202">
        <v>45243.92762878472</v>
      </c>
      <c r="B1317" t="s">
        <v>257</v>
      </c>
      <c r="C1317">
        <v>5.8</v>
      </c>
      <c r="D1317" t="s">
        <v>69</v>
      </c>
    </row>
    <row r="1318">
      <c r="A1318" s="202">
        <v>45243.92762878472</v>
      </c>
      <c r="B1318" t="s">
        <v>109</v>
      </c>
      <c r="C1318">
        <v>7.7</v>
      </c>
      <c r="D1318" t="s">
        <v>58</v>
      </c>
    </row>
    <row r="1319">
      <c r="A1319" s="202">
        <v>45243.92762878472</v>
      </c>
      <c r="B1319" t="s">
        <v>236</v>
      </c>
      <c r="C1319">
        <v>2.4</v>
      </c>
      <c r="D1319" t="s">
        <v>59</v>
      </c>
    </row>
    <row r="1320">
      <c r="A1320" s="202">
        <v>45243.92762878472</v>
      </c>
      <c r="B1320" t="s">
        <v>218</v>
      </c>
      <c r="C1320">
        <v>2.2</v>
      </c>
      <c r="D1320" t="s">
        <v>67</v>
      </c>
    </row>
    <row r="1321">
      <c r="A1321" s="202">
        <v>45243.92762878472</v>
      </c>
      <c r="B1321" t="s">
        <v>176</v>
      </c>
      <c r="C1321">
        <v>3.6</v>
      </c>
      <c r="D1321" t="s">
        <v>60</v>
      </c>
    </row>
    <row r="1322">
      <c r="A1322" s="202">
        <v>45243.92762878472</v>
      </c>
      <c r="B1322" t="s">
        <v>202</v>
      </c>
      <c r="C1322">
        <v>9.618</v>
      </c>
      <c r="D1322" t="s">
        <v>57</v>
      </c>
    </row>
    <row r="1323">
      <c r="A1323" s="202">
        <v>45243.92762878472</v>
      </c>
      <c r="B1323" t="s">
        <v>204</v>
      </c>
      <c r="C1323">
        <v>7.0</v>
      </c>
      <c r="D1323" t="s">
        <v>57</v>
      </c>
    </row>
    <row r="1324">
      <c r="A1324" s="202">
        <v>45243.92762878472</v>
      </c>
      <c r="B1324" t="s">
        <v>273</v>
      </c>
      <c r="C1324">
        <v>5.6</v>
      </c>
      <c r="D1324" t="s">
        <v>61</v>
      </c>
    </row>
    <row r="1325">
      <c r="A1325" s="202">
        <v>45243.92762878472</v>
      </c>
      <c r="B1325" t="s">
        <v>231</v>
      </c>
      <c r="C1325">
        <v>7.9</v>
      </c>
      <c r="D1325" t="s">
        <v>59</v>
      </c>
    </row>
    <row r="1326">
      <c r="A1326" s="202">
        <v>45243.92762878472</v>
      </c>
      <c r="B1326" t="s">
        <v>194</v>
      </c>
      <c r="C1326">
        <v>3.1</v>
      </c>
      <c r="D1326" t="s">
        <v>70</v>
      </c>
    </row>
    <row r="1327">
      <c r="A1327" s="202">
        <v>45243.92762878472</v>
      </c>
      <c r="B1327" t="s">
        <v>198</v>
      </c>
      <c r="C1327">
        <v>8.417</v>
      </c>
      <c r="D1327" t="s">
        <v>70</v>
      </c>
    </row>
    <row r="1328">
      <c r="A1328" s="202">
        <v>45243.92762878472</v>
      </c>
      <c r="B1328" t="s">
        <v>277</v>
      </c>
      <c r="C1328">
        <v>2.1</v>
      </c>
      <c r="D1328" s="23" t="s">
        <v>274</v>
      </c>
    </row>
    <row r="1329">
      <c r="A1329" s="202">
        <v>45243.92762878472</v>
      </c>
      <c r="B1329" t="s">
        <v>275</v>
      </c>
      <c r="C1329">
        <v>3.4</v>
      </c>
      <c r="D1329" s="23" t="s">
        <v>274</v>
      </c>
    </row>
    <row r="1330">
      <c r="A1330" s="202">
        <v>45243.92762878472</v>
      </c>
      <c r="B1330" t="s">
        <v>113</v>
      </c>
      <c r="C1330">
        <v>5.6</v>
      </c>
      <c r="D1330" t="s">
        <v>58</v>
      </c>
    </row>
    <row r="1331">
      <c r="A1331" s="202">
        <v>45243.92762878472</v>
      </c>
      <c r="B1331" t="s">
        <v>208</v>
      </c>
      <c r="C1331">
        <v>4.3</v>
      </c>
      <c r="D1331" t="s">
        <v>57</v>
      </c>
    </row>
    <row r="1332">
      <c r="A1332" s="202">
        <v>45243.92762878472</v>
      </c>
      <c r="B1332" t="s">
        <v>180</v>
      </c>
      <c r="C1332">
        <v>11.843</v>
      </c>
      <c r="D1332" t="s">
        <v>46</v>
      </c>
    </row>
    <row r="1333">
      <c r="A1333" s="202">
        <v>45243.92762878472</v>
      </c>
      <c r="B1333" t="s">
        <v>259</v>
      </c>
      <c r="C1333">
        <v>5.1</v>
      </c>
      <c r="D1333" t="s">
        <v>125</v>
      </c>
    </row>
    <row r="1334">
      <c r="A1334" s="202">
        <v>45243.92762878472</v>
      </c>
      <c r="B1334" t="s">
        <v>276</v>
      </c>
      <c r="C1334">
        <v>7.7</v>
      </c>
      <c r="D1334" s="23" t="s">
        <v>274</v>
      </c>
    </row>
    <row r="1335">
      <c r="A1335" s="202">
        <v>45243.92762878472</v>
      </c>
      <c r="B1335" t="s">
        <v>215</v>
      </c>
      <c r="C1335">
        <v>6.8</v>
      </c>
      <c r="D1335" t="s">
        <v>62</v>
      </c>
    </row>
    <row r="1336">
      <c r="A1336" s="202">
        <v>45243.92762878472</v>
      </c>
      <c r="B1336" t="s">
        <v>272</v>
      </c>
      <c r="C1336">
        <v>4.4</v>
      </c>
      <c r="D1336" t="s">
        <v>61</v>
      </c>
    </row>
    <row r="1337">
      <c r="A1337" s="202">
        <v>45243.92762878472</v>
      </c>
      <c r="B1337" t="s">
        <v>255</v>
      </c>
      <c r="C1337">
        <v>6.6</v>
      </c>
      <c r="D1337" t="s">
        <v>69</v>
      </c>
    </row>
    <row r="1338">
      <c r="A1338" s="202">
        <v>45243.92762878472</v>
      </c>
      <c r="B1338" t="s">
        <v>183</v>
      </c>
      <c r="C1338">
        <v>7.8</v>
      </c>
      <c r="D1338" t="s">
        <v>46</v>
      </c>
    </row>
    <row r="1339">
      <c r="A1339" s="202">
        <v>45243.92762878472</v>
      </c>
      <c r="B1339" t="s">
        <v>78</v>
      </c>
      <c r="C1339">
        <v>2.5</v>
      </c>
      <c r="D1339" t="s">
        <v>35</v>
      </c>
    </row>
    <row r="1340">
      <c r="A1340" s="202">
        <v>45243.92762878472</v>
      </c>
      <c r="B1340" t="s">
        <v>260</v>
      </c>
      <c r="C1340">
        <v>8.5</v>
      </c>
      <c r="D1340" t="s">
        <v>125</v>
      </c>
    </row>
    <row r="1341">
      <c r="A1341" s="23" t="s">
        <v>680</v>
      </c>
      <c r="B1341" s="23" t="s">
        <v>3</v>
      </c>
      <c r="C1341" s="23" t="s">
        <v>279</v>
      </c>
      <c r="D1341" s="23" t="s">
        <v>280</v>
      </c>
    </row>
    <row r="1342">
      <c r="A1342" s="202">
        <v>45250.92763164351</v>
      </c>
      <c r="B1342" s="23" t="s">
        <v>243</v>
      </c>
      <c r="C1342" s="201">
        <v>8.322000000000001</v>
      </c>
      <c r="D1342" s="23" t="s">
        <v>69</v>
      </c>
    </row>
    <row r="1343">
      <c r="A1343" s="202">
        <v>45250.92763164351</v>
      </c>
      <c r="B1343" s="23" t="s">
        <v>189</v>
      </c>
      <c r="C1343" s="201">
        <v>2.2</v>
      </c>
      <c r="D1343" s="23" t="s">
        <v>46</v>
      </c>
    </row>
    <row r="1344">
      <c r="A1344" s="202">
        <v>45250.92763164351</v>
      </c>
      <c r="B1344" s="23" t="s">
        <v>137</v>
      </c>
      <c r="C1344" s="201">
        <v>10.813</v>
      </c>
      <c r="D1344" s="23" t="s">
        <v>60</v>
      </c>
    </row>
    <row r="1345">
      <c r="A1345" s="202">
        <v>45250.92763164351</v>
      </c>
      <c r="B1345" s="23" t="s">
        <v>71</v>
      </c>
      <c r="C1345" s="201">
        <v>7.672</v>
      </c>
      <c r="D1345" s="23" t="s">
        <v>35</v>
      </c>
    </row>
    <row r="1346">
      <c r="A1346" s="202">
        <v>45250.92763164351</v>
      </c>
      <c r="B1346" s="23" t="s">
        <v>174</v>
      </c>
      <c r="C1346" s="201">
        <v>3.2</v>
      </c>
      <c r="D1346" s="23" t="s">
        <v>60</v>
      </c>
    </row>
    <row r="1347">
      <c r="A1347" s="202">
        <v>45250.92763164351</v>
      </c>
      <c r="B1347" s="23" t="s">
        <v>217</v>
      </c>
      <c r="C1347" s="201">
        <v>8.856</v>
      </c>
      <c r="D1347" s="23" t="s">
        <v>67</v>
      </c>
    </row>
    <row r="1348">
      <c r="A1348" s="202">
        <v>45250.92763164351</v>
      </c>
      <c r="B1348" s="23" t="s">
        <v>213</v>
      </c>
      <c r="C1348" s="201">
        <v>4.3</v>
      </c>
      <c r="D1348" s="23" t="s">
        <v>57</v>
      </c>
    </row>
    <row r="1349">
      <c r="A1349" s="202">
        <v>45250.92763164351</v>
      </c>
      <c r="B1349" s="23" t="s">
        <v>254</v>
      </c>
      <c r="C1349" s="201">
        <v>6.4</v>
      </c>
      <c r="D1349" s="23" t="s">
        <v>69</v>
      </c>
    </row>
    <row r="1350">
      <c r="A1350" s="202">
        <v>45250.92763164351</v>
      </c>
      <c r="B1350" s="23" t="s">
        <v>123</v>
      </c>
      <c r="C1350" s="201">
        <v>5.6</v>
      </c>
      <c r="D1350" s="23" t="s">
        <v>56</v>
      </c>
    </row>
    <row r="1351">
      <c r="A1351" s="202">
        <v>45250.92763164351</v>
      </c>
      <c r="B1351" s="23" t="s">
        <v>112</v>
      </c>
      <c r="C1351" s="201">
        <v>6.1</v>
      </c>
      <c r="D1351" s="23" t="s">
        <v>58</v>
      </c>
    </row>
    <row r="1352">
      <c r="A1352" s="202">
        <v>45250.92763164351</v>
      </c>
      <c r="B1352" s="23" t="s">
        <v>177</v>
      </c>
      <c r="C1352" s="201">
        <v>4.3</v>
      </c>
      <c r="D1352" s="23" t="s">
        <v>60</v>
      </c>
    </row>
    <row r="1353">
      <c r="A1353" s="202">
        <v>45250.92763164351</v>
      </c>
      <c r="B1353" s="23" t="s">
        <v>230</v>
      </c>
      <c r="C1353" s="201">
        <v>3.3</v>
      </c>
      <c r="D1353" s="23" t="s">
        <v>59</v>
      </c>
    </row>
    <row r="1354">
      <c r="A1354" s="202">
        <v>45250.92763164351</v>
      </c>
      <c r="B1354" s="23" t="s">
        <v>227</v>
      </c>
      <c r="C1354" s="201">
        <v>6.694</v>
      </c>
      <c r="D1354" s="23" t="s">
        <v>59</v>
      </c>
    </row>
    <row r="1355">
      <c r="A1355" s="202">
        <v>45250.92763164351</v>
      </c>
      <c r="B1355" s="23" t="s">
        <v>248</v>
      </c>
      <c r="C1355" s="201">
        <v>6.2</v>
      </c>
      <c r="D1355" s="23" t="s">
        <v>62</v>
      </c>
    </row>
    <row r="1356">
      <c r="A1356" s="202">
        <v>45250.92763164351</v>
      </c>
      <c r="B1356" s="23" t="s">
        <v>226</v>
      </c>
      <c r="C1356" s="201">
        <v>6.6</v>
      </c>
      <c r="D1356" s="23" t="s">
        <v>67</v>
      </c>
    </row>
    <row r="1357">
      <c r="A1357" s="202">
        <v>45250.92763164351</v>
      </c>
      <c r="B1357" s="23" t="s">
        <v>199</v>
      </c>
      <c r="C1357" s="201">
        <v>3.6</v>
      </c>
      <c r="D1357" s="23" t="s">
        <v>70</v>
      </c>
    </row>
    <row r="1358">
      <c r="A1358" s="202">
        <v>45250.92763164351</v>
      </c>
      <c r="B1358" s="23" t="s">
        <v>119</v>
      </c>
      <c r="C1358" s="201">
        <v>5.2</v>
      </c>
      <c r="D1358" s="23" t="s">
        <v>58</v>
      </c>
    </row>
    <row r="1359">
      <c r="A1359" s="202">
        <v>45250.92763164351</v>
      </c>
      <c r="B1359" s="23" t="s">
        <v>251</v>
      </c>
      <c r="C1359" s="201">
        <v>5.3</v>
      </c>
      <c r="D1359" s="23" t="s">
        <v>69</v>
      </c>
    </row>
    <row r="1360">
      <c r="A1360" s="202">
        <v>45250.92763164351</v>
      </c>
      <c r="B1360" s="23" t="s">
        <v>265</v>
      </c>
      <c r="C1360" s="201">
        <v>5.2</v>
      </c>
      <c r="D1360" s="23" t="s">
        <v>125</v>
      </c>
    </row>
    <row r="1361">
      <c r="A1361" s="202">
        <v>45250.92763164351</v>
      </c>
      <c r="B1361" s="23" t="s">
        <v>252</v>
      </c>
      <c r="C1361" s="201">
        <v>3.4</v>
      </c>
      <c r="D1361" s="23" t="s">
        <v>69</v>
      </c>
    </row>
    <row r="1362">
      <c r="A1362" s="202">
        <v>45250.92763164351</v>
      </c>
      <c r="B1362" s="23" t="s">
        <v>242</v>
      </c>
      <c r="C1362" s="201">
        <v>3.4</v>
      </c>
      <c r="D1362" s="23" t="s">
        <v>62</v>
      </c>
    </row>
    <row r="1363">
      <c r="A1363" s="202">
        <v>45250.92763164351</v>
      </c>
      <c r="B1363" s="23" t="s">
        <v>191</v>
      </c>
      <c r="C1363" s="201">
        <v>7.7</v>
      </c>
      <c r="D1363" s="23" t="s">
        <v>70</v>
      </c>
    </row>
    <row r="1364">
      <c r="A1364" s="202">
        <v>45250.92763164351</v>
      </c>
      <c r="B1364" s="23" t="s">
        <v>206</v>
      </c>
      <c r="C1364" s="201">
        <v>7.404999999999999</v>
      </c>
      <c r="D1364" s="23" t="s">
        <v>57</v>
      </c>
    </row>
    <row r="1365">
      <c r="A1365" s="202">
        <v>45250.92763164351</v>
      </c>
      <c r="B1365" s="23" t="s">
        <v>269</v>
      </c>
      <c r="C1365" s="201">
        <v>4.1</v>
      </c>
      <c r="D1365" s="23" t="s">
        <v>61</v>
      </c>
    </row>
    <row r="1366">
      <c r="A1366" s="202">
        <v>45250.92763164351</v>
      </c>
      <c r="B1366" s="23" t="s">
        <v>105</v>
      </c>
      <c r="C1366" s="201">
        <v>5.4</v>
      </c>
      <c r="D1366" s="23" t="s">
        <v>58</v>
      </c>
    </row>
    <row r="1367">
      <c r="A1367" s="202">
        <v>45250.92763164351</v>
      </c>
      <c r="B1367" s="23" t="s">
        <v>187</v>
      </c>
      <c r="C1367" s="201">
        <v>6.8</v>
      </c>
      <c r="D1367" s="23" t="s">
        <v>46</v>
      </c>
    </row>
    <row r="1368">
      <c r="A1368" s="202">
        <v>45250.92763164351</v>
      </c>
      <c r="B1368" s="23" t="s">
        <v>246</v>
      </c>
      <c r="C1368" s="201">
        <v>2.8</v>
      </c>
      <c r="D1368" s="23" t="s">
        <v>62</v>
      </c>
    </row>
    <row r="1369">
      <c r="A1369" s="202">
        <v>45250.92763164351</v>
      </c>
      <c r="B1369" s="23" t="s">
        <v>238</v>
      </c>
      <c r="C1369" s="201">
        <v>5.4</v>
      </c>
      <c r="D1369" s="23" t="s">
        <v>59</v>
      </c>
    </row>
    <row r="1370">
      <c r="A1370" s="202">
        <v>45250.92763164351</v>
      </c>
      <c r="B1370" s="23" t="s">
        <v>133</v>
      </c>
      <c r="C1370" s="201">
        <v>4.3</v>
      </c>
      <c r="D1370" s="23" t="s">
        <v>56</v>
      </c>
    </row>
    <row r="1371">
      <c r="A1371" s="202">
        <v>45250.92763164351</v>
      </c>
      <c r="B1371" s="23" t="s">
        <v>127</v>
      </c>
      <c r="C1371" s="201">
        <v>5.2</v>
      </c>
      <c r="D1371" s="23" t="s">
        <v>56</v>
      </c>
    </row>
    <row r="1372">
      <c r="A1372" s="202">
        <v>45250.92763164351</v>
      </c>
      <c r="B1372" s="23" t="s">
        <v>220</v>
      </c>
      <c r="C1372" s="201">
        <v>4.2</v>
      </c>
      <c r="D1372" s="23" t="s">
        <v>67</v>
      </c>
    </row>
    <row r="1373">
      <c r="A1373" s="202">
        <v>45250.92763164351</v>
      </c>
      <c r="B1373" s="23" t="s">
        <v>224</v>
      </c>
      <c r="C1373" s="201">
        <v>11.794</v>
      </c>
      <c r="D1373" s="23" t="s">
        <v>125</v>
      </c>
    </row>
    <row r="1374">
      <c r="A1374" s="202">
        <v>45250.92763164351</v>
      </c>
      <c r="B1374" s="23" t="s">
        <v>241</v>
      </c>
      <c r="C1374" s="201">
        <v>8.7</v>
      </c>
      <c r="D1374" s="23" t="s">
        <v>62</v>
      </c>
    </row>
    <row r="1375">
      <c r="A1375" s="202">
        <v>45250.92763164351</v>
      </c>
      <c r="B1375" s="23" t="s">
        <v>63</v>
      </c>
      <c r="C1375" s="201">
        <v>11.887</v>
      </c>
      <c r="D1375" s="23" t="s">
        <v>35</v>
      </c>
    </row>
    <row r="1376">
      <c r="A1376" s="202">
        <v>45250.92763164351</v>
      </c>
      <c r="B1376" s="23" t="s">
        <v>245</v>
      </c>
      <c r="C1376" s="201">
        <v>6.3</v>
      </c>
      <c r="D1376" s="23" t="s">
        <v>62</v>
      </c>
    </row>
    <row r="1377">
      <c r="A1377" s="202">
        <v>45250.92763164351</v>
      </c>
      <c r="B1377" s="23" t="s">
        <v>232</v>
      </c>
      <c r="C1377" s="201">
        <v>6.5</v>
      </c>
      <c r="D1377" s="23" t="s">
        <v>59</v>
      </c>
    </row>
    <row r="1378">
      <c r="A1378" s="202">
        <v>45250.92763164351</v>
      </c>
      <c r="B1378" s="23" t="s">
        <v>229</v>
      </c>
      <c r="C1378" s="201">
        <v>6.1</v>
      </c>
      <c r="D1378" s="23" t="s">
        <v>59</v>
      </c>
    </row>
    <row r="1379">
      <c r="A1379" s="202">
        <v>45250.92763164351</v>
      </c>
      <c r="B1379" s="23" t="s">
        <v>173</v>
      </c>
      <c r="C1379" s="201">
        <v>4.6</v>
      </c>
      <c r="D1379" s="23" t="s">
        <v>60</v>
      </c>
    </row>
    <row r="1380">
      <c r="A1380" s="202">
        <v>45250.92763164351</v>
      </c>
      <c r="B1380" s="23" t="s">
        <v>210</v>
      </c>
      <c r="C1380" s="201">
        <v>4.2</v>
      </c>
      <c r="D1380" s="23" t="s">
        <v>57</v>
      </c>
    </row>
    <row r="1381">
      <c r="A1381" s="202">
        <v>45250.92763164351</v>
      </c>
      <c r="B1381" s="23" t="s">
        <v>186</v>
      </c>
      <c r="C1381" s="201">
        <v>5.6</v>
      </c>
      <c r="D1381" s="23" t="s">
        <v>46</v>
      </c>
    </row>
    <row r="1382">
      <c r="A1382" s="202">
        <v>45250.92763164351</v>
      </c>
      <c r="B1382" s="23" t="s">
        <v>195</v>
      </c>
      <c r="C1382" s="201">
        <v>3.4</v>
      </c>
      <c r="D1382" s="23" t="s">
        <v>70</v>
      </c>
    </row>
    <row r="1383">
      <c r="A1383" s="202">
        <v>45250.92763164351</v>
      </c>
      <c r="B1383" s="23" t="s">
        <v>266</v>
      </c>
      <c r="C1383" s="201">
        <v>9.632</v>
      </c>
      <c r="D1383" s="23" t="s">
        <v>61</v>
      </c>
    </row>
    <row r="1384">
      <c r="A1384" s="202">
        <v>45250.92763164351</v>
      </c>
      <c r="B1384" s="23" t="s">
        <v>124</v>
      </c>
      <c r="C1384" s="201">
        <v>6.2</v>
      </c>
      <c r="D1384" s="23" t="s">
        <v>56</v>
      </c>
    </row>
    <row r="1385">
      <c r="A1385" s="202">
        <v>45250.92763164351</v>
      </c>
      <c r="B1385" s="23" t="s">
        <v>262</v>
      </c>
      <c r="C1385" s="201">
        <v>10.6</v>
      </c>
      <c r="D1385" s="23" t="s">
        <v>125</v>
      </c>
    </row>
    <row r="1386">
      <c r="A1386" s="202">
        <v>45250.92763164351</v>
      </c>
      <c r="B1386" s="23" t="s">
        <v>192</v>
      </c>
      <c r="C1386" s="201">
        <v>7.6</v>
      </c>
      <c r="D1386" s="23" t="s">
        <v>70</v>
      </c>
    </row>
    <row r="1387">
      <c r="A1387" s="202">
        <v>45250.92763164351</v>
      </c>
      <c r="B1387" s="23" t="s">
        <v>74</v>
      </c>
      <c r="C1387" s="201">
        <v>8.887</v>
      </c>
      <c r="D1387" s="23" t="s">
        <v>35</v>
      </c>
    </row>
    <row r="1388">
      <c r="A1388" s="202">
        <v>45250.92763164351</v>
      </c>
      <c r="B1388" s="23" t="s">
        <v>75</v>
      </c>
      <c r="C1388" s="201">
        <v>1.1</v>
      </c>
      <c r="D1388" s="23" t="s">
        <v>35</v>
      </c>
    </row>
    <row r="1389">
      <c r="A1389" s="202">
        <v>45250.92763164351</v>
      </c>
      <c r="B1389" s="23" t="s">
        <v>196</v>
      </c>
      <c r="C1389" s="201">
        <v>6.3</v>
      </c>
      <c r="D1389" s="23" t="s">
        <v>70</v>
      </c>
    </row>
    <row r="1390">
      <c r="A1390" s="202">
        <v>45250.92763164351</v>
      </c>
      <c r="B1390" s="23" t="s">
        <v>102</v>
      </c>
      <c r="C1390" s="201">
        <v>11.878</v>
      </c>
      <c r="D1390" s="23" t="s">
        <v>58</v>
      </c>
    </row>
    <row r="1391">
      <c r="A1391" s="202">
        <v>45250.92763164351</v>
      </c>
      <c r="B1391" s="23" t="s">
        <v>175</v>
      </c>
      <c r="C1391" s="201">
        <v>5.9</v>
      </c>
      <c r="D1391" s="23" t="s">
        <v>60</v>
      </c>
    </row>
    <row r="1392">
      <c r="A1392" s="202">
        <v>45250.92763164351</v>
      </c>
      <c r="B1392" s="23" t="s">
        <v>250</v>
      </c>
      <c r="C1392" s="201">
        <v>3.0</v>
      </c>
      <c r="D1392" s="23" t="s">
        <v>69</v>
      </c>
    </row>
    <row r="1393">
      <c r="A1393" s="202">
        <v>45250.92763164351</v>
      </c>
      <c r="B1393" s="23" t="s">
        <v>164</v>
      </c>
      <c r="C1393" s="201">
        <v>10.706</v>
      </c>
      <c r="D1393" s="23" t="s">
        <v>60</v>
      </c>
    </row>
    <row r="1394">
      <c r="A1394" s="202">
        <v>45250.92763164351</v>
      </c>
      <c r="B1394" s="23" t="s">
        <v>219</v>
      </c>
      <c r="C1394" s="201">
        <v>8.7</v>
      </c>
      <c r="D1394" s="23" t="s">
        <v>69</v>
      </c>
    </row>
    <row r="1395">
      <c r="A1395" s="202">
        <v>45250.92763164351</v>
      </c>
      <c r="B1395" s="23" t="s">
        <v>111</v>
      </c>
      <c r="C1395" s="201">
        <v>5.6</v>
      </c>
      <c r="D1395" s="23" t="s">
        <v>58</v>
      </c>
    </row>
    <row r="1396">
      <c r="A1396" s="202">
        <v>45250.92763164351</v>
      </c>
      <c r="B1396" s="23" t="s">
        <v>244</v>
      </c>
      <c r="C1396" s="201">
        <v>6.5</v>
      </c>
      <c r="D1396" s="23" t="s">
        <v>62</v>
      </c>
    </row>
    <row r="1397">
      <c r="A1397" s="202">
        <v>45250.92763164351</v>
      </c>
      <c r="B1397" s="23" t="s">
        <v>118</v>
      </c>
      <c r="C1397" s="201">
        <v>8.9</v>
      </c>
      <c r="D1397" s="23" t="s">
        <v>58</v>
      </c>
    </row>
    <row r="1398">
      <c r="A1398" s="202">
        <v>45250.92763164351</v>
      </c>
      <c r="B1398" s="23" t="s">
        <v>240</v>
      </c>
      <c r="C1398" s="201">
        <v>9.779</v>
      </c>
      <c r="D1398" s="23" t="s">
        <v>62</v>
      </c>
    </row>
    <row r="1399">
      <c r="A1399" s="202">
        <v>45250.92763164351</v>
      </c>
      <c r="B1399" s="23" t="s">
        <v>79</v>
      </c>
      <c r="C1399" s="201">
        <v>6.8</v>
      </c>
      <c r="D1399" s="23" t="s">
        <v>35</v>
      </c>
    </row>
    <row r="1400">
      <c r="A1400" s="202">
        <v>45250.92763164351</v>
      </c>
      <c r="B1400" s="23" t="s">
        <v>178</v>
      </c>
      <c r="C1400" s="201">
        <v>4.0</v>
      </c>
      <c r="D1400" s="23" t="s">
        <v>60</v>
      </c>
    </row>
    <row r="1401">
      <c r="A1401" s="202">
        <v>45250.92763164351</v>
      </c>
      <c r="B1401" s="23" t="s">
        <v>209</v>
      </c>
      <c r="C1401" s="201">
        <v>11.591999999999999</v>
      </c>
      <c r="D1401" s="23" t="s">
        <v>59</v>
      </c>
    </row>
    <row r="1402">
      <c r="A1402" s="202">
        <v>45250.92763164351</v>
      </c>
      <c r="B1402" s="23" t="s">
        <v>228</v>
      </c>
      <c r="C1402" s="201">
        <v>4.6</v>
      </c>
      <c r="D1402" s="23" t="s">
        <v>61</v>
      </c>
    </row>
    <row r="1403">
      <c r="A1403" s="202">
        <v>45250.92763164351</v>
      </c>
      <c r="B1403" s="23" t="s">
        <v>116</v>
      </c>
      <c r="C1403" s="201">
        <v>5.4</v>
      </c>
      <c r="D1403" s="23" t="s">
        <v>58</v>
      </c>
    </row>
    <row r="1404">
      <c r="A1404" s="202">
        <v>45250.92763164351</v>
      </c>
      <c r="B1404" s="23" t="s">
        <v>249</v>
      </c>
      <c r="C1404" s="201">
        <v>5.2</v>
      </c>
      <c r="D1404" s="23" t="s">
        <v>62</v>
      </c>
    </row>
    <row r="1405">
      <c r="A1405" s="202">
        <v>45250.92763164351</v>
      </c>
      <c r="B1405" s="23" t="s">
        <v>237</v>
      </c>
      <c r="C1405" s="201">
        <v>9.7</v>
      </c>
      <c r="D1405" s="23" t="s">
        <v>59</v>
      </c>
    </row>
    <row r="1406">
      <c r="A1406" s="202">
        <v>45250.92763164351</v>
      </c>
      <c r="B1406" s="23" t="s">
        <v>234</v>
      </c>
      <c r="C1406" s="201">
        <v>5.4</v>
      </c>
      <c r="D1406" s="23" t="s">
        <v>59</v>
      </c>
    </row>
    <row r="1407">
      <c r="A1407" s="202">
        <v>45250.92763164351</v>
      </c>
      <c r="B1407" s="23" t="s">
        <v>268</v>
      </c>
      <c r="C1407" s="201">
        <v>8.4</v>
      </c>
      <c r="D1407" s="23" t="s">
        <v>61</v>
      </c>
    </row>
    <row r="1408">
      <c r="A1408" s="202">
        <v>45250.92763164351</v>
      </c>
      <c r="B1408" s="23" t="s">
        <v>80</v>
      </c>
      <c r="C1408" s="201">
        <v>5.4</v>
      </c>
      <c r="D1408" s="23" t="s">
        <v>35</v>
      </c>
    </row>
    <row r="1409">
      <c r="A1409" s="202">
        <v>45250.92763164351</v>
      </c>
      <c r="B1409" s="23" t="s">
        <v>258</v>
      </c>
      <c r="C1409" s="201">
        <v>2.2</v>
      </c>
      <c r="D1409" s="23" t="s">
        <v>125</v>
      </c>
    </row>
    <row r="1410">
      <c r="A1410" s="202">
        <v>45250.92763164351</v>
      </c>
      <c r="B1410" s="23" t="s">
        <v>88</v>
      </c>
      <c r="C1410" s="201">
        <v>4.4</v>
      </c>
      <c r="D1410" s="23" t="s">
        <v>35</v>
      </c>
    </row>
    <row r="1411">
      <c r="A1411" s="202">
        <v>45250.92763164351</v>
      </c>
      <c r="B1411" s="23" t="s">
        <v>201</v>
      </c>
      <c r="C1411" s="201">
        <v>9.521999999999998</v>
      </c>
      <c r="D1411" s="23" t="s">
        <v>57</v>
      </c>
    </row>
    <row r="1412">
      <c r="A1412" s="202">
        <v>45250.92763164351</v>
      </c>
      <c r="B1412" s="23" t="s">
        <v>216</v>
      </c>
      <c r="C1412" s="201">
        <v>8.6</v>
      </c>
      <c r="D1412" s="23" t="s">
        <v>67</v>
      </c>
    </row>
    <row r="1413">
      <c r="A1413" s="202">
        <v>45250.92763164351</v>
      </c>
      <c r="B1413" s="23" t="s">
        <v>221</v>
      </c>
      <c r="C1413" s="201">
        <v>4.6</v>
      </c>
      <c r="D1413" s="23" t="s">
        <v>67</v>
      </c>
    </row>
    <row r="1414">
      <c r="A1414" s="202">
        <v>45250.92763164351</v>
      </c>
      <c r="B1414" s="23" t="s">
        <v>117</v>
      </c>
      <c r="C1414" s="201">
        <v>5.9</v>
      </c>
      <c r="D1414" s="23" t="s">
        <v>58</v>
      </c>
    </row>
    <row r="1415">
      <c r="A1415" s="202">
        <v>45250.92763164351</v>
      </c>
      <c r="B1415" s="23" t="s">
        <v>261</v>
      </c>
      <c r="C1415" s="201">
        <v>6.4</v>
      </c>
      <c r="D1415" s="23" t="s">
        <v>125</v>
      </c>
    </row>
    <row r="1416">
      <c r="A1416" s="202">
        <v>45250.92763164351</v>
      </c>
      <c r="B1416" s="23" t="s">
        <v>128</v>
      </c>
      <c r="C1416" s="201">
        <v>9.0</v>
      </c>
      <c r="D1416" s="23" t="s">
        <v>56</v>
      </c>
    </row>
    <row r="1417">
      <c r="A1417" s="202">
        <v>45250.92763164351</v>
      </c>
      <c r="B1417" s="23" t="s">
        <v>214</v>
      </c>
      <c r="C1417" s="201">
        <v>8.8</v>
      </c>
      <c r="D1417" s="23" t="s">
        <v>57</v>
      </c>
    </row>
    <row r="1418">
      <c r="A1418" s="202">
        <v>45250.92763164351</v>
      </c>
      <c r="B1418" s="23" t="s">
        <v>200</v>
      </c>
      <c r="C1418" s="201">
        <v>11.476</v>
      </c>
      <c r="D1418" s="23" t="s">
        <v>57</v>
      </c>
    </row>
    <row r="1419">
      <c r="A1419" s="202">
        <v>45250.92763164351</v>
      </c>
      <c r="B1419" s="23" t="s">
        <v>179</v>
      </c>
      <c r="C1419" s="201">
        <v>9.807</v>
      </c>
      <c r="D1419" s="23" t="s">
        <v>60</v>
      </c>
    </row>
    <row r="1420">
      <c r="A1420" s="202">
        <v>45250.92763164351</v>
      </c>
      <c r="B1420" s="23" t="s">
        <v>267</v>
      </c>
      <c r="C1420" s="201">
        <v>8.768</v>
      </c>
      <c r="D1420" s="23" t="s">
        <v>61</v>
      </c>
    </row>
    <row r="1421">
      <c r="A1421" s="202">
        <v>45250.92763164351</v>
      </c>
      <c r="B1421" s="23" t="s">
        <v>270</v>
      </c>
      <c r="C1421" s="201">
        <v>5.5</v>
      </c>
      <c r="D1421" s="23" t="s">
        <v>61</v>
      </c>
    </row>
    <row r="1422">
      <c r="A1422" s="202">
        <v>45250.92763164351</v>
      </c>
      <c r="B1422" s="23" t="s">
        <v>225</v>
      </c>
      <c r="C1422" s="201">
        <v>9.8</v>
      </c>
      <c r="D1422" s="23" t="s">
        <v>67</v>
      </c>
    </row>
    <row r="1423">
      <c r="A1423" s="202">
        <v>45250.92763164351</v>
      </c>
      <c r="B1423" s="23" t="s">
        <v>38</v>
      </c>
      <c r="C1423" s="201">
        <v>10.797</v>
      </c>
      <c r="D1423" s="23" t="s">
        <v>35</v>
      </c>
    </row>
    <row r="1424">
      <c r="A1424" s="202">
        <v>45250.92763164351</v>
      </c>
      <c r="B1424" s="23" t="s">
        <v>247</v>
      </c>
      <c r="C1424" s="201">
        <v>8.2</v>
      </c>
      <c r="D1424" s="23" t="s">
        <v>62</v>
      </c>
    </row>
    <row r="1425">
      <c r="A1425" s="202">
        <v>45250.92763164351</v>
      </c>
      <c r="B1425" s="23" t="s">
        <v>135</v>
      </c>
      <c r="C1425" s="201">
        <v>10.0</v>
      </c>
      <c r="D1425" s="23" t="s">
        <v>56</v>
      </c>
    </row>
    <row r="1426">
      <c r="A1426" s="202">
        <v>45250.92763164351</v>
      </c>
      <c r="B1426" s="23" t="s">
        <v>256</v>
      </c>
      <c r="C1426" s="201">
        <v>3.2</v>
      </c>
      <c r="D1426" s="23" t="s">
        <v>69</v>
      </c>
    </row>
    <row r="1427">
      <c r="A1427" s="202">
        <v>45250.92763164351</v>
      </c>
      <c r="B1427" s="23" t="s">
        <v>222</v>
      </c>
      <c r="C1427" s="201">
        <v>3.6</v>
      </c>
      <c r="D1427" s="23" t="s">
        <v>67</v>
      </c>
    </row>
    <row r="1428">
      <c r="A1428" s="202">
        <v>45250.92763164351</v>
      </c>
      <c r="B1428" s="23" t="s">
        <v>263</v>
      </c>
      <c r="C1428" s="201">
        <v>5.7</v>
      </c>
      <c r="D1428" s="23" t="s">
        <v>125</v>
      </c>
    </row>
    <row r="1429">
      <c r="A1429" s="202">
        <v>45250.92763164351</v>
      </c>
      <c r="B1429" s="23" t="s">
        <v>185</v>
      </c>
      <c r="C1429" s="201">
        <v>6.5</v>
      </c>
      <c r="D1429" s="23" t="s">
        <v>46</v>
      </c>
    </row>
    <row r="1430">
      <c r="A1430" s="202">
        <v>45250.92763164351</v>
      </c>
      <c r="B1430" s="23" t="s">
        <v>190</v>
      </c>
      <c r="C1430" s="201">
        <v>3.3</v>
      </c>
      <c r="D1430" s="23" t="s">
        <v>70</v>
      </c>
    </row>
    <row r="1431">
      <c r="A1431" s="202">
        <v>45250.92763164351</v>
      </c>
      <c r="B1431" s="23" t="s">
        <v>129</v>
      </c>
      <c r="C1431" s="201">
        <v>6.465</v>
      </c>
      <c r="D1431" s="23" t="s">
        <v>56</v>
      </c>
    </row>
    <row r="1432">
      <c r="A1432" s="202">
        <v>45250.92763164351</v>
      </c>
      <c r="B1432" s="23" t="s">
        <v>139</v>
      </c>
      <c r="C1432" s="201">
        <v>9.914</v>
      </c>
      <c r="D1432" s="23" t="s">
        <v>60</v>
      </c>
    </row>
    <row r="1433">
      <c r="A1433" s="202">
        <v>45250.92763164351</v>
      </c>
      <c r="B1433" s="23" t="s">
        <v>205</v>
      </c>
      <c r="C1433" s="201">
        <v>6.7</v>
      </c>
      <c r="D1433" s="23" t="s">
        <v>67</v>
      </c>
    </row>
    <row r="1434">
      <c r="A1434" s="202">
        <v>45250.92763164351</v>
      </c>
      <c r="B1434" s="23" t="s">
        <v>184</v>
      </c>
      <c r="C1434" s="201">
        <v>5.3</v>
      </c>
      <c r="D1434" s="23" t="s">
        <v>46</v>
      </c>
    </row>
    <row r="1435">
      <c r="A1435" s="202">
        <v>45250.92763164351</v>
      </c>
      <c r="B1435" s="23" t="s">
        <v>253</v>
      </c>
      <c r="C1435" s="201">
        <v>5.6</v>
      </c>
      <c r="D1435" s="23" t="s">
        <v>69</v>
      </c>
    </row>
    <row r="1436">
      <c r="A1436" s="202">
        <v>45250.92763164351</v>
      </c>
      <c r="B1436" s="23" t="s">
        <v>197</v>
      </c>
      <c r="C1436" s="201">
        <v>3.1</v>
      </c>
      <c r="D1436" s="23" t="s">
        <v>70</v>
      </c>
    </row>
    <row r="1437">
      <c r="A1437" s="202">
        <v>45250.92763164351</v>
      </c>
      <c r="B1437" s="23" t="s">
        <v>193</v>
      </c>
      <c r="C1437" s="201">
        <v>3.0</v>
      </c>
      <c r="D1437" s="23" t="s">
        <v>70</v>
      </c>
    </row>
    <row r="1438">
      <c r="A1438" s="202">
        <v>45250.92763164351</v>
      </c>
      <c r="B1438" s="23" t="s">
        <v>130</v>
      </c>
      <c r="C1438" s="201">
        <v>5.7</v>
      </c>
      <c r="D1438" s="23" t="s">
        <v>56</v>
      </c>
    </row>
    <row r="1439">
      <c r="A1439" s="202">
        <v>45250.92763164351</v>
      </c>
      <c r="B1439" s="23" t="s">
        <v>223</v>
      </c>
      <c r="C1439" s="201">
        <v>5.2</v>
      </c>
      <c r="D1439" s="23" t="s">
        <v>67</v>
      </c>
    </row>
    <row r="1440">
      <c r="A1440" s="202">
        <v>45250.92763164351</v>
      </c>
      <c r="B1440" s="23" t="s">
        <v>81</v>
      </c>
      <c r="C1440" s="201">
        <v>3.1</v>
      </c>
      <c r="D1440" s="23" t="s">
        <v>35</v>
      </c>
    </row>
    <row r="1441">
      <c r="A1441" s="202">
        <v>45250.92763164351</v>
      </c>
      <c r="B1441" s="23" t="s">
        <v>233</v>
      </c>
      <c r="C1441" s="201">
        <v>8.0</v>
      </c>
      <c r="D1441" s="23" t="s">
        <v>61</v>
      </c>
    </row>
    <row r="1442">
      <c r="A1442" s="202">
        <v>45250.92763164351</v>
      </c>
      <c r="B1442" s="23" t="s">
        <v>264</v>
      </c>
      <c r="C1442" s="201">
        <v>7.3</v>
      </c>
      <c r="D1442" s="23" t="s">
        <v>125</v>
      </c>
    </row>
    <row r="1443">
      <c r="A1443" s="202">
        <v>45250.92763164351</v>
      </c>
      <c r="B1443" s="23" t="s">
        <v>239</v>
      </c>
      <c r="C1443" s="201">
        <v>10.838</v>
      </c>
      <c r="D1443" s="23" t="s">
        <v>125</v>
      </c>
    </row>
    <row r="1444">
      <c r="A1444" s="202">
        <v>45250.92763164351</v>
      </c>
      <c r="B1444" s="23" t="s">
        <v>126</v>
      </c>
      <c r="C1444" s="201">
        <v>6.3</v>
      </c>
      <c r="D1444" s="23" t="s">
        <v>56</v>
      </c>
    </row>
    <row r="1445">
      <c r="A1445" s="202">
        <v>45250.92763164351</v>
      </c>
      <c r="B1445" s="23" t="s">
        <v>188</v>
      </c>
      <c r="C1445" s="201">
        <v>6.1</v>
      </c>
      <c r="D1445" s="23" t="s">
        <v>46</v>
      </c>
    </row>
    <row r="1446">
      <c r="A1446" s="202">
        <v>45250.92763164351</v>
      </c>
      <c r="B1446" s="23" t="s">
        <v>120</v>
      </c>
      <c r="C1446" s="201">
        <v>10.821</v>
      </c>
      <c r="D1446" s="23" t="s">
        <v>56</v>
      </c>
    </row>
    <row r="1447">
      <c r="A1447" s="202">
        <v>45250.92763164351</v>
      </c>
      <c r="B1447" s="23" t="s">
        <v>181</v>
      </c>
      <c r="C1447" s="201">
        <v>9.922</v>
      </c>
      <c r="D1447" s="23" t="s">
        <v>46</v>
      </c>
    </row>
    <row r="1448">
      <c r="A1448" s="202">
        <v>45250.92763164351</v>
      </c>
      <c r="B1448" s="23" t="s">
        <v>182</v>
      </c>
      <c r="C1448" s="201">
        <v>10.568</v>
      </c>
      <c r="D1448" s="23" t="s">
        <v>46</v>
      </c>
    </row>
    <row r="1449">
      <c r="A1449" s="202">
        <v>45250.92763164351</v>
      </c>
      <c r="B1449" s="23" t="s">
        <v>207</v>
      </c>
      <c r="C1449" s="201">
        <v>3.2</v>
      </c>
      <c r="D1449" s="23" t="s">
        <v>57</v>
      </c>
    </row>
    <row r="1450">
      <c r="A1450" s="202">
        <v>45250.92763164351</v>
      </c>
      <c r="B1450" s="23" t="s">
        <v>271</v>
      </c>
      <c r="C1450" s="201">
        <v>4.4</v>
      </c>
      <c r="D1450" s="23" t="s">
        <v>61</v>
      </c>
    </row>
    <row r="1451">
      <c r="A1451" s="202">
        <v>45250.92763164351</v>
      </c>
      <c r="B1451" s="23" t="s">
        <v>257</v>
      </c>
      <c r="C1451" s="201">
        <v>5.8</v>
      </c>
      <c r="D1451" s="23" t="s">
        <v>69</v>
      </c>
    </row>
    <row r="1452">
      <c r="A1452" s="202">
        <v>45250.92763164351</v>
      </c>
      <c r="B1452" s="23" t="s">
        <v>109</v>
      </c>
      <c r="C1452" s="201">
        <v>7.7</v>
      </c>
      <c r="D1452" s="23" t="s">
        <v>58</v>
      </c>
    </row>
    <row r="1453">
      <c r="A1453" s="202">
        <v>45250.92763164351</v>
      </c>
      <c r="B1453" s="23" t="s">
        <v>236</v>
      </c>
      <c r="C1453" s="201">
        <v>2.4</v>
      </c>
      <c r="D1453" s="23" t="s">
        <v>59</v>
      </c>
    </row>
    <row r="1454">
      <c r="A1454" s="202">
        <v>45250.92763164351</v>
      </c>
      <c r="B1454" s="23" t="s">
        <v>218</v>
      </c>
      <c r="C1454" s="201">
        <v>2.1</v>
      </c>
      <c r="D1454" s="23" t="s">
        <v>67</v>
      </c>
    </row>
    <row r="1455">
      <c r="A1455" s="202">
        <v>45250.92763164351</v>
      </c>
      <c r="B1455" s="23" t="s">
        <v>176</v>
      </c>
      <c r="C1455" s="201">
        <v>3.6</v>
      </c>
      <c r="D1455" s="23" t="s">
        <v>60</v>
      </c>
    </row>
    <row r="1456">
      <c r="A1456" s="202">
        <v>45250.92763164351</v>
      </c>
      <c r="B1456" s="23" t="s">
        <v>202</v>
      </c>
      <c r="C1456" s="201">
        <v>9.619</v>
      </c>
      <c r="D1456" s="23" t="s">
        <v>57</v>
      </c>
    </row>
    <row r="1457">
      <c r="A1457" s="202">
        <v>45250.92763164351</v>
      </c>
      <c r="B1457" s="23" t="s">
        <v>204</v>
      </c>
      <c r="C1457" s="201">
        <v>7.0</v>
      </c>
      <c r="D1457" s="23" t="s">
        <v>57</v>
      </c>
    </row>
    <row r="1458">
      <c r="A1458" s="202">
        <v>45250.92763164351</v>
      </c>
      <c r="B1458" s="23" t="s">
        <v>273</v>
      </c>
      <c r="C1458" s="201">
        <v>5.6</v>
      </c>
      <c r="D1458" s="23" t="s">
        <v>61</v>
      </c>
    </row>
    <row r="1459">
      <c r="A1459" s="202">
        <v>45250.92763164351</v>
      </c>
      <c r="B1459" s="23" t="s">
        <v>231</v>
      </c>
      <c r="C1459" s="201">
        <v>7.9</v>
      </c>
      <c r="D1459" s="23" t="s">
        <v>59</v>
      </c>
    </row>
    <row r="1460">
      <c r="A1460" s="202">
        <v>45250.92763164351</v>
      </c>
      <c r="B1460" s="23" t="s">
        <v>194</v>
      </c>
      <c r="C1460" s="201">
        <v>3.1</v>
      </c>
      <c r="D1460" s="23" t="s">
        <v>70</v>
      </c>
    </row>
    <row r="1461">
      <c r="A1461" s="202">
        <v>45250.92763164351</v>
      </c>
      <c r="B1461" s="23" t="s">
        <v>198</v>
      </c>
      <c r="C1461" s="201">
        <v>8.417</v>
      </c>
      <c r="D1461" s="23" t="s">
        <v>70</v>
      </c>
    </row>
    <row r="1462">
      <c r="A1462" s="202">
        <v>45250.92763164351</v>
      </c>
      <c r="B1462" s="23" t="s">
        <v>277</v>
      </c>
      <c r="C1462" s="201">
        <v>2.0</v>
      </c>
      <c r="D1462" s="23" t="s">
        <v>274</v>
      </c>
    </row>
    <row r="1463">
      <c r="A1463" s="202">
        <v>45250.92763164351</v>
      </c>
      <c r="B1463" s="23" t="s">
        <v>275</v>
      </c>
      <c r="C1463" s="201">
        <v>3.4</v>
      </c>
      <c r="D1463" s="23" t="s">
        <v>274</v>
      </c>
    </row>
    <row r="1464">
      <c r="A1464" s="202">
        <v>45250.92763164351</v>
      </c>
      <c r="B1464" s="23" t="s">
        <v>113</v>
      </c>
      <c r="C1464" s="201">
        <v>5.6</v>
      </c>
      <c r="D1464" s="23" t="s">
        <v>58</v>
      </c>
    </row>
    <row r="1465">
      <c r="A1465" s="202">
        <v>45250.92763164351</v>
      </c>
      <c r="B1465" s="23" t="s">
        <v>208</v>
      </c>
      <c r="C1465" s="201">
        <v>4.3</v>
      </c>
      <c r="D1465" s="23" t="s">
        <v>57</v>
      </c>
    </row>
    <row r="1466">
      <c r="A1466" s="202">
        <v>45250.92763164351</v>
      </c>
      <c r="B1466" s="23" t="s">
        <v>180</v>
      </c>
      <c r="C1466" s="201">
        <v>11.847</v>
      </c>
      <c r="D1466" s="23" t="s">
        <v>46</v>
      </c>
    </row>
    <row r="1467">
      <c r="A1467" s="202">
        <v>45250.92763164351</v>
      </c>
      <c r="B1467" s="23" t="s">
        <v>259</v>
      </c>
      <c r="C1467" s="201">
        <v>5.1</v>
      </c>
      <c r="D1467" s="23" t="s">
        <v>125</v>
      </c>
    </row>
    <row r="1468">
      <c r="A1468" s="202">
        <v>45250.92763164351</v>
      </c>
      <c r="B1468" s="23" t="s">
        <v>276</v>
      </c>
      <c r="C1468" s="201">
        <v>7.7</v>
      </c>
      <c r="D1468" s="23" t="s">
        <v>274</v>
      </c>
    </row>
    <row r="1469">
      <c r="A1469" s="202">
        <v>45250.92763164351</v>
      </c>
      <c r="B1469" s="23" t="s">
        <v>215</v>
      </c>
      <c r="C1469" s="201">
        <v>6.8</v>
      </c>
      <c r="D1469" s="23" t="s">
        <v>62</v>
      </c>
    </row>
    <row r="1470">
      <c r="A1470" s="202">
        <v>45250.92763164351</v>
      </c>
      <c r="B1470" s="23" t="s">
        <v>272</v>
      </c>
      <c r="C1470" s="201">
        <v>4.4</v>
      </c>
      <c r="D1470" s="23" t="s">
        <v>61</v>
      </c>
    </row>
    <row r="1471">
      <c r="A1471" s="202">
        <v>45250.92763164351</v>
      </c>
      <c r="B1471" s="23" t="s">
        <v>255</v>
      </c>
      <c r="C1471" s="201">
        <v>6.6</v>
      </c>
      <c r="D1471" s="23" t="s">
        <v>69</v>
      </c>
    </row>
    <row r="1472">
      <c r="A1472" s="202">
        <v>45250.92763164351</v>
      </c>
      <c r="B1472" s="23" t="s">
        <v>183</v>
      </c>
      <c r="C1472" s="201">
        <v>7.8</v>
      </c>
      <c r="D1472" s="23" t="s">
        <v>46</v>
      </c>
    </row>
    <row r="1473">
      <c r="A1473" s="202">
        <v>45250.92763164351</v>
      </c>
      <c r="B1473" s="23" t="s">
        <v>78</v>
      </c>
      <c r="C1473" s="201">
        <v>2.4</v>
      </c>
      <c r="D1473" s="23" t="s">
        <v>35</v>
      </c>
    </row>
    <row r="1474">
      <c r="A1474" s="202">
        <v>45250.92763164351</v>
      </c>
      <c r="B1474" s="23" t="s">
        <v>260</v>
      </c>
      <c r="C1474" s="201">
        <v>8.5</v>
      </c>
      <c r="D1474" s="23" t="s">
        <v>125</v>
      </c>
    </row>
    <row r="1475">
      <c r="A1475" s="23" t="s">
        <v>680</v>
      </c>
      <c r="B1475" s="23" t="s">
        <v>3</v>
      </c>
      <c r="C1475" s="23" t="s">
        <v>279</v>
      </c>
      <c r="D1475" s="23" t="s">
        <v>280</v>
      </c>
    </row>
    <row r="1476">
      <c r="A1476" s="202">
        <v>45257.455505335645</v>
      </c>
      <c r="B1476" s="23" t="s">
        <v>243</v>
      </c>
      <c r="C1476" s="201">
        <v>8.0</v>
      </c>
      <c r="D1476" s="23" t="s">
        <v>69</v>
      </c>
    </row>
    <row r="1477">
      <c r="A1477" s="202">
        <v>45257.455505335645</v>
      </c>
      <c r="B1477" s="23" t="s">
        <v>189</v>
      </c>
      <c r="C1477" s="201">
        <v>2.0</v>
      </c>
      <c r="D1477" s="23" t="s">
        <v>46</v>
      </c>
    </row>
    <row r="1478">
      <c r="A1478" s="202">
        <v>45257.455505335645</v>
      </c>
      <c r="B1478" s="23" t="s">
        <v>137</v>
      </c>
      <c r="C1478" s="201">
        <v>11.023</v>
      </c>
      <c r="D1478" s="23" t="s">
        <v>60</v>
      </c>
    </row>
    <row r="1479">
      <c r="A1479" s="202">
        <v>45257.455505335645</v>
      </c>
      <c r="B1479" s="23" t="s">
        <v>71</v>
      </c>
      <c r="C1479" s="201">
        <v>7.976000000000001</v>
      </c>
      <c r="D1479" s="23" t="s">
        <v>35</v>
      </c>
    </row>
    <row r="1480">
      <c r="A1480" s="202">
        <v>45257.455505335645</v>
      </c>
      <c r="B1480" s="23" t="s">
        <v>174</v>
      </c>
      <c r="C1480" s="201">
        <v>3.0</v>
      </c>
      <c r="D1480" s="23" t="s">
        <v>60</v>
      </c>
    </row>
    <row r="1481">
      <c r="A1481" s="202">
        <v>45257.455505335645</v>
      </c>
      <c r="B1481" s="23" t="s">
        <v>217</v>
      </c>
      <c r="C1481" s="201">
        <v>9.0</v>
      </c>
      <c r="D1481" s="23" t="s">
        <v>67</v>
      </c>
    </row>
    <row r="1482">
      <c r="A1482" s="202">
        <v>45257.455505335645</v>
      </c>
      <c r="B1482" s="23" t="s">
        <v>213</v>
      </c>
      <c r="C1482" s="201">
        <v>4.0</v>
      </c>
      <c r="D1482" s="23" t="s">
        <v>57</v>
      </c>
    </row>
    <row r="1483">
      <c r="A1483" s="202">
        <v>45257.455505335645</v>
      </c>
      <c r="B1483" s="23" t="s">
        <v>254</v>
      </c>
      <c r="C1483" s="201">
        <v>6.0</v>
      </c>
      <c r="D1483" s="23" t="s">
        <v>69</v>
      </c>
    </row>
    <row r="1484">
      <c r="A1484" s="202">
        <v>45257.455505335645</v>
      </c>
      <c r="B1484" s="23" t="s">
        <v>123</v>
      </c>
      <c r="C1484" s="201">
        <v>5.6</v>
      </c>
      <c r="D1484" s="23" t="s">
        <v>56</v>
      </c>
    </row>
    <row r="1485">
      <c r="A1485" s="202">
        <v>45257.455505335645</v>
      </c>
      <c r="B1485" s="23" t="s">
        <v>112</v>
      </c>
      <c r="C1485" s="201">
        <v>6.0</v>
      </c>
      <c r="D1485" s="23" t="s">
        <v>58</v>
      </c>
    </row>
    <row r="1486">
      <c r="A1486" s="202">
        <v>45257.455505335645</v>
      </c>
      <c r="B1486" s="23" t="s">
        <v>177</v>
      </c>
      <c r="C1486" s="201">
        <v>4.0</v>
      </c>
      <c r="D1486" s="23" t="s">
        <v>60</v>
      </c>
    </row>
    <row r="1487">
      <c r="A1487" s="202">
        <v>45257.455505335645</v>
      </c>
      <c r="B1487" s="23" t="s">
        <v>230</v>
      </c>
      <c r="C1487" s="201">
        <v>3.0</v>
      </c>
      <c r="D1487" s="23" t="s">
        <v>59</v>
      </c>
    </row>
    <row r="1488">
      <c r="A1488" s="202">
        <v>45257.455505335645</v>
      </c>
      <c r="B1488" s="23" t="s">
        <v>227</v>
      </c>
      <c r="C1488" s="201">
        <v>7.0489999999999995</v>
      </c>
      <c r="D1488" s="23" t="s">
        <v>59</v>
      </c>
    </row>
    <row r="1489">
      <c r="A1489" s="202">
        <v>45257.455505335645</v>
      </c>
      <c r="B1489" s="23" t="s">
        <v>248</v>
      </c>
      <c r="C1489" s="201">
        <v>6.0</v>
      </c>
      <c r="D1489" s="23" t="s">
        <v>62</v>
      </c>
    </row>
    <row r="1490">
      <c r="A1490" s="202">
        <v>45257.455505335645</v>
      </c>
      <c r="B1490" s="23" t="s">
        <v>226</v>
      </c>
      <c r="C1490" s="201">
        <v>7.0</v>
      </c>
      <c r="D1490" s="23" t="s">
        <v>67</v>
      </c>
    </row>
    <row r="1491">
      <c r="A1491" s="202">
        <v>45257.455505335645</v>
      </c>
      <c r="B1491" s="23" t="s">
        <v>199</v>
      </c>
      <c r="C1491" s="201">
        <v>3.0</v>
      </c>
      <c r="D1491" s="23" t="s">
        <v>70</v>
      </c>
    </row>
    <row r="1492">
      <c r="A1492" s="202">
        <v>45257.455505335645</v>
      </c>
      <c r="B1492" s="23" t="s">
        <v>119</v>
      </c>
      <c r="C1492" s="201">
        <v>5.0</v>
      </c>
      <c r="D1492" s="23" t="s">
        <v>58</v>
      </c>
    </row>
    <row r="1493">
      <c r="A1493" s="202">
        <v>45257.455505335645</v>
      </c>
      <c r="B1493" s="23" t="s">
        <v>251</v>
      </c>
      <c r="C1493" s="201">
        <v>6.0</v>
      </c>
      <c r="D1493" s="23" t="s">
        <v>69</v>
      </c>
    </row>
    <row r="1494">
      <c r="A1494" s="202">
        <v>45257.455505335645</v>
      </c>
      <c r="B1494" s="23" t="s">
        <v>265</v>
      </c>
      <c r="C1494" s="201">
        <v>5.0</v>
      </c>
      <c r="D1494" s="23" t="s">
        <v>125</v>
      </c>
    </row>
    <row r="1495">
      <c r="A1495" s="202">
        <v>45257.455505335645</v>
      </c>
      <c r="B1495" s="23" t="s">
        <v>252</v>
      </c>
      <c r="C1495" s="201">
        <v>3.0</v>
      </c>
      <c r="D1495" s="23" t="s">
        <v>69</v>
      </c>
    </row>
    <row r="1496">
      <c r="A1496" s="202">
        <v>45257.455505335645</v>
      </c>
      <c r="B1496" s="23" t="s">
        <v>242</v>
      </c>
      <c r="C1496" s="201">
        <v>3.0</v>
      </c>
      <c r="D1496" s="23" t="s">
        <v>62</v>
      </c>
    </row>
    <row r="1497">
      <c r="A1497" s="202">
        <v>45257.455505335645</v>
      </c>
      <c r="B1497" s="23" t="s">
        <v>191</v>
      </c>
      <c r="C1497" s="201">
        <v>8.0</v>
      </c>
      <c r="D1497" s="23" t="s">
        <v>70</v>
      </c>
    </row>
    <row r="1498">
      <c r="A1498" s="202">
        <v>45257.455505335645</v>
      </c>
      <c r="B1498" s="23" t="s">
        <v>206</v>
      </c>
      <c r="C1498" s="201">
        <v>7.0</v>
      </c>
      <c r="D1498" s="23" t="s">
        <v>57</v>
      </c>
    </row>
    <row r="1499">
      <c r="A1499" s="202">
        <v>45257.455505335645</v>
      </c>
      <c r="B1499" s="23" t="s">
        <v>269</v>
      </c>
      <c r="C1499" s="201">
        <v>4.0</v>
      </c>
      <c r="D1499" s="23" t="s">
        <v>61</v>
      </c>
    </row>
    <row r="1500">
      <c r="A1500" s="202">
        <v>45257.455505335645</v>
      </c>
      <c r="B1500" s="23" t="s">
        <v>105</v>
      </c>
      <c r="C1500" s="201">
        <v>5.0</v>
      </c>
      <c r="D1500" s="23" t="s">
        <v>58</v>
      </c>
    </row>
    <row r="1501">
      <c r="A1501" s="202">
        <v>45257.455505335645</v>
      </c>
      <c r="B1501" s="23" t="s">
        <v>187</v>
      </c>
      <c r="C1501" s="201">
        <v>7.0</v>
      </c>
      <c r="D1501" s="23" t="s">
        <v>46</v>
      </c>
    </row>
    <row r="1502">
      <c r="A1502" s="202">
        <v>45257.455505335645</v>
      </c>
      <c r="B1502" s="23" t="s">
        <v>246</v>
      </c>
      <c r="C1502" s="201">
        <v>2.0</v>
      </c>
      <c r="D1502" s="23" t="s">
        <v>62</v>
      </c>
    </row>
    <row r="1503">
      <c r="A1503" s="202">
        <v>45257.455505335645</v>
      </c>
      <c r="B1503" s="23" t="s">
        <v>238</v>
      </c>
      <c r="C1503" s="201">
        <v>6.0</v>
      </c>
      <c r="D1503" s="23" t="s">
        <v>59</v>
      </c>
    </row>
    <row r="1504">
      <c r="A1504" s="202">
        <v>45257.455505335645</v>
      </c>
      <c r="B1504" s="23" t="s">
        <v>133</v>
      </c>
      <c r="C1504" s="201">
        <v>4.0</v>
      </c>
      <c r="D1504" s="23" t="s">
        <v>56</v>
      </c>
    </row>
    <row r="1505">
      <c r="A1505" s="202">
        <v>45257.455505335645</v>
      </c>
      <c r="B1505" s="23" t="s">
        <v>127</v>
      </c>
      <c r="C1505" s="201">
        <v>5.0</v>
      </c>
      <c r="D1505" s="23" t="s">
        <v>56</v>
      </c>
    </row>
    <row r="1506">
      <c r="A1506" s="202">
        <v>45257.455505335645</v>
      </c>
      <c r="B1506" s="23" t="s">
        <v>220</v>
      </c>
      <c r="C1506" s="201">
        <v>4.0</v>
      </c>
      <c r="D1506" s="23" t="s">
        <v>67</v>
      </c>
    </row>
    <row r="1507">
      <c r="A1507" s="202">
        <v>45257.455505335645</v>
      </c>
      <c r="B1507" s="23" t="s">
        <v>224</v>
      </c>
      <c r="C1507" s="201">
        <v>11.968</v>
      </c>
      <c r="D1507" s="23" t="s">
        <v>125</v>
      </c>
    </row>
    <row r="1508">
      <c r="A1508" s="202">
        <v>45257.455505335645</v>
      </c>
      <c r="B1508" s="23" t="s">
        <v>241</v>
      </c>
      <c r="C1508" s="201">
        <v>8.0</v>
      </c>
      <c r="D1508" s="23" t="s">
        <v>62</v>
      </c>
    </row>
    <row r="1509">
      <c r="A1509" s="202">
        <v>45257.455505335645</v>
      </c>
      <c r="B1509" s="23" t="s">
        <v>63</v>
      </c>
      <c r="C1509" s="201">
        <v>11.977</v>
      </c>
      <c r="D1509" s="23" t="s">
        <v>35</v>
      </c>
    </row>
    <row r="1510">
      <c r="A1510" s="202">
        <v>45257.455505335645</v>
      </c>
      <c r="B1510" s="23" t="s">
        <v>245</v>
      </c>
      <c r="C1510" s="201">
        <v>6.0</v>
      </c>
      <c r="D1510" s="23" t="s">
        <v>62</v>
      </c>
    </row>
    <row r="1511">
      <c r="A1511" s="202">
        <v>45257.455505335645</v>
      </c>
      <c r="B1511" s="23" t="s">
        <v>232</v>
      </c>
      <c r="C1511" s="201">
        <v>6.0</v>
      </c>
      <c r="D1511" s="23" t="s">
        <v>59</v>
      </c>
    </row>
    <row r="1512">
      <c r="A1512" s="202">
        <v>45257.455505335645</v>
      </c>
      <c r="B1512" s="23" t="s">
        <v>229</v>
      </c>
      <c r="C1512" s="201">
        <v>6.0</v>
      </c>
      <c r="D1512" s="23" t="s">
        <v>59</v>
      </c>
    </row>
    <row r="1513">
      <c r="A1513" s="202">
        <v>45257.455505335645</v>
      </c>
      <c r="B1513" s="23" t="s">
        <v>173</v>
      </c>
      <c r="C1513" s="201">
        <v>5.0</v>
      </c>
      <c r="D1513" s="23" t="s">
        <v>60</v>
      </c>
    </row>
    <row r="1514">
      <c r="A1514" s="202">
        <v>45257.455505335645</v>
      </c>
      <c r="B1514" s="23" t="s">
        <v>210</v>
      </c>
      <c r="C1514" s="201">
        <v>4.0</v>
      </c>
      <c r="D1514" s="23" t="s">
        <v>57</v>
      </c>
    </row>
    <row r="1515">
      <c r="A1515" s="202">
        <v>45257.455505335645</v>
      </c>
      <c r="B1515" s="23" t="s">
        <v>186</v>
      </c>
      <c r="C1515" s="201">
        <v>5.0</v>
      </c>
      <c r="D1515" s="23" t="s">
        <v>46</v>
      </c>
    </row>
    <row r="1516">
      <c r="A1516" s="202">
        <v>45257.455505335645</v>
      </c>
      <c r="B1516" s="23" t="s">
        <v>195</v>
      </c>
      <c r="C1516" s="201">
        <v>3.0</v>
      </c>
      <c r="D1516" s="23" t="s">
        <v>70</v>
      </c>
    </row>
    <row r="1517">
      <c r="A1517" s="202">
        <v>45257.455505335645</v>
      </c>
      <c r="B1517" s="23" t="s">
        <v>266</v>
      </c>
      <c r="C1517" s="201">
        <v>10.027</v>
      </c>
      <c r="D1517" s="23" t="s">
        <v>61</v>
      </c>
    </row>
    <row r="1518">
      <c r="A1518" s="202">
        <v>45257.455505335645</v>
      </c>
      <c r="B1518" s="23" t="s">
        <v>124</v>
      </c>
      <c r="C1518" s="201">
        <v>7.0</v>
      </c>
      <c r="D1518" s="23" t="s">
        <v>56</v>
      </c>
    </row>
    <row r="1519">
      <c r="A1519" s="202">
        <v>45257.455505335645</v>
      </c>
      <c r="B1519" s="23" t="s">
        <v>262</v>
      </c>
      <c r="C1519" s="201">
        <v>11.0</v>
      </c>
      <c r="D1519" s="23" t="s">
        <v>125</v>
      </c>
    </row>
    <row r="1520">
      <c r="A1520" s="202">
        <v>45257.455505335645</v>
      </c>
      <c r="B1520" s="23" t="s">
        <v>192</v>
      </c>
      <c r="C1520" s="201">
        <v>8.0</v>
      </c>
      <c r="D1520" s="23" t="s">
        <v>70</v>
      </c>
    </row>
    <row r="1521">
      <c r="A1521" s="202">
        <v>45257.455505335645</v>
      </c>
      <c r="B1521" s="23" t="s">
        <v>74</v>
      </c>
      <c r="C1521" s="201">
        <v>8.0</v>
      </c>
      <c r="D1521" s="23" t="s">
        <v>35</v>
      </c>
    </row>
    <row r="1522">
      <c r="A1522" s="202">
        <v>45257.455505335645</v>
      </c>
      <c r="B1522" s="23" t="s">
        <v>75</v>
      </c>
      <c r="C1522" s="201">
        <v>1.0</v>
      </c>
      <c r="D1522" s="23" t="s">
        <v>35</v>
      </c>
    </row>
    <row r="1523">
      <c r="A1523" s="202">
        <v>45257.455505335645</v>
      </c>
      <c r="B1523" s="23" t="s">
        <v>196</v>
      </c>
      <c r="C1523" s="201">
        <v>7.0</v>
      </c>
      <c r="D1523" s="23" t="s">
        <v>70</v>
      </c>
    </row>
    <row r="1524">
      <c r="A1524" s="202">
        <v>45257.455505335645</v>
      </c>
      <c r="B1524" s="23" t="s">
        <v>102</v>
      </c>
      <c r="C1524" s="201">
        <v>11.975000000000001</v>
      </c>
      <c r="D1524" s="23" t="s">
        <v>58</v>
      </c>
    </row>
    <row r="1525">
      <c r="A1525" s="202">
        <v>45257.455505335645</v>
      </c>
      <c r="B1525" s="23" t="s">
        <v>175</v>
      </c>
      <c r="C1525" s="201">
        <v>6.0</v>
      </c>
      <c r="D1525" s="23" t="s">
        <v>60</v>
      </c>
    </row>
    <row r="1526">
      <c r="A1526" s="202">
        <v>45257.455505335645</v>
      </c>
      <c r="B1526" s="23" t="s">
        <v>250</v>
      </c>
      <c r="C1526" s="201">
        <v>3.0</v>
      </c>
      <c r="D1526" s="23" t="s">
        <v>69</v>
      </c>
    </row>
    <row r="1527">
      <c r="A1527" s="202">
        <v>45257.455505335645</v>
      </c>
      <c r="B1527" s="23" t="s">
        <v>164</v>
      </c>
      <c r="C1527" s="201">
        <v>10.032</v>
      </c>
      <c r="D1527" s="23" t="s">
        <v>60</v>
      </c>
    </row>
    <row r="1528">
      <c r="A1528" s="202">
        <v>45257.455505335645</v>
      </c>
      <c r="B1528" s="23" t="s">
        <v>219</v>
      </c>
      <c r="C1528" s="201">
        <v>9.0</v>
      </c>
      <c r="D1528" s="23" t="s">
        <v>69</v>
      </c>
    </row>
    <row r="1529">
      <c r="A1529" s="202">
        <v>45257.455505335645</v>
      </c>
      <c r="B1529" s="23" t="s">
        <v>111</v>
      </c>
      <c r="C1529" s="201">
        <v>6.0</v>
      </c>
      <c r="D1529" s="23" t="s">
        <v>58</v>
      </c>
    </row>
    <row r="1530">
      <c r="A1530" s="202">
        <v>45257.455505335645</v>
      </c>
      <c r="B1530" s="23" t="s">
        <v>244</v>
      </c>
      <c r="C1530" s="201">
        <v>7.0</v>
      </c>
      <c r="D1530" s="23" t="s">
        <v>62</v>
      </c>
    </row>
    <row r="1531">
      <c r="A1531" s="202">
        <v>45257.455505335645</v>
      </c>
      <c r="B1531" s="23" t="s">
        <v>118</v>
      </c>
      <c r="C1531" s="201">
        <v>9.0</v>
      </c>
      <c r="D1531" s="23" t="s">
        <v>58</v>
      </c>
    </row>
    <row r="1532">
      <c r="A1532" s="202">
        <v>45257.455505335645</v>
      </c>
      <c r="B1532" s="23" t="s">
        <v>240</v>
      </c>
      <c r="C1532" s="201">
        <v>10.007</v>
      </c>
      <c r="D1532" s="23" t="s">
        <v>62</v>
      </c>
    </row>
    <row r="1533">
      <c r="A1533" s="202">
        <v>45257.455505335645</v>
      </c>
      <c r="B1533" s="23" t="s">
        <v>79</v>
      </c>
      <c r="C1533" s="201">
        <v>7.0</v>
      </c>
      <c r="D1533" s="23" t="s">
        <v>35</v>
      </c>
    </row>
    <row r="1534">
      <c r="A1534" s="202">
        <v>45257.455505335645</v>
      </c>
      <c r="B1534" s="23" t="s">
        <v>178</v>
      </c>
      <c r="C1534" s="201">
        <v>4.0</v>
      </c>
      <c r="D1534" s="23" t="s">
        <v>60</v>
      </c>
    </row>
    <row r="1535">
      <c r="A1535" s="202">
        <v>45257.455505335645</v>
      </c>
      <c r="B1535" s="23" t="s">
        <v>209</v>
      </c>
      <c r="C1535" s="201">
        <v>11.973</v>
      </c>
      <c r="D1535" s="23" t="s">
        <v>59</v>
      </c>
    </row>
    <row r="1536">
      <c r="A1536" s="202">
        <v>45257.455505335645</v>
      </c>
      <c r="B1536" s="23" t="s">
        <v>228</v>
      </c>
      <c r="C1536" s="201">
        <v>4.0</v>
      </c>
      <c r="D1536" s="23" t="s">
        <v>61</v>
      </c>
    </row>
    <row r="1537">
      <c r="A1537" s="202">
        <v>45257.455505335645</v>
      </c>
      <c r="B1537" s="23" t="s">
        <v>116</v>
      </c>
      <c r="C1537" s="201">
        <v>5.0</v>
      </c>
      <c r="D1537" s="23" t="s">
        <v>58</v>
      </c>
    </row>
    <row r="1538">
      <c r="A1538" s="202">
        <v>45257.455505335645</v>
      </c>
      <c r="B1538" s="23" t="s">
        <v>249</v>
      </c>
      <c r="C1538" s="201">
        <v>5.0</v>
      </c>
      <c r="D1538" s="23" t="s">
        <v>62</v>
      </c>
    </row>
    <row r="1539">
      <c r="A1539" s="202">
        <v>45257.455505335645</v>
      </c>
      <c r="B1539" s="23" t="s">
        <v>237</v>
      </c>
      <c r="C1539" s="201">
        <v>10.0</v>
      </c>
      <c r="D1539" s="23" t="s">
        <v>59</v>
      </c>
    </row>
    <row r="1540">
      <c r="A1540" s="202">
        <v>45257.455505335645</v>
      </c>
      <c r="B1540" s="23" t="s">
        <v>234</v>
      </c>
      <c r="C1540" s="201">
        <v>5.4</v>
      </c>
      <c r="D1540" s="23" t="s">
        <v>59</v>
      </c>
    </row>
    <row r="1541">
      <c r="A1541" s="202">
        <v>45257.455505335645</v>
      </c>
      <c r="B1541" s="23" t="s">
        <v>268</v>
      </c>
      <c r="C1541" s="201">
        <v>9.0</v>
      </c>
      <c r="D1541" s="23" t="s">
        <v>61</v>
      </c>
    </row>
    <row r="1542">
      <c r="A1542" s="202">
        <v>45257.455505335645</v>
      </c>
      <c r="B1542" s="23" t="s">
        <v>80</v>
      </c>
      <c r="C1542" s="201">
        <v>5.0</v>
      </c>
      <c r="D1542" s="23" t="s">
        <v>35</v>
      </c>
    </row>
    <row r="1543">
      <c r="A1543" s="202">
        <v>45257.455505335645</v>
      </c>
      <c r="B1543" s="23" t="s">
        <v>258</v>
      </c>
      <c r="C1543" s="201">
        <v>2.0</v>
      </c>
      <c r="D1543" s="23" t="s">
        <v>125</v>
      </c>
    </row>
    <row r="1544">
      <c r="A1544" s="202">
        <v>45257.455505335645</v>
      </c>
      <c r="B1544" s="23" t="s">
        <v>88</v>
      </c>
      <c r="C1544" s="201">
        <v>4.0</v>
      </c>
      <c r="D1544" s="23" t="s">
        <v>35</v>
      </c>
    </row>
    <row r="1545">
      <c r="A1545" s="202">
        <v>45257.455505335645</v>
      </c>
      <c r="B1545" s="23" t="s">
        <v>201</v>
      </c>
      <c r="C1545" s="201">
        <v>10.024999999999999</v>
      </c>
      <c r="D1545" s="23" t="s">
        <v>57</v>
      </c>
    </row>
    <row r="1546">
      <c r="A1546" s="202">
        <v>45257.455505335645</v>
      </c>
      <c r="B1546" s="23" t="s">
        <v>216</v>
      </c>
      <c r="C1546" s="201">
        <v>8.0</v>
      </c>
      <c r="D1546" s="23" t="s">
        <v>67</v>
      </c>
    </row>
    <row r="1547">
      <c r="A1547" s="202">
        <v>45257.455505335645</v>
      </c>
      <c r="B1547" s="23" t="s">
        <v>221</v>
      </c>
      <c r="C1547" s="201">
        <v>5.0</v>
      </c>
      <c r="D1547" s="23" t="s">
        <v>67</v>
      </c>
    </row>
    <row r="1548">
      <c r="A1548" s="202">
        <v>45257.455505335645</v>
      </c>
      <c r="B1548" s="23" t="s">
        <v>117</v>
      </c>
      <c r="C1548" s="201">
        <v>6.0</v>
      </c>
      <c r="D1548" s="23" t="s">
        <v>58</v>
      </c>
    </row>
    <row r="1549">
      <c r="A1549" s="202">
        <v>45257.455505335645</v>
      </c>
      <c r="B1549" s="23" t="s">
        <v>261</v>
      </c>
      <c r="C1549" s="201">
        <v>7.0</v>
      </c>
      <c r="D1549" s="23" t="s">
        <v>125</v>
      </c>
    </row>
    <row r="1550">
      <c r="A1550" s="202">
        <v>45257.455505335645</v>
      </c>
      <c r="B1550" s="23" t="s">
        <v>128</v>
      </c>
      <c r="C1550" s="201">
        <v>9.0</v>
      </c>
      <c r="D1550" s="23" t="s">
        <v>56</v>
      </c>
    </row>
    <row r="1551">
      <c r="A1551" s="202">
        <v>45257.455505335645</v>
      </c>
      <c r="B1551" s="23" t="s">
        <v>214</v>
      </c>
      <c r="C1551" s="201">
        <v>9.0</v>
      </c>
      <c r="D1551" s="23" t="s">
        <v>57</v>
      </c>
    </row>
    <row r="1552">
      <c r="A1552" s="202">
        <v>45257.455505335645</v>
      </c>
      <c r="B1552" s="23" t="s">
        <v>200</v>
      </c>
      <c r="C1552" s="201">
        <v>11.0</v>
      </c>
      <c r="D1552" s="23" t="s">
        <v>57</v>
      </c>
    </row>
    <row r="1553">
      <c r="A1553" s="202">
        <v>45257.455505335645</v>
      </c>
      <c r="B1553" s="23" t="s">
        <v>179</v>
      </c>
      <c r="C1553" s="201">
        <v>10.0</v>
      </c>
      <c r="D1553" s="23" t="s">
        <v>60</v>
      </c>
    </row>
    <row r="1554">
      <c r="A1554" s="202">
        <v>45257.455505335645</v>
      </c>
      <c r="B1554" s="23" t="s">
        <v>267</v>
      </c>
      <c r="C1554" s="201">
        <v>8.988</v>
      </c>
      <c r="D1554" s="23" t="s">
        <v>61</v>
      </c>
    </row>
    <row r="1555">
      <c r="A1555" s="202">
        <v>45257.455505335645</v>
      </c>
      <c r="B1555" s="23" t="s">
        <v>270</v>
      </c>
      <c r="C1555" s="201">
        <v>6.0</v>
      </c>
      <c r="D1555" s="23" t="s">
        <v>61</v>
      </c>
    </row>
    <row r="1556">
      <c r="A1556" s="202">
        <v>45257.455505335645</v>
      </c>
      <c r="B1556" s="23" t="s">
        <v>225</v>
      </c>
      <c r="C1556" s="201">
        <v>10.0</v>
      </c>
      <c r="D1556" s="23" t="s">
        <v>67</v>
      </c>
    </row>
    <row r="1557">
      <c r="A1557" s="202">
        <v>45257.455505335645</v>
      </c>
      <c r="B1557" s="23" t="s">
        <v>38</v>
      </c>
      <c r="C1557" s="201">
        <v>11.048</v>
      </c>
      <c r="D1557" s="23" t="s">
        <v>35</v>
      </c>
    </row>
    <row r="1558">
      <c r="A1558" s="202">
        <v>45257.455505335645</v>
      </c>
      <c r="B1558" s="23" t="s">
        <v>247</v>
      </c>
      <c r="C1558" s="201">
        <v>8.0</v>
      </c>
      <c r="D1558" s="23" t="s">
        <v>62</v>
      </c>
    </row>
    <row r="1559">
      <c r="A1559" s="202">
        <v>45257.455505335645</v>
      </c>
      <c r="B1559" s="23" t="s">
        <v>135</v>
      </c>
      <c r="C1559" s="201">
        <v>10.0</v>
      </c>
      <c r="D1559" s="23" t="s">
        <v>56</v>
      </c>
    </row>
    <row r="1560">
      <c r="A1560" s="202">
        <v>45257.455505335645</v>
      </c>
      <c r="B1560" s="23" t="s">
        <v>256</v>
      </c>
      <c r="C1560" s="201">
        <v>3.0</v>
      </c>
      <c r="D1560" s="23" t="s">
        <v>69</v>
      </c>
    </row>
    <row r="1561">
      <c r="A1561" s="202">
        <v>45257.455505335645</v>
      </c>
      <c r="B1561" s="23" t="s">
        <v>222</v>
      </c>
      <c r="C1561" s="201">
        <v>4.0</v>
      </c>
      <c r="D1561" s="23" t="s">
        <v>67</v>
      </c>
    </row>
    <row r="1562">
      <c r="A1562" s="202">
        <v>45257.455505335645</v>
      </c>
      <c r="B1562" s="23" t="s">
        <v>263</v>
      </c>
      <c r="C1562" s="201">
        <v>6.0</v>
      </c>
      <c r="D1562" s="23" t="s">
        <v>125</v>
      </c>
    </row>
    <row r="1563">
      <c r="A1563" s="202">
        <v>45257.455505335645</v>
      </c>
      <c r="B1563" s="23" t="s">
        <v>185</v>
      </c>
      <c r="C1563" s="201">
        <v>6.0</v>
      </c>
      <c r="D1563" s="23" t="s">
        <v>46</v>
      </c>
    </row>
    <row r="1564">
      <c r="A1564" s="202">
        <v>45257.455505335645</v>
      </c>
      <c r="B1564" s="23" t="s">
        <v>190</v>
      </c>
      <c r="C1564" s="201">
        <v>4.0</v>
      </c>
      <c r="D1564" s="23" t="s">
        <v>70</v>
      </c>
    </row>
    <row r="1565">
      <c r="A1565" s="202">
        <v>45257.455505335645</v>
      </c>
      <c r="B1565" s="23" t="s">
        <v>129</v>
      </c>
      <c r="C1565" s="201">
        <v>7.0</v>
      </c>
      <c r="D1565" s="23" t="s">
        <v>56</v>
      </c>
    </row>
    <row r="1566">
      <c r="A1566" s="202">
        <v>45257.455505335645</v>
      </c>
      <c r="B1566" s="23" t="s">
        <v>139</v>
      </c>
      <c r="C1566" s="201">
        <v>9.966</v>
      </c>
      <c r="D1566" s="23" t="s">
        <v>60</v>
      </c>
    </row>
    <row r="1567">
      <c r="A1567" s="202">
        <v>45257.455505335645</v>
      </c>
      <c r="B1567" s="23" t="s">
        <v>205</v>
      </c>
      <c r="C1567" s="201">
        <v>6.0</v>
      </c>
      <c r="D1567" s="23" t="s">
        <v>67</v>
      </c>
    </row>
    <row r="1568">
      <c r="A1568" s="202">
        <v>45257.455505335645</v>
      </c>
      <c r="B1568" s="23" t="s">
        <v>184</v>
      </c>
      <c r="C1568" s="201">
        <v>5.0</v>
      </c>
      <c r="D1568" s="23" t="s">
        <v>46</v>
      </c>
    </row>
    <row r="1569">
      <c r="A1569" s="202">
        <v>45257.455505335645</v>
      </c>
      <c r="B1569" s="23" t="s">
        <v>253</v>
      </c>
      <c r="C1569" s="201">
        <v>6.0</v>
      </c>
      <c r="D1569" s="23" t="s">
        <v>69</v>
      </c>
    </row>
    <row r="1570">
      <c r="A1570" s="202">
        <v>45257.455505335645</v>
      </c>
      <c r="B1570" s="23" t="s">
        <v>197</v>
      </c>
      <c r="C1570" s="201">
        <v>3.0</v>
      </c>
      <c r="D1570" s="23" t="s">
        <v>70</v>
      </c>
    </row>
    <row r="1571">
      <c r="A1571" s="202">
        <v>45257.455505335645</v>
      </c>
      <c r="B1571" s="23" t="s">
        <v>193</v>
      </c>
      <c r="C1571" s="201">
        <v>3.0</v>
      </c>
      <c r="D1571" s="23" t="s">
        <v>70</v>
      </c>
    </row>
    <row r="1572">
      <c r="A1572" s="202">
        <v>45257.455505335645</v>
      </c>
      <c r="B1572" s="23" t="s">
        <v>130</v>
      </c>
      <c r="C1572" s="201">
        <v>6.0</v>
      </c>
      <c r="D1572" s="23" t="s">
        <v>56</v>
      </c>
    </row>
    <row r="1573">
      <c r="A1573" s="202">
        <v>45257.455505335645</v>
      </c>
      <c r="B1573" s="23" t="s">
        <v>223</v>
      </c>
      <c r="C1573" s="201">
        <v>5.0</v>
      </c>
      <c r="D1573" s="23" t="s">
        <v>67</v>
      </c>
    </row>
    <row r="1574">
      <c r="A1574" s="202">
        <v>45257.455505335645</v>
      </c>
      <c r="B1574" s="23" t="s">
        <v>81</v>
      </c>
      <c r="C1574" s="201">
        <v>3.0</v>
      </c>
      <c r="D1574" s="23" t="s">
        <v>35</v>
      </c>
    </row>
    <row r="1575">
      <c r="A1575" s="202">
        <v>45257.455505335645</v>
      </c>
      <c r="B1575" s="23" t="s">
        <v>233</v>
      </c>
      <c r="C1575" s="201">
        <v>8.0</v>
      </c>
      <c r="D1575" s="23" t="s">
        <v>61</v>
      </c>
    </row>
    <row r="1576">
      <c r="A1576" s="202">
        <v>45257.455505335645</v>
      </c>
      <c r="B1576" s="23" t="s">
        <v>264</v>
      </c>
      <c r="C1576" s="201">
        <v>7.0</v>
      </c>
      <c r="D1576" s="23" t="s">
        <v>125</v>
      </c>
    </row>
    <row r="1577">
      <c r="A1577" s="202">
        <v>45257.455505335645</v>
      </c>
      <c r="B1577" s="23" t="s">
        <v>239</v>
      </c>
      <c r="C1577" s="201">
        <v>11.012</v>
      </c>
      <c r="D1577" s="23" t="s">
        <v>125</v>
      </c>
    </row>
    <row r="1578">
      <c r="A1578" s="202">
        <v>45257.455505335645</v>
      </c>
      <c r="B1578" s="23" t="s">
        <v>126</v>
      </c>
      <c r="C1578" s="201">
        <v>7.0</v>
      </c>
      <c r="D1578" s="23" t="s">
        <v>56</v>
      </c>
    </row>
    <row r="1579">
      <c r="A1579" s="202">
        <v>45257.455505335645</v>
      </c>
      <c r="B1579" s="23" t="s">
        <v>188</v>
      </c>
      <c r="C1579" s="201">
        <v>6.0</v>
      </c>
      <c r="D1579" s="23" t="s">
        <v>46</v>
      </c>
    </row>
    <row r="1580">
      <c r="A1580" s="202">
        <v>45257.455505335645</v>
      </c>
      <c r="B1580" s="23" t="s">
        <v>120</v>
      </c>
      <c r="C1580" s="201">
        <v>10.993</v>
      </c>
      <c r="D1580" s="23" t="s">
        <v>56</v>
      </c>
    </row>
    <row r="1581">
      <c r="A1581" s="202">
        <v>45257.455505335645</v>
      </c>
      <c r="B1581" s="23" t="s">
        <v>181</v>
      </c>
      <c r="C1581" s="201">
        <v>10.024</v>
      </c>
      <c r="D1581" s="23" t="s">
        <v>46</v>
      </c>
    </row>
    <row r="1582">
      <c r="A1582" s="202">
        <v>45257.455505335645</v>
      </c>
      <c r="B1582" s="23" t="s">
        <v>182</v>
      </c>
      <c r="C1582" s="201">
        <v>11.034</v>
      </c>
      <c r="D1582" s="23" t="s">
        <v>46</v>
      </c>
    </row>
    <row r="1583">
      <c r="A1583" s="202">
        <v>45257.455505335645</v>
      </c>
      <c r="B1583" s="23" t="s">
        <v>207</v>
      </c>
      <c r="C1583" s="201">
        <v>4.0</v>
      </c>
      <c r="D1583" s="23" t="s">
        <v>57</v>
      </c>
    </row>
    <row r="1584">
      <c r="A1584" s="202">
        <v>45257.455505335645</v>
      </c>
      <c r="B1584" s="23" t="s">
        <v>271</v>
      </c>
      <c r="C1584" s="201">
        <v>4.0</v>
      </c>
      <c r="D1584" s="23" t="s">
        <v>61</v>
      </c>
    </row>
    <row r="1585">
      <c r="A1585" s="202">
        <v>45257.455505335645</v>
      </c>
      <c r="B1585" s="23" t="s">
        <v>257</v>
      </c>
      <c r="C1585" s="201">
        <v>6.0</v>
      </c>
      <c r="D1585" s="23" t="s">
        <v>69</v>
      </c>
    </row>
    <row r="1586">
      <c r="A1586" s="202">
        <v>45257.455505335645</v>
      </c>
      <c r="B1586" s="23" t="s">
        <v>109</v>
      </c>
      <c r="C1586" s="201">
        <v>7.0</v>
      </c>
      <c r="D1586" s="23" t="s">
        <v>58</v>
      </c>
    </row>
    <row r="1587">
      <c r="A1587" s="202">
        <v>45257.455505335645</v>
      </c>
      <c r="B1587" s="23" t="s">
        <v>236</v>
      </c>
      <c r="C1587" s="201">
        <v>3.0</v>
      </c>
      <c r="D1587" s="23" t="s">
        <v>59</v>
      </c>
    </row>
    <row r="1588">
      <c r="A1588" s="202">
        <v>45257.455505335645</v>
      </c>
      <c r="B1588" s="23" t="s">
        <v>218</v>
      </c>
      <c r="C1588" s="201">
        <v>2.0</v>
      </c>
      <c r="D1588" s="23" t="s">
        <v>67</v>
      </c>
    </row>
    <row r="1589">
      <c r="A1589" s="202">
        <v>45257.455505335645</v>
      </c>
      <c r="B1589" s="23" t="s">
        <v>176</v>
      </c>
      <c r="C1589" s="201">
        <v>3.0</v>
      </c>
      <c r="D1589" s="23" t="s">
        <v>60</v>
      </c>
    </row>
    <row r="1590">
      <c r="A1590" s="202">
        <v>45257.455505335645</v>
      </c>
      <c r="B1590" s="23" t="s">
        <v>202</v>
      </c>
      <c r="C1590" s="201">
        <v>8.951</v>
      </c>
      <c r="D1590" s="23" t="s">
        <v>57</v>
      </c>
    </row>
    <row r="1591">
      <c r="A1591" s="202">
        <v>45257.455505335645</v>
      </c>
      <c r="B1591" s="23" t="s">
        <v>204</v>
      </c>
      <c r="C1591" s="201">
        <v>7.0</v>
      </c>
      <c r="D1591" s="23" t="s">
        <v>57</v>
      </c>
    </row>
    <row r="1592">
      <c r="A1592" s="202">
        <v>45257.455505335645</v>
      </c>
      <c r="B1592" s="23" t="s">
        <v>273</v>
      </c>
      <c r="C1592" s="201">
        <v>6.0</v>
      </c>
      <c r="D1592" s="23" t="s">
        <v>61</v>
      </c>
    </row>
    <row r="1593">
      <c r="A1593" s="202">
        <v>45257.455505335645</v>
      </c>
      <c r="B1593" s="23" t="s">
        <v>231</v>
      </c>
      <c r="C1593" s="201">
        <v>8.0</v>
      </c>
      <c r="D1593" s="23" t="s">
        <v>59</v>
      </c>
    </row>
    <row r="1594">
      <c r="A1594" s="202">
        <v>45257.455505335645</v>
      </c>
      <c r="B1594" s="23" t="s">
        <v>194</v>
      </c>
      <c r="C1594" s="201">
        <v>3.0</v>
      </c>
      <c r="D1594" s="23" t="s">
        <v>70</v>
      </c>
    </row>
    <row r="1595">
      <c r="A1595" s="202">
        <v>45257.455505335645</v>
      </c>
      <c r="B1595" s="23" t="s">
        <v>198</v>
      </c>
      <c r="C1595" s="201">
        <v>8.0</v>
      </c>
      <c r="D1595" s="23" t="s">
        <v>70</v>
      </c>
    </row>
    <row r="1596">
      <c r="A1596" s="202">
        <v>45257.455505335645</v>
      </c>
      <c r="B1596" s="23" t="s">
        <v>277</v>
      </c>
      <c r="C1596" s="201">
        <v>2.0</v>
      </c>
      <c r="D1596" s="23" t="s">
        <v>274</v>
      </c>
    </row>
    <row r="1597">
      <c r="A1597" s="202">
        <v>45257.455505335645</v>
      </c>
      <c r="B1597" s="23" t="s">
        <v>275</v>
      </c>
      <c r="C1597" s="201">
        <v>3.0</v>
      </c>
      <c r="D1597" s="23" t="s">
        <v>274</v>
      </c>
    </row>
    <row r="1598">
      <c r="A1598" s="202">
        <v>45257.455505335645</v>
      </c>
      <c r="B1598" s="23" t="s">
        <v>113</v>
      </c>
      <c r="C1598" s="201">
        <v>6.0</v>
      </c>
      <c r="D1598" s="23" t="s">
        <v>58</v>
      </c>
    </row>
    <row r="1599">
      <c r="A1599" s="202">
        <v>45257.455505335645</v>
      </c>
      <c r="B1599" s="23" t="s">
        <v>208</v>
      </c>
      <c r="C1599" s="201">
        <v>4.0</v>
      </c>
      <c r="D1599" s="23" t="s">
        <v>57</v>
      </c>
    </row>
    <row r="1600">
      <c r="A1600" s="202">
        <v>45257.455505335645</v>
      </c>
      <c r="B1600" s="23" t="s">
        <v>180</v>
      </c>
      <c r="C1600" s="201">
        <v>11.952</v>
      </c>
      <c r="D1600" s="23" t="s">
        <v>46</v>
      </c>
    </row>
    <row r="1601">
      <c r="A1601" s="202">
        <v>45257.455505335645</v>
      </c>
      <c r="B1601" s="23" t="s">
        <v>259</v>
      </c>
      <c r="C1601" s="201">
        <v>5.0</v>
      </c>
      <c r="D1601" s="23" t="s">
        <v>125</v>
      </c>
    </row>
    <row r="1602">
      <c r="A1602" s="202">
        <v>45257.455505335645</v>
      </c>
      <c r="B1602" s="23" t="s">
        <v>276</v>
      </c>
      <c r="C1602" s="201">
        <v>8.0</v>
      </c>
      <c r="D1602" s="23" t="s">
        <v>274</v>
      </c>
    </row>
    <row r="1603">
      <c r="A1603" s="202">
        <v>45257.455505335645</v>
      </c>
      <c r="B1603" s="23" t="s">
        <v>215</v>
      </c>
      <c r="C1603" s="201">
        <v>7.0</v>
      </c>
      <c r="D1603" s="23" t="s">
        <v>62</v>
      </c>
    </row>
    <row r="1604">
      <c r="A1604" s="202">
        <v>45257.455505335645</v>
      </c>
      <c r="B1604" s="23" t="s">
        <v>272</v>
      </c>
      <c r="C1604" s="201">
        <v>4.0</v>
      </c>
      <c r="D1604" s="23" t="s">
        <v>61</v>
      </c>
    </row>
    <row r="1605">
      <c r="A1605" s="202">
        <v>45257.455505335645</v>
      </c>
      <c r="B1605" s="23" t="s">
        <v>255</v>
      </c>
      <c r="C1605" s="201">
        <v>7.0</v>
      </c>
      <c r="D1605" s="23" t="s">
        <v>69</v>
      </c>
    </row>
    <row r="1606">
      <c r="A1606" s="202">
        <v>45257.455505335645</v>
      </c>
      <c r="B1606" s="23" t="s">
        <v>183</v>
      </c>
      <c r="C1606" s="201">
        <v>8.0</v>
      </c>
      <c r="D1606" s="23" t="s">
        <v>46</v>
      </c>
    </row>
    <row r="1607">
      <c r="A1607" s="202">
        <v>45257.455505335645</v>
      </c>
      <c r="B1607" s="23" t="s">
        <v>78</v>
      </c>
      <c r="C1607" s="201">
        <v>3.0</v>
      </c>
      <c r="D1607" s="23" t="s">
        <v>35</v>
      </c>
    </row>
    <row r="1608">
      <c r="A1608" s="202">
        <v>45257.455505335645</v>
      </c>
      <c r="B1608" s="23" t="s">
        <v>260</v>
      </c>
      <c r="C1608" s="201">
        <v>8.0</v>
      </c>
      <c r="D1608" s="23" t="s">
        <v>125</v>
      </c>
    </row>
    <row r="1609">
      <c r="A1609" s="23" t="s">
        <v>680</v>
      </c>
      <c r="B1609" s="23" t="s">
        <v>3</v>
      </c>
      <c r="C1609" s="23" t="s">
        <v>279</v>
      </c>
      <c r="D1609" s="23" t="s">
        <v>280</v>
      </c>
    </row>
    <row r="1610">
      <c r="A1610" s="202">
        <v>45273.55839045139</v>
      </c>
      <c r="B1610" s="23" t="s">
        <v>243</v>
      </c>
      <c r="C1610" s="201">
        <v>8.4</v>
      </c>
      <c r="D1610" s="23" t="s">
        <v>69</v>
      </c>
    </row>
    <row r="1611">
      <c r="A1611" s="202">
        <v>45273.55839045139</v>
      </c>
      <c r="B1611" s="23" t="s">
        <v>189</v>
      </c>
      <c r="C1611" s="201">
        <v>2.0</v>
      </c>
      <c r="D1611" s="23" t="s">
        <v>46</v>
      </c>
    </row>
    <row r="1612">
      <c r="A1612" s="202">
        <v>45273.55839045139</v>
      </c>
      <c r="B1612" s="23" t="s">
        <v>137</v>
      </c>
      <c r="C1612" s="201">
        <v>11.7</v>
      </c>
      <c r="D1612" s="23" t="s">
        <v>60</v>
      </c>
    </row>
    <row r="1613">
      <c r="A1613" s="202">
        <v>45273.55839045139</v>
      </c>
      <c r="B1613" s="23" t="s">
        <v>71</v>
      </c>
      <c r="C1613" s="201">
        <v>8.5</v>
      </c>
      <c r="D1613" s="23" t="s">
        <v>35</v>
      </c>
    </row>
    <row r="1614">
      <c r="A1614" s="202">
        <v>45273.55839045139</v>
      </c>
      <c r="B1614" s="23" t="s">
        <v>174</v>
      </c>
      <c r="C1614" s="201">
        <v>3.0</v>
      </c>
      <c r="D1614" s="23" t="s">
        <v>60</v>
      </c>
    </row>
    <row r="1615">
      <c r="A1615" s="202">
        <v>45273.55839045139</v>
      </c>
      <c r="B1615" s="23" t="s">
        <v>217</v>
      </c>
      <c r="C1615" s="201">
        <v>9.2</v>
      </c>
      <c r="D1615" s="23" t="s">
        <v>67</v>
      </c>
    </row>
    <row r="1616">
      <c r="A1616" s="202">
        <v>45273.55839045139</v>
      </c>
      <c r="B1616" s="23" t="s">
        <v>213</v>
      </c>
      <c r="C1616" s="201">
        <v>4.0</v>
      </c>
      <c r="D1616" s="23" t="s">
        <v>57</v>
      </c>
    </row>
    <row r="1617">
      <c r="A1617" s="202">
        <v>45273.55839045139</v>
      </c>
      <c r="B1617" s="23" t="s">
        <v>254</v>
      </c>
      <c r="C1617" s="201">
        <v>6.5</v>
      </c>
      <c r="D1617" s="23" t="s">
        <v>69</v>
      </c>
    </row>
    <row r="1618">
      <c r="A1618" s="202">
        <v>45273.55839045139</v>
      </c>
      <c r="B1618" s="23" t="s">
        <v>123</v>
      </c>
      <c r="C1618" s="201">
        <v>6.0</v>
      </c>
      <c r="D1618" s="23" t="s">
        <v>56</v>
      </c>
    </row>
    <row r="1619">
      <c r="A1619" s="202">
        <v>45273.55839045139</v>
      </c>
      <c r="B1619" s="23" t="s">
        <v>112</v>
      </c>
      <c r="C1619" s="201">
        <v>6.5</v>
      </c>
      <c r="D1619" s="23" t="s">
        <v>58</v>
      </c>
    </row>
    <row r="1620">
      <c r="A1620" s="202">
        <v>45273.55839045139</v>
      </c>
      <c r="B1620" s="23" t="s">
        <v>177</v>
      </c>
      <c r="C1620" s="201">
        <v>4.0</v>
      </c>
      <c r="D1620" s="23" t="s">
        <v>60</v>
      </c>
    </row>
    <row r="1621">
      <c r="A1621" s="202">
        <v>45273.55839045139</v>
      </c>
      <c r="B1621" s="23" t="s">
        <v>230</v>
      </c>
      <c r="C1621" s="201">
        <v>3.0</v>
      </c>
      <c r="D1621" s="23" t="s">
        <v>59</v>
      </c>
    </row>
    <row r="1622">
      <c r="A1622" s="202">
        <v>45273.55839045139</v>
      </c>
      <c r="B1622" s="23" t="s">
        <v>227</v>
      </c>
      <c r="C1622" s="201">
        <v>7.4</v>
      </c>
      <c r="D1622" s="23" t="s">
        <v>59</v>
      </c>
    </row>
    <row r="1623">
      <c r="A1623" s="202">
        <v>45273.55839045139</v>
      </c>
      <c r="B1623" s="23" t="s">
        <v>248</v>
      </c>
      <c r="C1623" s="201">
        <v>6.2</v>
      </c>
      <c r="D1623" s="23" t="s">
        <v>62</v>
      </c>
    </row>
    <row r="1624">
      <c r="A1624" s="202">
        <v>45273.55839045139</v>
      </c>
      <c r="B1624" s="23" t="s">
        <v>226</v>
      </c>
      <c r="C1624" s="201">
        <v>7.4</v>
      </c>
      <c r="D1624" s="23" t="s">
        <v>67</v>
      </c>
    </row>
    <row r="1625">
      <c r="A1625" s="202">
        <v>45273.55839045139</v>
      </c>
      <c r="B1625" s="23" t="s">
        <v>199</v>
      </c>
      <c r="C1625" s="201">
        <v>3.0</v>
      </c>
      <c r="D1625" s="23" t="s">
        <v>70</v>
      </c>
    </row>
    <row r="1626">
      <c r="A1626" s="202">
        <v>45273.55839045139</v>
      </c>
      <c r="B1626" s="23" t="s">
        <v>119</v>
      </c>
      <c r="C1626" s="201">
        <v>5.0</v>
      </c>
      <c r="D1626" s="23" t="s">
        <v>58</v>
      </c>
    </row>
    <row r="1627">
      <c r="A1627" s="202">
        <v>45273.55839045139</v>
      </c>
      <c r="B1627" s="23" t="s">
        <v>251</v>
      </c>
      <c r="C1627" s="201">
        <v>6.4</v>
      </c>
      <c r="D1627" s="23" t="s">
        <v>69</v>
      </c>
    </row>
    <row r="1628">
      <c r="A1628" s="202">
        <v>45273.55839045139</v>
      </c>
      <c r="B1628" s="23" t="s">
        <v>265</v>
      </c>
      <c r="C1628" s="201">
        <v>5.0</v>
      </c>
      <c r="D1628" s="23" t="s">
        <v>125</v>
      </c>
    </row>
    <row r="1629">
      <c r="A1629" s="202">
        <v>45273.55839045139</v>
      </c>
      <c r="B1629" s="23" t="s">
        <v>252</v>
      </c>
      <c r="C1629" s="201">
        <v>3.0</v>
      </c>
      <c r="D1629" s="23" t="s">
        <v>69</v>
      </c>
    </row>
    <row r="1630">
      <c r="A1630" s="202">
        <v>45273.55839045139</v>
      </c>
      <c r="B1630" s="23" t="s">
        <v>242</v>
      </c>
      <c r="C1630" s="201">
        <v>3.0</v>
      </c>
      <c r="D1630" s="23" t="s">
        <v>62</v>
      </c>
    </row>
    <row r="1631">
      <c r="A1631" s="202">
        <v>45273.55839045139</v>
      </c>
      <c r="B1631" s="23" t="s">
        <v>191</v>
      </c>
      <c r="C1631" s="201">
        <v>8.7</v>
      </c>
      <c r="D1631" s="23" t="s">
        <v>70</v>
      </c>
    </row>
    <row r="1632">
      <c r="A1632" s="202">
        <v>45273.55839045139</v>
      </c>
      <c r="B1632" s="23" t="s">
        <v>206</v>
      </c>
      <c r="C1632" s="201">
        <v>7.4</v>
      </c>
      <c r="D1632" s="23" t="s">
        <v>57</v>
      </c>
    </row>
    <row r="1633">
      <c r="A1633" s="202">
        <v>45273.55839045139</v>
      </c>
      <c r="B1633" s="23" t="s">
        <v>269</v>
      </c>
      <c r="C1633" s="201">
        <v>4.0</v>
      </c>
      <c r="D1633" s="23" t="s">
        <v>61</v>
      </c>
    </row>
    <row r="1634">
      <c r="A1634" s="202">
        <v>45273.55839045139</v>
      </c>
      <c r="B1634" s="23" t="s">
        <v>105</v>
      </c>
      <c r="C1634" s="201">
        <v>5.0</v>
      </c>
      <c r="D1634" s="23" t="s">
        <v>58</v>
      </c>
    </row>
    <row r="1635">
      <c r="A1635" s="202">
        <v>45273.55839045139</v>
      </c>
      <c r="B1635" s="23" t="s">
        <v>187</v>
      </c>
      <c r="C1635" s="201">
        <v>7.6</v>
      </c>
      <c r="D1635" s="23" t="s">
        <v>46</v>
      </c>
    </row>
    <row r="1636">
      <c r="A1636" s="202">
        <v>45273.55839045139</v>
      </c>
      <c r="B1636" s="23" t="s">
        <v>246</v>
      </c>
      <c r="C1636" s="201">
        <v>2.0</v>
      </c>
      <c r="D1636" s="23" t="s">
        <v>62</v>
      </c>
    </row>
    <row r="1637">
      <c r="A1637" s="202">
        <v>45273.55839045139</v>
      </c>
      <c r="B1637" s="23" t="s">
        <v>238</v>
      </c>
      <c r="C1637" s="201">
        <v>6.2</v>
      </c>
      <c r="D1637" s="23" t="s">
        <v>59</v>
      </c>
    </row>
    <row r="1638">
      <c r="A1638" s="202">
        <v>45273.55839045139</v>
      </c>
      <c r="B1638" s="23" t="s">
        <v>133</v>
      </c>
      <c r="C1638" s="201">
        <v>4.0</v>
      </c>
      <c r="D1638" s="23" t="s">
        <v>56</v>
      </c>
    </row>
    <row r="1639">
      <c r="A1639" s="202">
        <v>45273.55839045139</v>
      </c>
      <c r="B1639" s="23" t="s">
        <v>127</v>
      </c>
      <c r="C1639" s="201">
        <v>5.0</v>
      </c>
      <c r="D1639" s="23" t="s">
        <v>56</v>
      </c>
    </row>
    <row r="1640">
      <c r="A1640" s="202">
        <v>45273.55839045139</v>
      </c>
      <c r="B1640" s="23" t="s">
        <v>220</v>
      </c>
      <c r="C1640" s="201">
        <v>4.0</v>
      </c>
      <c r="D1640" s="23" t="s">
        <v>67</v>
      </c>
    </row>
    <row r="1641">
      <c r="A1641" s="202">
        <v>45273.55839045139</v>
      </c>
      <c r="B1641" s="23" t="s">
        <v>224</v>
      </c>
      <c r="C1641" s="201">
        <v>12.4</v>
      </c>
      <c r="D1641" s="23" t="s">
        <v>125</v>
      </c>
    </row>
    <row r="1642">
      <c r="A1642" s="202">
        <v>45273.55839045139</v>
      </c>
      <c r="B1642" s="23" t="s">
        <v>241</v>
      </c>
      <c r="C1642" s="201">
        <v>8.5</v>
      </c>
      <c r="D1642" s="23" t="s">
        <v>62</v>
      </c>
    </row>
    <row r="1643">
      <c r="A1643" s="202">
        <v>45273.55839045139</v>
      </c>
      <c r="B1643" s="23" t="s">
        <v>63</v>
      </c>
      <c r="C1643" s="201">
        <v>12.6</v>
      </c>
      <c r="D1643" s="23" t="s">
        <v>35</v>
      </c>
    </row>
    <row r="1644">
      <c r="A1644" s="202">
        <v>45273.55839045139</v>
      </c>
      <c r="B1644" s="23" t="s">
        <v>245</v>
      </c>
      <c r="C1644" s="201">
        <v>6.4</v>
      </c>
      <c r="D1644" s="23" t="s">
        <v>62</v>
      </c>
    </row>
    <row r="1645">
      <c r="A1645" s="202">
        <v>45273.55839045139</v>
      </c>
      <c r="B1645" s="23" t="s">
        <v>232</v>
      </c>
      <c r="C1645" s="201">
        <v>6.4</v>
      </c>
      <c r="D1645" s="23" t="s">
        <v>59</v>
      </c>
    </row>
    <row r="1646">
      <c r="A1646" s="202">
        <v>45273.55839045139</v>
      </c>
      <c r="B1646" s="23" t="s">
        <v>229</v>
      </c>
      <c r="C1646" s="201">
        <v>6.3</v>
      </c>
      <c r="D1646" s="23" t="s">
        <v>59</v>
      </c>
    </row>
    <row r="1647">
      <c r="A1647" s="202">
        <v>45273.55839045139</v>
      </c>
      <c r="B1647" s="23" t="s">
        <v>173</v>
      </c>
      <c r="C1647" s="201">
        <v>5.0</v>
      </c>
      <c r="D1647" s="23" t="s">
        <v>60</v>
      </c>
    </row>
    <row r="1648">
      <c r="A1648" s="202">
        <v>45273.55839045139</v>
      </c>
      <c r="B1648" s="23" t="s">
        <v>210</v>
      </c>
      <c r="C1648" s="201">
        <v>4.0</v>
      </c>
      <c r="D1648" s="23" t="s">
        <v>57</v>
      </c>
    </row>
    <row r="1649">
      <c r="A1649" s="202">
        <v>45273.55839045139</v>
      </c>
      <c r="B1649" s="23" t="s">
        <v>186</v>
      </c>
      <c r="C1649" s="201">
        <v>5.0</v>
      </c>
      <c r="D1649" s="23" t="s">
        <v>46</v>
      </c>
    </row>
    <row r="1650">
      <c r="A1650" s="202">
        <v>45273.55839045139</v>
      </c>
      <c r="B1650" s="23" t="s">
        <v>195</v>
      </c>
      <c r="C1650" s="201">
        <v>3.0</v>
      </c>
      <c r="D1650" s="23" t="s">
        <v>70</v>
      </c>
    </row>
    <row r="1651">
      <c r="A1651" s="202">
        <v>45273.55839045139</v>
      </c>
      <c r="B1651" s="23" t="s">
        <v>266</v>
      </c>
      <c r="C1651" s="201">
        <v>10.3</v>
      </c>
      <c r="D1651" s="23" t="s">
        <v>61</v>
      </c>
    </row>
    <row r="1652">
      <c r="A1652" s="202">
        <v>45273.55839045139</v>
      </c>
      <c r="B1652" s="23" t="s">
        <v>124</v>
      </c>
      <c r="C1652" s="201">
        <v>7.6</v>
      </c>
      <c r="D1652" s="23" t="s">
        <v>56</v>
      </c>
    </row>
    <row r="1653">
      <c r="A1653" s="202">
        <v>45273.55839045139</v>
      </c>
      <c r="B1653" s="23" t="s">
        <v>262</v>
      </c>
      <c r="C1653" s="201">
        <v>11.6</v>
      </c>
      <c r="D1653" s="23" t="s">
        <v>125</v>
      </c>
    </row>
    <row r="1654">
      <c r="A1654" s="202">
        <v>45273.55839045139</v>
      </c>
      <c r="B1654" s="23" t="s">
        <v>192</v>
      </c>
      <c r="C1654" s="201">
        <v>8.7</v>
      </c>
      <c r="D1654" s="23" t="s">
        <v>70</v>
      </c>
    </row>
    <row r="1655">
      <c r="A1655" s="202">
        <v>45273.55839045139</v>
      </c>
      <c r="B1655" s="23" t="s">
        <v>74</v>
      </c>
      <c r="C1655" s="201">
        <v>8.7</v>
      </c>
      <c r="D1655" s="23" t="s">
        <v>35</v>
      </c>
    </row>
    <row r="1656">
      <c r="A1656" s="202">
        <v>45273.55839045139</v>
      </c>
      <c r="B1656" s="23" t="s">
        <v>75</v>
      </c>
      <c r="C1656" s="201">
        <v>1.0</v>
      </c>
      <c r="D1656" s="23" t="s">
        <v>35</v>
      </c>
    </row>
    <row r="1657">
      <c r="A1657" s="202">
        <v>45273.55839045139</v>
      </c>
      <c r="B1657" s="23" t="s">
        <v>196</v>
      </c>
      <c r="C1657" s="201">
        <v>7.3</v>
      </c>
      <c r="D1657" s="23" t="s">
        <v>70</v>
      </c>
    </row>
    <row r="1658">
      <c r="A1658" s="202">
        <v>45273.55839045139</v>
      </c>
      <c r="B1658" s="23" t="s">
        <v>102</v>
      </c>
      <c r="C1658" s="201">
        <v>12.1</v>
      </c>
      <c r="D1658" s="23" t="s">
        <v>58</v>
      </c>
    </row>
    <row r="1659">
      <c r="A1659" s="202">
        <v>45273.55839045139</v>
      </c>
      <c r="B1659" s="23" t="s">
        <v>175</v>
      </c>
      <c r="C1659" s="201">
        <v>6.5</v>
      </c>
      <c r="D1659" s="23" t="s">
        <v>60</v>
      </c>
    </row>
    <row r="1660">
      <c r="A1660" s="202">
        <v>45273.55839045139</v>
      </c>
      <c r="B1660" s="23" t="s">
        <v>250</v>
      </c>
      <c r="C1660" s="201">
        <v>3.0</v>
      </c>
      <c r="D1660" s="23" t="s">
        <v>69</v>
      </c>
    </row>
    <row r="1661">
      <c r="A1661" s="202">
        <v>45273.55839045139</v>
      </c>
      <c r="B1661" s="23" t="s">
        <v>164</v>
      </c>
      <c r="C1661" s="201">
        <v>10.5</v>
      </c>
      <c r="D1661" s="23" t="s">
        <v>60</v>
      </c>
    </row>
    <row r="1662">
      <c r="A1662" s="202">
        <v>45273.55839045139</v>
      </c>
      <c r="B1662" s="23" t="s">
        <v>219</v>
      </c>
      <c r="C1662" s="201">
        <v>9.8</v>
      </c>
      <c r="D1662" s="23" t="s">
        <v>69</v>
      </c>
    </row>
    <row r="1663">
      <c r="A1663" s="202">
        <v>45273.55839045139</v>
      </c>
      <c r="B1663" s="23" t="s">
        <v>111</v>
      </c>
      <c r="C1663" s="201">
        <v>6.3</v>
      </c>
      <c r="D1663" s="23" t="s">
        <v>58</v>
      </c>
    </row>
    <row r="1664">
      <c r="A1664" s="202">
        <v>45273.55839045139</v>
      </c>
      <c r="B1664" s="23" t="s">
        <v>244</v>
      </c>
      <c r="C1664" s="201">
        <v>7.5</v>
      </c>
      <c r="D1664" s="23" t="s">
        <v>62</v>
      </c>
    </row>
    <row r="1665">
      <c r="A1665" s="202">
        <v>45273.55839045139</v>
      </c>
      <c r="B1665" s="23" t="s">
        <v>118</v>
      </c>
      <c r="C1665" s="201">
        <v>9.4</v>
      </c>
      <c r="D1665" s="23" t="s">
        <v>58</v>
      </c>
    </row>
    <row r="1666">
      <c r="A1666" s="202">
        <v>45273.55839045139</v>
      </c>
      <c r="B1666" s="23" t="s">
        <v>240</v>
      </c>
      <c r="C1666" s="201">
        <v>10.5</v>
      </c>
      <c r="D1666" s="23" t="s">
        <v>62</v>
      </c>
    </row>
    <row r="1667">
      <c r="A1667" s="202">
        <v>45273.55839045139</v>
      </c>
      <c r="B1667" s="23" t="s">
        <v>79</v>
      </c>
      <c r="C1667" s="201">
        <v>7.7</v>
      </c>
      <c r="D1667" s="23" t="s">
        <v>35</v>
      </c>
    </row>
    <row r="1668">
      <c r="A1668" s="202">
        <v>45273.55839045139</v>
      </c>
      <c r="B1668" s="23" t="s">
        <v>178</v>
      </c>
      <c r="C1668" s="201">
        <v>4.0</v>
      </c>
      <c r="D1668" s="23" t="s">
        <v>60</v>
      </c>
    </row>
    <row r="1669">
      <c r="A1669" s="202">
        <v>45273.55839045139</v>
      </c>
      <c r="B1669" s="23" t="s">
        <v>209</v>
      </c>
      <c r="C1669" s="201">
        <v>12.9</v>
      </c>
      <c r="D1669" s="23" t="s">
        <v>59</v>
      </c>
    </row>
    <row r="1670">
      <c r="A1670" s="202">
        <v>45273.55839045139</v>
      </c>
      <c r="B1670" s="23" t="s">
        <v>228</v>
      </c>
      <c r="C1670" s="201">
        <v>4.0</v>
      </c>
      <c r="D1670" s="23" t="s">
        <v>61</v>
      </c>
    </row>
    <row r="1671">
      <c r="A1671" s="202">
        <v>45273.55839045139</v>
      </c>
      <c r="B1671" s="23" t="s">
        <v>116</v>
      </c>
      <c r="C1671" s="201">
        <v>5.6</v>
      </c>
      <c r="D1671" s="23" t="s">
        <v>58</v>
      </c>
    </row>
    <row r="1672">
      <c r="A1672" s="202">
        <v>45273.55839045139</v>
      </c>
      <c r="B1672" s="23" t="s">
        <v>249</v>
      </c>
      <c r="C1672" s="201">
        <v>5.0</v>
      </c>
      <c r="D1672" s="23" t="s">
        <v>62</v>
      </c>
    </row>
    <row r="1673">
      <c r="A1673" s="202">
        <v>45273.55839045139</v>
      </c>
      <c r="B1673" s="23" t="s">
        <v>237</v>
      </c>
      <c r="C1673" s="201">
        <v>10.2</v>
      </c>
      <c r="D1673" s="23" t="s">
        <v>59</v>
      </c>
    </row>
    <row r="1674">
      <c r="A1674" s="202">
        <v>45273.55839045139</v>
      </c>
      <c r="B1674" s="23" t="s">
        <v>234</v>
      </c>
      <c r="C1674" s="201">
        <v>5.0</v>
      </c>
      <c r="D1674" s="23" t="s">
        <v>59</v>
      </c>
    </row>
    <row r="1675">
      <c r="A1675" s="202">
        <v>45273.55839045139</v>
      </c>
      <c r="B1675" s="23" t="s">
        <v>268</v>
      </c>
      <c r="C1675" s="201">
        <v>9.3</v>
      </c>
      <c r="D1675" s="23" t="s">
        <v>61</v>
      </c>
    </row>
    <row r="1676">
      <c r="A1676" s="202">
        <v>45273.55839045139</v>
      </c>
      <c r="B1676" s="23" t="s">
        <v>80</v>
      </c>
      <c r="C1676" s="201">
        <v>5.0</v>
      </c>
      <c r="D1676" s="23" t="s">
        <v>35</v>
      </c>
    </row>
    <row r="1677">
      <c r="A1677" s="202">
        <v>45273.55839045139</v>
      </c>
      <c r="B1677" s="23" t="s">
        <v>258</v>
      </c>
      <c r="C1677" s="201">
        <v>2.0</v>
      </c>
      <c r="D1677" s="23" t="s">
        <v>125</v>
      </c>
    </row>
    <row r="1678">
      <c r="A1678" s="202">
        <v>45273.55839045139</v>
      </c>
      <c r="B1678" s="23" t="s">
        <v>88</v>
      </c>
      <c r="C1678" s="201">
        <v>4.0</v>
      </c>
      <c r="D1678" s="23" t="s">
        <v>35</v>
      </c>
    </row>
    <row r="1679">
      <c r="A1679" s="202">
        <v>45273.55839045139</v>
      </c>
      <c r="B1679" s="23" t="s">
        <v>201</v>
      </c>
      <c r="C1679" s="201">
        <v>10.5</v>
      </c>
      <c r="D1679" s="23" t="s">
        <v>57</v>
      </c>
    </row>
    <row r="1680">
      <c r="A1680" s="202">
        <v>45273.55839045139</v>
      </c>
      <c r="B1680" s="23" t="s">
        <v>216</v>
      </c>
      <c r="C1680" s="201">
        <v>8.6</v>
      </c>
      <c r="D1680" s="23" t="s">
        <v>67</v>
      </c>
    </row>
    <row r="1681">
      <c r="A1681" s="202">
        <v>45273.55839045139</v>
      </c>
      <c r="B1681" s="23" t="s">
        <v>221</v>
      </c>
      <c r="C1681" s="201">
        <v>5.0</v>
      </c>
      <c r="D1681" s="23" t="s">
        <v>67</v>
      </c>
    </row>
    <row r="1682">
      <c r="A1682" s="202">
        <v>45273.55839045139</v>
      </c>
      <c r="B1682" s="23" t="s">
        <v>117</v>
      </c>
      <c r="C1682" s="201">
        <v>6.5</v>
      </c>
      <c r="D1682" s="23" t="s">
        <v>58</v>
      </c>
    </row>
    <row r="1683">
      <c r="A1683" s="202">
        <v>45273.55839045139</v>
      </c>
      <c r="B1683" s="23" t="s">
        <v>261</v>
      </c>
      <c r="C1683" s="201">
        <v>7.2</v>
      </c>
      <c r="D1683" s="23" t="s">
        <v>125</v>
      </c>
    </row>
    <row r="1684">
      <c r="A1684" s="202">
        <v>45273.55839045139</v>
      </c>
      <c r="B1684" s="23" t="s">
        <v>128</v>
      </c>
      <c r="C1684" s="201">
        <v>9.7</v>
      </c>
      <c r="D1684" s="23" t="s">
        <v>56</v>
      </c>
    </row>
    <row r="1685">
      <c r="A1685" s="202">
        <v>45273.55839045139</v>
      </c>
      <c r="B1685" s="23" t="s">
        <v>214</v>
      </c>
      <c r="C1685" s="201">
        <v>9.6</v>
      </c>
      <c r="D1685" s="23" t="s">
        <v>57</v>
      </c>
    </row>
    <row r="1686">
      <c r="A1686" s="202">
        <v>45273.55839045139</v>
      </c>
      <c r="B1686" s="23" t="s">
        <v>200</v>
      </c>
      <c r="C1686" s="201">
        <v>11.8</v>
      </c>
      <c r="D1686" s="23" t="s">
        <v>57</v>
      </c>
    </row>
    <row r="1687">
      <c r="A1687" s="202">
        <v>45273.55839045139</v>
      </c>
      <c r="B1687" s="23" t="s">
        <v>179</v>
      </c>
      <c r="C1687" s="201">
        <v>10.8</v>
      </c>
      <c r="D1687" s="23" t="s">
        <v>60</v>
      </c>
    </row>
    <row r="1688">
      <c r="A1688" s="202">
        <v>45273.55839045139</v>
      </c>
      <c r="B1688" s="23" t="s">
        <v>267</v>
      </c>
      <c r="C1688" s="201">
        <v>9.3</v>
      </c>
      <c r="D1688" s="23" t="s">
        <v>61</v>
      </c>
    </row>
    <row r="1689">
      <c r="A1689" s="202">
        <v>45273.55839045139</v>
      </c>
      <c r="B1689" s="23" t="s">
        <v>270</v>
      </c>
      <c r="C1689" s="201">
        <v>6.4</v>
      </c>
      <c r="D1689" s="23" t="s">
        <v>61</v>
      </c>
    </row>
    <row r="1690">
      <c r="A1690" s="202">
        <v>45273.55839045139</v>
      </c>
      <c r="B1690" s="23" t="s">
        <v>225</v>
      </c>
      <c r="C1690" s="201">
        <v>10.3</v>
      </c>
      <c r="D1690" s="23" t="s">
        <v>67</v>
      </c>
    </row>
    <row r="1691">
      <c r="A1691" s="202">
        <v>45273.55839045139</v>
      </c>
      <c r="B1691" s="23" t="s">
        <v>38</v>
      </c>
      <c r="C1691" s="201">
        <v>11.9</v>
      </c>
      <c r="D1691" s="23" t="s">
        <v>35</v>
      </c>
    </row>
    <row r="1692">
      <c r="A1692" s="202">
        <v>45273.55839045139</v>
      </c>
      <c r="B1692" s="23" t="s">
        <v>247</v>
      </c>
      <c r="C1692" s="201">
        <v>8.3</v>
      </c>
      <c r="D1692" s="23" t="s">
        <v>62</v>
      </c>
    </row>
    <row r="1693">
      <c r="A1693" s="202">
        <v>45273.55839045139</v>
      </c>
      <c r="B1693" s="23" t="s">
        <v>135</v>
      </c>
      <c r="C1693" s="201">
        <v>10.7</v>
      </c>
      <c r="D1693" s="23" t="s">
        <v>56</v>
      </c>
    </row>
    <row r="1694">
      <c r="A1694" s="202">
        <v>45273.55839045139</v>
      </c>
      <c r="B1694" s="23" t="s">
        <v>256</v>
      </c>
      <c r="C1694" s="201">
        <v>3.0</v>
      </c>
      <c r="D1694" s="23" t="s">
        <v>69</v>
      </c>
    </row>
    <row r="1695">
      <c r="A1695" s="202">
        <v>45273.55839045139</v>
      </c>
      <c r="B1695" s="23" t="s">
        <v>222</v>
      </c>
      <c r="C1695" s="201">
        <v>4.0</v>
      </c>
      <c r="D1695" s="23" t="s">
        <v>67</v>
      </c>
    </row>
    <row r="1696">
      <c r="A1696" s="202">
        <v>45273.55839045139</v>
      </c>
      <c r="B1696" s="23" t="s">
        <v>263</v>
      </c>
      <c r="C1696" s="201">
        <v>6.6</v>
      </c>
      <c r="D1696" s="23" t="s">
        <v>125</v>
      </c>
    </row>
    <row r="1697">
      <c r="A1697" s="202">
        <v>45273.55839045139</v>
      </c>
      <c r="B1697" s="23" t="s">
        <v>185</v>
      </c>
      <c r="C1697" s="201">
        <v>6.3</v>
      </c>
      <c r="D1697" s="23" t="s">
        <v>46</v>
      </c>
    </row>
    <row r="1698">
      <c r="A1698" s="202">
        <v>45273.55839045139</v>
      </c>
      <c r="B1698" s="23" t="s">
        <v>190</v>
      </c>
      <c r="C1698" s="201">
        <v>4.0</v>
      </c>
      <c r="D1698" s="23" t="s">
        <v>70</v>
      </c>
    </row>
    <row r="1699">
      <c r="A1699" s="202">
        <v>45273.55839045139</v>
      </c>
      <c r="B1699" s="23" t="s">
        <v>129</v>
      </c>
      <c r="C1699" s="201">
        <v>7.6</v>
      </c>
      <c r="D1699" s="23" t="s">
        <v>56</v>
      </c>
    </row>
    <row r="1700">
      <c r="A1700" s="202">
        <v>45273.55839045139</v>
      </c>
      <c r="B1700" s="23" t="s">
        <v>139</v>
      </c>
      <c r="C1700" s="201">
        <v>10.8</v>
      </c>
      <c r="D1700" s="23" t="s">
        <v>60</v>
      </c>
    </row>
    <row r="1701">
      <c r="A1701" s="202">
        <v>45273.55839045139</v>
      </c>
      <c r="B1701" s="23" t="s">
        <v>205</v>
      </c>
      <c r="C1701" s="201">
        <v>6.8</v>
      </c>
      <c r="D1701" s="23" t="s">
        <v>67</v>
      </c>
    </row>
    <row r="1702">
      <c r="A1702" s="202">
        <v>45273.55839045139</v>
      </c>
      <c r="B1702" s="23" t="s">
        <v>184</v>
      </c>
      <c r="C1702" s="201">
        <v>5.0</v>
      </c>
      <c r="D1702" s="23" t="s">
        <v>46</v>
      </c>
    </row>
    <row r="1703">
      <c r="A1703" s="202">
        <v>45273.55839045139</v>
      </c>
      <c r="B1703" s="23" t="s">
        <v>253</v>
      </c>
      <c r="C1703" s="201">
        <v>6.3</v>
      </c>
      <c r="D1703" s="23" t="s">
        <v>69</v>
      </c>
    </row>
    <row r="1704">
      <c r="A1704" s="202">
        <v>45273.55839045139</v>
      </c>
      <c r="B1704" s="23" t="s">
        <v>197</v>
      </c>
      <c r="C1704" s="201">
        <v>3.0</v>
      </c>
      <c r="D1704" s="23" t="s">
        <v>70</v>
      </c>
    </row>
    <row r="1705">
      <c r="A1705" s="202">
        <v>45273.55839045139</v>
      </c>
      <c r="B1705" s="23" t="s">
        <v>193</v>
      </c>
      <c r="C1705" s="201">
        <v>3.0</v>
      </c>
      <c r="D1705" s="23" t="s">
        <v>70</v>
      </c>
    </row>
    <row r="1706">
      <c r="A1706" s="202">
        <v>45273.55839045139</v>
      </c>
      <c r="B1706" s="23" t="s">
        <v>130</v>
      </c>
      <c r="C1706" s="201">
        <v>6.7</v>
      </c>
      <c r="D1706" s="23" t="s">
        <v>56</v>
      </c>
    </row>
    <row r="1707">
      <c r="A1707" s="202">
        <v>45273.55839045139</v>
      </c>
      <c r="B1707" s="23" t="s">
        <v>223</v>
      </c>
      <c r="C1707" s="201">
        <v>5.0</v>
      </c>
      <c r="D1707" s="23" t="s">
        <v>67</v>
      </c>
    </row>
    <row r="1708">
      <c r="A1708" s="202">
        <v>45273.55839045139</v>
      </c>
      <c r="B1708" s="23" t="s">
        <v>81</v>
      </c>
      <c r="C1708" s="201">
        <v>3.0</v>
      </c>
      <c r="D1708" s="23" t="s">
        <v>35</v>
      </c>
    </row>
    <row r="1709">
      <c r="A1709" s="202">
        <v>45273.55839045139</v>
      </c>
      <c r="B1709" s="23" t="s">
        <v>233</v>
      </c>
      <c r="C1709" s="201">
        <v>8.7</v>
      </c>
      <c r="D1709" s="23" t="s">
        <v>61</v>
      </c>
    </row>
    <row r="1710">
      <c r="A1710" s="202">
        <v>45273.55839045139</v>
      </c>
      <c r="B1710" s="23" t="s">
        <v>264</v>
      </c>
      <c r="C1710" s="201">
        <v>7.7</v>
      </c>
      <c r="D1710" s="23" t="s">
        <v>125</v>
      </c>
    </row>
    <row r="1711">
      <c r="A1711" s="202">
        <v>45273.55839045139</v>
      </c>
      <c r="B1711" s="23" t="s">
        <v>239</v>
      </c>
      <c r="C1711" s="201">
        <v>12.0</v>
      </c>
      <c r="D1711" s="23" t="s">
        <v>125</v>
      </c>
    </row>
    <row r="1712">
      <c r="A1712" s="202">
        <v>45273.55839045139</v>
      </c>
      <c r="B1712" s="23" t="s">
        <v>126</v>
      </c>
      <c r="C1712" s="201">
        <v>7.4</v>
      </c>
      <c r="D1712" s="23" t="s">
        <v>56</v>
      </c>
    </row>
    <row r="1713">
      <c r="A1713" s="202">
        <v>45273.55839045139</v>
      </c>
      <c r="B1713" s="23" t="s">
        <v>188</v>
      </c>
      <c r="C1713" s="201">
        <v>6.6</v>
      </c>
      <c r="D1713" s="23" t="s">
        <v>46</v>
      </c>
    </row>
    <row r="1714">
      <c r="A1714" s="202">
        <v>45273.55839045139</v>
      </c>
      <c r="B1714" s="23" t="s">
        <v>120</v>
      </c>
      <c r="C1714" s="201">
        <v>11.5</v>
      </c>
      <c r="D1714" s="23" t="s">
        <v>56</v>
      </c>
    </row>
    <row r="1715">
      <c r="A1715" s="202">
        <v>45273.55839045139</v>
      </c>
      <c r="B1715" s="23" t="s">
        <v>181</v>
      </c>
      <c r="C1715" s="201">
        <v>10.4</v>
      </c>
      <c r="D1715" s="23" t="s">
        <v>46</v>
      </c>
    </row>
    <row r="1716">
      <c r="A1716" s="202">
        <v>45273.55839045139</v>
      </c>
      <c r="B1716" s="23" t="s">
        <v>182</v>
      </c>
      <c r="C1716" s="201">
        <v>11.4</v>
      </c>
      <c r="D1716" s="23" t="s">
        <v>46</v>
      </c>
    </row>
    <row r="1717">
      <c r="A1717" s="202">
        <v>45273.55839045139</v>
      </c>
      <c r="B1717" s="23" t="s">
        <v>207</v>
      </c>
      <c r="C1717" s="201">
        <v>4.0</v>
      </c>
      <c r="D1717" s="23" t="s">
        <v>57</v>
      </c>
    </row>
    <row r="1718">
      <c r="A1718" s="202">
        <v>45273.55839045139</v>
      </c>
      <c r="B1718" s="23" t="s">
        <v>271</v>
      </c>
      <c r="C1718" s="201">
        <v>4.0</v>
      </c>
      <c r="D1718" s="23" t="s">
        <v>61</v>
      </c>
    </row>
    <row r="1719">
      <c r="A1719" s="202">
        <v>45273.55839045139</v>
      </c>
      <c r="B1719" s="23" t="s">
        <v>257</v>
      </c>
      <c r="C1719" s="201">
        <v>6.7</v>
      </c>
      <c r="D1719" s="23" t="s">
        <v>69</v>
      </c>
    </row>
    <row r="1720">
      <c r="A1720" s="202">
        <v>45273.55839045139</v>
      </c>
      <c r="B1720" s="23" t="s">
        <v>109</v>
      </c>
      <c r="C1720" s="201">
        <v>7.6</v>
      </c>
      <c r="D1720" s="23" t="s">
        <v>58</v>
      </c>
    </row>
    <row r="1721">
      <c r="A1721" s="202">
        <v>45273.55839045139</v>
      </c>
      <c r="B1721" s="23" t="s">
        <v>236</v>
      </c>
      <c r="C1721" s="201">
        <v>3.0</v>
      </c>
      <c r="D1721" s="23" t="s">
        <v>59</v>
      </c>
    </row>
    <row r="1722">
      <c r="A1722" s="202">
        <v>45273.55839045139</v>
      </c>
      <c r="B1722" s="23" t="s">
        <v>218</v>
      </c>
      <c r="C1722" s="201">
        <v>2.0</v>
      </c>
      <c r="D1722" s="23" t="s">
        <v>67</v>
      </c>
    </row>
    <row r="1723">
      <c r="A1723" s="202">
        <v>45273.55839045139</v>
      </c>
      <c r="B1723" s="23" t="s">
        <v>176</v>
      </c>
      <c r="C1723" s="201">
        <v>3.0</v>
      </c>
      <c r="D1723" s="23" t="s">
        <v>60</v>
      </c>
    </row>
    <row r="1724">
      <c r="A1724" s="202">
        <v>45273.55839045139</v>
      </c>
      <c r="B1724" s="23" t="s">
        <v>202</v>
      </c>
      <c r="C1724" s="201">
        <v>9.3</v>
      </c>
      <c r="D1724" s="23" t="s">
        <v>57</v>
      </c>
    </row>
    <row r="1725">
      <c r="A1725" s="202">
        <v>45273.55839045139</v>
      </c>
      <c r="B1725" s="23" t="s">
        <v>204</v>
      </c>
      <c r="C1725" s="201">
        <v>7.5</v>
      </c>
      <c r="D1725" s="23" t="s">
        <v>57</v>
      </c>
    </row>
    <row r="1726">
      <c r="A1726" s="202">
        <v>45273.55839045139</v>
      </c>
      <c r="B1726" s="23" t="s">
        <v>273</v>
      </c>
      <c r="C1726" s="201">
        <v>6.6</v>
      </c>
      <c r="D1726" s="23" t="s">
        <v>61</v>
      </c>
    </row>
    <row r="1727">
      <c r="A1727" s="202">
        <v>45273.55839045139</v>
      </c>
      <c r="B1727" s="23" t="s">
        <v>231</v>
      </c>
      <c r="C1727" s="201">
        <v>8.8</v>
      </c>
      <c r="D1727" s="23" t="s">
        <v>59</v>
      </c>
    </row>
    <row r="1728">
      <c r="A1728" s="202">
        <v>45273.55839045139</v>
      </c>
      <c r="B1728" s="23" t="s">
        <v>194</v>
      </c>
      <c r="C1728" s="201">
        <v>3.0</v>
      </c>
      <c r="D1728" s="23" t="s">
        <v>70</v>
      </c>
    </row>
    <row r="1729">
      <c r="A1729" s="202">
        <v>45273.55839045139</v>
      </c>
      <c r="B1729" s="23" t="s">
        <v>198</v>
      </c>
      <c r="C1729" s="201">
        <v>8.7</v>
      </c>
      <c r="D1729" s="23" t="s">
        <v>70</v>
      </c>
    </row>
    <row r="1730">
      <c r="A1730" s="202">
        <v>45273.55839045139</v>
      </c>
      <c r="B1730" s="23" t="s">
        <v>277</v>
      </c>
      <c r="C1730" s="201">
        <v>2.0</v>
      </c>
      <c r="D1730" s="23" t="s">
        <v>274</v>
      </c>
    </row>
    <row r="1731">
      <c r="A1731" s="202">
        <v>45273.55839045139</v>
      </c>
      <c r="B1731" s="23" t="s">
        <v>275</v>
      </c>
      <c r="C1731" s="201">
        <v>3.0</v>
      </c>
      <c r="D1731" s="23" t="s">
        <v>274</v>
      </c>
    </row>
    <row r="1732">
      <c r="A1732" s="202">
        <v>45273.55839045139</v>
      </c>
      <c r="B1732" s="23" t="s">
        <v>113</v>
      </c>
      <c r="C1732" s="201">
        <v>6.6</v>
      </c>
      <c r="D1732" s="23" t="s">
        <v>58</v>
      </c>
    </row>
    <row r="1733">
      <c r="A1733" s="202">
        <v>45273.55839045139</v>
      </c>
      <c r="B1733" s="23" t="s">
        <v>208</v>
      </c>
      <c r="C1733" s="201">
        <v>4.0</v>
      </c>
      <c r="D1733" s="23" t="s">
        <v>57</v>
      </c>
    </row>
    <row r="1734">
      <c r="A1734" s="202">
        <v>45273.55839045139</v>
      </c>
      <c r="B1734" s="23" t="s">
        <v>180</v>
      </c>
      <c r="C1734" s="201">
        <v>12.4</v>
      </c>
      <c r="D1734" s="23" t="s">
        <v>46</v>
      </c>
    </row>
    <row r="1735">
      <c r="A1735" s="202">
        <v>45273.55839045139</v>
      </c>
      <c r="B1735" s="23" t="s">
        <v>259</v>
      </c>
      <c r="C1735" s="201">
        <v>5.0</v>
      </c>
      <c r="D1735" s="23" t="s">
        <v>125</v>
      </c>
    </row>
    <row r="1736">
      <c r="A1736" s="202">
        <v>45273.55839045139</v>
      </c>
      <c r="B1736" s="23" t="s">
        <v>276</v>
      </c>
      <c r="C1736" s="201">
        <v>8.4</v>
      </c>
      <c r="D1736" s="23" t="s">
        <v>274</v>
      </c>
    </row>
    <row r="1737">
      <c r="A1737" s="202">
        <v>45273.55839045139</v>
      </c>
      <c r="B1737" s="23" t="s">
        <v>215</v>
      </c>
      <c r="C1737" s="201">
        <v>7.6</v>
      </c>
      <c r="D1737" s="23" t="s">
        <v>62</v>
      </c>
    </row>
    <row r="1738">
      <c r="A1738" s="202">
        <v>45273.55839045139</v>
      </c>
      <c r="B1738" s="23" t="s">
        <v>272</v>
      </c>
      <c r="C1738" s="201">
        <v>4.0</v>
      </c>
      <c r="D1738" s="23" t="s">
        <v>61</v>
      </c>
    </row>
    <row r="1739">
      <c r="A1739" s="202">
        <v>45273.55839045139</v>
      </c>
      <c r="B1739" s="23" t="s">
        <v>255</v>
      </c>
      <c r="C1739" s="201">
        <v>7.2</v>
      </c>
      <c r="D1739" s="23" t="s">
        <v>69</v>
      </c>
    </row>
    <row r="1740">
      <c r="A1740" s="202">
        <v>45273.55839045139</v>
      </c>
      <c r="B1740" s="23" t="s">
        <v>183</v>
      </c>
      <c r="C1740" s="201">
        <v>8.5</v>
      </c>
      <c r="D1740" s="23" t="s">
        <v>46</v>
      </c>
    </row>
    <row r="1741">
      <c r="A1741" s="202">
        <v>45273.55839045139</v>
      </c>
      <c r="B1741" s="23" t="s">
        <v>78</v>
      </c>
      <c r="C1741" s="201">
        <v>3.0</v>
      </c>
      <c r="D1741" s="23" t="s">
        <v>35</v>
      </c>
    </row>
    <row r="1742">
      <c r="A1742" s="202">
        <v>45273.55839045139</v>
      </c>
      <c r="B1742" s="23" t="s">
        <v>260</v>
      </c>
      <c r="C1742" s="201">
        <v>8.5</v>
      </c>
      <c r="D1742" s="23" t="s">
        <v>125</v>
      </c>
    </row>
  </sheetData>
  <autoFilter ref="$A$1:$D$1742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207" t="s">
        <v>681</v>
      </c>
      <c r="B1" t="s">
        <v>242</v>
      </c>
      <c r="C1" t="s">
        <v>236</v>
      </c>
      <c r="D1" t="s">
        <v>246</v>
      </c>
      <c r="E1" t="s">
        <v>210</v>
      </c>
      <c r="F1" t="s">
        <v>118</v>
      </c>
      <c r="G1" t="s">
        <v>234</v>
      </c>
      <c r="H1" t="s">
        <v>139</v>
      </c>
      <c r="I1" t="s">
        <v>253</v>
      </c>
      <c r="J1" t="s">
        <v>81</v>
      </c>
      <c r="K1" t="s">
        <v>182</v>
      </c>
      <c r="L1" t="s">
        <v>207</v>
      </c>
      <c r="M1" t="s">
        <v>257</v>
      </c>
      <c r="N1" t="s">
        <v>248</v>
      </c>
      <c r="O1" t="s">
        <v>191</v>
      </c>
      <c r="P1" t="s">
        <v>187</v>
      </c>
      <c r="Q1" t="s">
        <v>224</v>
      </c>
      <c r="R1" t="s">
        <v>229</v>
      </c>
      <c r="S1" t="s">
        <v>164</v>
      </c>
      <c r="T1" t="s">
        <v>79</v>
      </c>
      <c r="U1" t="s">
        <v>268</v>
      </c>
      <c r="V1" t="s">
        <v>216</v>
      </c>
      <c r="W1" t="s">
        <v>256</v>
      </c>
      <c r="X1" t="s">
        <v>130</v>
      </c>
      <c r="Y1" t="s">
        <v>275</v>
      </c>
      <c r="Z1" t="s">
        <v>113</v>
      </c>
      <c r="AA1" t="s">
        <v>208</v>
      </c>
      <c r="AB1" t="s">
        <v>230</v>
      </c>
      <c r="AC1" t="s">
        <v>124</v>
      </c>
      <c r="AD1" t="s">
        <v>192</v>
      </c>
      <c r="AE1" t="s">
        <v>74</v>
      </c>
      <c r="AF1" t="s">
        <v>179</v>
      </c>
      <c r="AG1" t="s">
        <v>267</v>
      </c>
      <c r="AH1" t="s">
        <v>223</v>
      </c>
      <c r="AI1" t="s">
        <v>239</v>
      </c>
      <c r="AJ1" t="s">
        <v>188</v>
      </c>
      <c r="AK1" t="s">
        <v>276</v>
      </c>
      <c r="AL1" t="s">
        <v>186</v>
      </c>
      <c r="AM1" t="s">
        <v>195</v>
      </c>
      <c r="AN1" t="s">
        <v>266</v>
      </c>
      <c r="AO1" t="s">
        <v>244</v>
      </c>
      <c r="AP1" t="s">
        <v>209</v>
      </c>
      <c r="AQ1" t="s">
        <v>178</v>
      </c>
      <c r="AR1" t="s">
        <v>116</v>
      </c>
      <c r="AS1" t="s">
        <v>80</v>
      </c>
      <c r="AT1" t="s">
        <v>261</v>
      </c>
      <c r="AU1" t="s">
        <v>200</v>
      </c>
      <c r="AV1" t="s">
        <v>135</v>
      </c>
      <c r="AW1" t="s">
        <v>222</v>
      </c>
      <c r="AX1" t="s">
        <v>185</v>
      </c>
      <c r="AY1" t="s">
        <v>255</v>
      </c>
      <c r="AZ1" t="s">
        <v>682</v>
      </c>
      <c r="BA1" t="s">
        <v>133</v>
      </c>
      <c r="BB1" t="s">
        <v>250</v>
      </c>
      <c r="BC1" t="s">
        <v>111</v>
      </c>
      <c r="BD1" t="s">
        <v>228</v>
      </c>
      <c r="BE1" t="s">
        <v>221</v>
      </c>
      <c r="BF1" t="s">
        <v>270</v>
      </c>
      <c r="BG1" t="s">
        <v>263</v>
      </c>
      <c r="BH1" s="23" t="s">
        <v>683</v>
      </c>
      <c r="BI1" t="s">
        <v>252</v>
      </c>
      <c r="BJ1" t="s">
        <v>194</v>
      </c>
      <c r="BK1" t="s">
        <v>198</v>
      </c>
      <c r="BL1" t="s">
        <v>215</v>
      </c>
      <c r="BM1" t="s">
        <v>271</v>
      </c>
      <c r="BN1" t="s">
        <v>189</v>
      </c>
      <c r="BO1" t="s">
        <v>177</v>
      </c>
      <c r="BP1" t="s">
        <v>226</v>
      </c>
      <c r="BQ1" t="s">
        <v>199</v>
      </c>
      <c r="BR1" t="s">
        <v>265</v>
      </c>
      <c r="BS1" t="s">
        <v>684</v>
      </c>
      <c r="BT1" t="s">
        <v>75</v>
      </c>
      <c r="BU1" s="23" t="s">
        <v>685</v>
      </c>
      <c r="BV1" t="s">
        <v>117</v>
      </c>
      <c r="BW1" t="s">
        <v>214</v>
      </c>
      <c r="BX1" t="s">
        <v>120</v>
      </c>
      <c r="BY1" t="s">
        <v>272</v>
      </c>
      <c r="BZ1" t="s">
        <v>243</v>
      </c>
      <c r="CA1" t="s">
        <v>227</v>
      </c>
      <c r="CB1" t="s">
        <v>105</v>
      </c>
      <c r="CC1" t="s">
        <v>241</v>
      </c>
      <c r="CD1" t="s">
        <v>686</v>
      </c>
      <c r="CE1" t="s">
        <v>258</v>
      </c>
      <c r="CF1" t="s">
        <v>88</v>
      </c>
      <c r="CG1" s="23" t="s">
        <v>190</v>
      </c>
      <c r="CH1" t="s">
        <v>687</v>
      </c>
      <c r="CI1" t="s">
        <v>202</v>
      </c>
      <c r="CJ1" t="s">
        <v>273</v>
      </c>
      <c r="CK1" t="s">
        <v>183</v>
      </c>
      <c r="CL1" t="s">
        <v>217</v>
      </c>
      <c r="CM1" t="s">
        <v>174</v>
      </c>
      <c r="CN1" t="s">
        <v>251</v>
      </c>
      <c r="CO1" t="s">
        <v>269</v>
      </c>
      <c r="CP1" t="s">
        <v>38</v>
      </c>
      <c r="CQ1" t="s">
        <v>247</v>
      </c>
      <c r="CR1" t="s">
        <v>193</v>
      </c>
      <c r="CS1" t="s">
        <v>109</v>
      </c>
      <c r="CT1" t="s">
        <v>204</v>
      </c>
      <c r="CU1" t="s">
        <v>231</v>
      </c>
      <c r="CV1" t="s">
        <v>180</v>
      </c>
      <c r="CW1" t="s">
        <v>259</v>
      </c>
      <c r="CX1" t="s">
        <v>137</v>
      </c>
      <c r="CY1" t="s">
        <v>213</v>
      </c>
      <c r="CZ1" t="s">
        <v>112</v>
      </c>
      <c r="DA1" t="s">
        <v>127</v>
      </c>
      <c r="DB1" t="s">
        <v>63</v>
      </c>
      <c r="DC1" t="s">
        <v>196</v>
      </c>
      <c r="DD1" t="s">
        <v>219</v>
      </c>
      <c r="DE1" t="s">
        <v>249</v>
      </c>
      <c r="DF1" t="s">
        <v>237</v>
      </c>
      <c r="DG1" t="s">
        <v>225</v>
      </c>
      <c r="DH1" t="s">
        <v>184</v>
      </c>
      <c r="DI1" t="s">
        <v>233</v>
      </c>
      <c r="DJ1" s="23" t="s">
        <v>688</v>
      </c>
      <c r="DK1" t="s">
        <v>277</v>
      </c>
      <c r="DL1" t="s">
        <v>71</v>
      </c>
      <c r="DM1" t="s">
        <v>254</v>
      </c>
      <c r="DN1" t="s">
        <v>245</v>
      </c>
      <c r="DO1" t="s">
        <v>232</v>
      </c>
      <c r="DP1" t="s">
        <v>689</v>
      </c>
      <c r="DQ1" t="s">
        <v>218</v>
      </c>
      <c r="DR1" t="s">
        <v>205</v>
      </c>
      <c r="DS1" t="s">
        <v>126</v>
      </c>
      <c r="DT1" t="s">
        <v>181</v>
      </c>
      <c r="DU1" t="s">
        <v>206</v>
      </c>
      <c r="DV1" t="s">
        <v>123</v>
      </c>
      <c r="DW1" t="s">
        <v>119</v>
      </c>
      <c r="DX1" t="s">
        <v>102</v>
      </c>
      <c r="DY1" t="s">
        <v>201</v>
      </c>
      <c r="DZ1" t="s">
        <v>128</v>
      </c>
      <c r="EA1" s="23" t="s">
        <v>690</v>
      </c>
      <c r="EB1" s="23" t="s">
        <v>262</v>
      </c>
      <c r="EC1" s="25" t="s">
        <v>260</v>
      </c>
      <c r="ED1" s="23" t="s">
        <v>78</v>
      </c>
    </row>
    <row r="2">
      <c r="A2" s="208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697</v>
      </c>
      <c r="H2" t="s">
        <v>139</v>
      </c>
      <c r="I2" t="s">
        <v>698</v>
      </c>
      <c r="J2" t="s">
        <v>699</v>
      </c>
      <c r="K2" t="s">
        <v>700</v>
      </c>
      <c r="L2" t="s">
        <v>701</v>
      </c>
      <c r="M2" t="s">
        <v>257</v>
      </c>
      <c r="N2" t="s">
        <v>702</v>
      </c>
      <c r="O2" t="s">
        <v>703</v>
      </c>
      <c r="P2" t="s">
        <v>704</v>
      </c>
      <c r="Q2" t="s">
        <v>705</v>
      </c>
      <c r="R2" t="s">
        <v>706</v>
      </c>
      <c r="S2" t="s">
        <v>707</v>
      </c>
      <c r="T2" s="23" t="s">
        <v>708</v>
      </c>
      <c r="U2" s="23" t="s">
        <v>709</v>
      </c>
      <c r="V2" t="s">
        <v>710</v>
      </c>
      <c r="W2" t="s">
        <v>711</v>
      </c>
      <c r="X2" t="s">
        <v>712</v>
      </c>
      <c r="Y2" t="s">
        <v>713</v>
      </c>
      <c r="Z2" t="s">
        <v>714</v>
      </c>
      <c r="AA2" t="s">
        <v>715</v>
      </c>
      <c r="AB2" t="s">
        <v>716</v>
      </c>
      <c r="AC2" t="s">
        <v>717</v>
      </c>
      <c r="AD2" t="s">
        <v>718</v>
      </c>
      <c r="AE2" t="s">
        <v>719</v>
      </c>
      <c r="AF2" s="23" t="s">
        <v>720</v>
      </c>
      <c r="AG2" t="s">
        <v>721</v>
      </c>
      <c r="AH2" t="s">
        <v>223</v>
      </c>
      <c r="AI2" t="s">
        <v>722</v>
      </c>
      <c r="AJ2" t="s">
        <v>723</v>
      </c>
      <c r="AK2" t="s">
        <v>724</v>
      </c>
      <c r="AL2" t="s">
        <v>725</v>
      </c>
      <c r="AM2" s="23" t="s">
        <v>726</v>
      </c>
      <c r="AN2" t="s">
        <v>727</v>
      </c>
      <c r="AO2" t="s">
        <v>728</v>
      </c>
      <c r="AP2" t="s">
        <v>729</v>
      </c>
      <c r="AQ2" t="s">
        <v>730</v>
      </c>
      <c r="AR2" t="s">
        <v>731</v>
      </c>
      <c r="AS2" t="s">
        <v>732</v>
      </c>
      <c r="AT2" s="23" t="s">
        <v>733</v>
      </c>
      <c r="AU2" t="s">
        <v>734</v>
      </c>
      <c r="AV2" t="s">
        <v>735</v>
      </c>
      <c r="AW2" t="s">
        <v>736</v>
      </c>
      <c r="AX2" t="s">
        <v>737</v>
      </c>
      <c r="AY2" s="23" t="s">
        <v>738</v>
      </c>
      <c r="AZ2" t="s">
        <v>739</v>
      </c>
      <c r="BA2" t="s">
        <v>740</v>
      </c>
      <c r="BB2" s="23" t="s">
        <v>741</v>
      </c>
      <c r="BC2" t="s">
        <v>742</v>
      </c>
      <c r="BD2" t="s">
        <v>743</v>
      </c>
      <c r="BE2" t="s">
        <v>744</v>
      </c>
      <c r="BF2" t="s">
        <v>745</v>
      </c>
      <c r="BG2" t="s">
        <v>746</v>
      </c>
      <c r="BH2" t="s">
        <v>747</v>
      </c>
      <c r="BI2" s="23" t="s">
        <v>748</v>
      </c>
      <c r="BJ2" t="s">
        <v>194</v>
      </c>
      <c r="BK2" t="s">
        <v>198</v>
      </c>
      <c r="BL2" t="s">
        <v>749</v>
      </c>
      <c r="BM2" t="s">
        <v>271</v>
      </c>
      <c r="BN2" s="23" t="s">
        <v>750</v>
      </c>
      <c r="BO2" t="s">
        <v>751</v>
      </c>
      <c r="BP2" t="s">
        <v>752</v>
      </c>
      <c r="BQ2" t="s">
        <v>753</v>
      </c>
      <c r="BR2" t="s">
        <v>754</v>
      </c>
      <c r="BS2" t="s">
        <v>238</v>
      </c>
      <c r="BT2" t="s">
        <v>755</v>
      </c>
      <c r="BU2" s="23" t="s">
        <v>756</v>
      </c>
      <c r="BV2" t="s">
        <v>757</v>
      </c>
      <c r="BW2" t="s">
        <v>758</v>
      </c>
      <c r="BX2" t="s">
        <v>759</v>
      </c>
      <c r="BY2" t="s">
        <v>760</v>
      </c>
      <c r="BZ2" t="s">
        <v>761</v>
      </c>
      <c r="CA2" s="23" t="s">
        <v>762</v>
      </c>
      <c r="CB2" t="s">
        <v>763</v>
      </c>
      <c r="CC2" t="s">
        <v>764</v>
      </c>
      <c r="CD2" t="s">
        <v>765</v>
      </c>
      <c r="CE2" t="s">
        <v>766</v>
      </c>
      <c r="CF2" t="s">
        <v>767</v>
      </c>
      <c r="CG2" t="s">
        <v>768</v>
      </c>
      <c r="CH2" t="s">
        <v>769</v>
      </c>
      <c r="CI2" t="s">
        <v>202</v>
      </c>
      <c r="CJ2" t="s">
        <v>770</v>
      </c>
      <c r="CK2" t="s">
        <v>771</v>
      </c>
      <c r="CL2" s="23" t="s">
        <v>772</v>
      </c>
      <c r="CM2" t="s">
        <v>773</v>
      </c>
      <c r="CN2" t="s">
        <v>774</v>
      </c>
      <c r="CO2" t="s">
        <v>775</v>
      </c>
      <c r="CP2" t="s">
        <v>776</v>
      </c>
      <c r="CQ2" t="s">
        <v>777</v>
      </c>
      <c r="CR2" t="s">
        <v>778</v>
      </c>
      <c r="CS2" t="s">
        <v>109</v>
      </c>
      <c r="CT2" t="s">
        <v>204</v>
      </c>
      <c r="CU2" t="s">
        <v>779</v>
      </c>
      <c r="CV2" t="s">
        <v>780</v>
      </c>
      <c r="CW2" t="s">
        <v>781</v>
      </c>
      <c r="CX2" t="s">
        <v>782</v>
      </c>
      <c r="CY2" t="s">
        <v>783</v>
      </c>
      <c r="CZ2" t="s">
        <v>784</v>
      </c>
      <c r="DA2" t="s">
        <v>785</v>
      </c>
      <c r="DB2" t="s">
        <v>786</v>
      </c>
      <c r="DC2" t="s">
        <v>787</v>
      </c>
      <c r="DD2" t="s">
        <v>219</v>
      </c>
      <c r="DE2" t="s">
        <v>788</v>
      </c>
      <c r="DF2" t="s">
        <v>789</v>
      </c>
      <c r="DG2" t="s">
        <v>790</v>
      </c>
      <c r="DH2" t="s">
        <v>791</v>
      </c>
      <c r="DI2" t="s">
        <v>792</v>
      </c>
      <c r="DJ2" s="23" t="s">
        <v>793</v>
      </c>
      <c r="DK2" t="s">
        <v>794</v>
      </c>
      <c r="DL2" t="s">
        <v>795</v>
      </c>
      <c r="DM2" s="23" t="s">
        <v>796</v>
      </c>
      <c r="DN2" t="s">
        <v>797</v>
      </c>
      <c r="DO2" t="s">
        <v>798</v>
      </c>
      <c r="DP2" s="23" t="s">
        <v>799</v>
      </c>
      <c r="DQ2" t="s">
        <v>800</v>
      </c>
      <c r="DR2" t="s">
        <v>801</v>
      </c>
      <c r="DS2" t="s">
        <v>802</v>
      </c>
      <c r="DT2" t="s">
        <v>803</v>
      </c>
      <c r="DU2" t="s">
        <v>804</v>
      </c>
      <c r="DV2" t="s">
        <v>805</v>
      </c>
      <c r="DW2" t="s">
        <v>119</v>
      </c>
      <c r="DX2" t="s">
        <v>806</v>
      </c>
      <c r="DY2" t="s">
        <v>807</v>
      </c>
      <c r="DZ2" t="s">
        <v>808</v>
      </c>
      <c r="EA2" t="s">
        <v>809</v>
      </c>
      <c r="EB2" s="23" t="s">
        <v>810</v>
      </c>
      <c r="EC2" s="25" t="s">
        <v>811</v>
      </c>
      <c r="ED2" s="25" t="s">
        <v>812</v>
      </c>
    </row>
    <row r="3">
      <c r="A3" s="208" t="s">
        <v>813</v>
      </c>
      <c r="B3" t="s">
        <v>242</v>
      </c>
      <c r="C3" t="s">
        <v>236</v>
      </c>
      <c r="D3" t="s">
        <v>246</v>
      </c>
      <c r="E3" t="s">
        <v>210</v>
      </c>
      <c r="F3" t="s">
        <v>118</v>
      </c>
      <c r="G3" t="s">
        <v>234</v>
      </c>
      <c r="H3" t="s">
        <v>139</v>
      </c>
      <c r="I3" t="s">
        <v>253</v>
      </c>
      <c r="J3" t="s">
        <v>81</v>
      </c>
      <c r="K3" t="s">
        <v>182</v>
      </c>
      <c r="L3" t="s">
        <v>207</v>
      </c>
      <c r="M3" t="s">
        <v>257</v>
      </c>
      <c r="N3" t="s">
        <v>248</v>
      </c>
      <c r="O3" t="s">
        <v>191</v>
      </c>
      <c r="P3" t="s">
        <v>187</v>
      </c>
      <c r="Q3" t="s">
        <v>224</v>
      </c>
      <c r="R3" t="s">
        <v>229</v>
      </c>
      <c r="S3" t="s">
        <v>164</v>
      </c>
      <c r="T3" t="s">
        <v>79</v>
      </c>
      <c r="U3" t="s">
        <v>268</v>
      </c>
      <c r="V3" t="s">
        <v>216</v>
      </c>
      <c r="W3" t="s">
        <v>256</v>
      </c>
      <c r="X3" t="s">
        <v>130</v>
      </c>
      <c r="Y3" t="s">
        <v>275</v>
      </c>
      <c r="Z3" t="s">
        <v>113</v>
      </c>
      <c r="AA3" t="s">
        <v>208</v>
      </c>
      <c r="AB3" t="s">
        <v>230</v>
      </c>
      <c r="AC3" t="s">
        <v>124</v>
      </c>
      <c r="AD3" t="s">
        <v>192</v>
      </c>
      <c r="AE3" t="s">
        <v>74</v>
      </c>
      <c r="AF3" t="s">
        <v>179</v>
      </c>
      <c r="AG3" t="s">
        <v>267</v>
      </c>
      <c r="AH3" t="s">
        <v>223</v>
      </c>
      <c r="AI3" t="s">
        <v>239</v>
      </c>
      <c r="AJ3" t="s">
        <v>188</v>
      </c>
      <c r="AK3" t="s">
        <v>276</v>
      </c>
      <c r="AL3" t="s">
        <v>186</v>
      </c>
      <c r="AM3" t="s">
        <v>195</v>
      </c>
      <c r="AN3" t="s">
        <v>266</v>
      </c>
      <c r="AO3" t="s">
        <v>244</v>
      </c>
      <c r="AP3" t="s">
        <v>209</v>
      </c>
      <c r="AQ3" t="s">
        <v>178</v>
      </c>
      <c r="AR3" t="s">
        <v>116</v>
      </c>
      <c r="AS3" t="s">
        <v>80</v>
      </c>
      <c r="AT3" t="s">
        <v>261</v>
      </c>
      <c r="AU3" t="s">
        <v>200</v>
      </c>
      <c r="AV3" t="s">
        <v>135</v>
      </c>
      <c r="AW3" t="s">
        <v>222</v>
      </c>
      <c r="AX3" t="s">
        <v>185</v>
      </c>
      <c r="AY3" t="s">
        <v>255</v>
      </c>
      <c r="AZ3" t="s">
        <v>220</v>
      </c>
      <c r="BA3" t="s">
        <v>133</v>
      </c>
      <c r="BB3" t="s">
        <v>250</v>
      </c>
      <c r="BC3" t="s">
        <v>111</v>
      </c>
      <c r="BD3" t="s">
        <v>228</v>
      </c>
      <c r="BE3" t="s">
        <v>221</v>
      </c>
      <c r="BF3" t="s">
        <v>270</v>
      </c>
      <c r="BG3" t="s">
        <v>263</v>
      </c>
      <c r="BH3" t="s">
        <v>197</v>
      </c>
      <c r="BI3" t="s">
        <v>252</v>
      </c>
      <c r="BJ3" t="s">
        <v>194</v>
      </c>
      <c r="BK3" t="s">
        <v>198</v>
      </c>
      <c r="BL3" t="s">
        <v>215</v>
      </c>
      <c r="BM3" t="s">
        <v>271</v>
      </c>
      <c r="BN3" t="s">
        <v>189</v>
      </c>
      <c r="BO3" t="s">
        <v>177</v>
      </c>
      <c r="BP3" t="s">
        <v>226</v>
      </c>
      <c r="BQ3" t="s">
        <v>199</v>
      </c>
      <c r="BR3" t="s">
        <v>265</v>
      </c>
      <c r="BS3" t="s">
        <v>238</v>
      </c>
      <c r="BT3" t="s">
        <v>75</v>
      </c>
      <c r="BU3" s="25" t="s">
        <v>240</v>
      </c>
      <c r="BV3" t="s">
        <v>117</v>
      </c>
      <c r="BW3" t="s">
        <v>214</v>
      </c>
      <c r="BX3" t="s">
        <v>120</v>
      </c>
      <c r="BY3" t="s">
        <v>272</v>
      </c>
      <c r="BZ3" t="s">
        <v>243</v>
      </c>
      <c r="CA3" t="s">
        <v>227</v>
      </c>
      <c r="CB3" t="s">
        <v>105</v>
      </c>
      <c r="CC3" t="s">
        <v>241</v>
      </c>
      <c r="CD3" t="s">
        <v>173</v>
      </c>
      <c r="CE3" t="s">
        <v>258</v>
      </c>
      <c r="CF3" t="s">
        <v>88</v>
      </c>
      <c r="CG3" t="s">
        <v>190</v>
      </c>
      <c r="CH3" t="s">
        <v>129</v>
      </c>
      <c r="CI3" t="s">
        <v>202</v>
      </c>
      <c r="CJ3" t="s">
        <v>273</v>
      </c>
      <c r="CK3" t="s">
        <v>183</v>
      </c>
      <c r="CL3" t="s">
        <v>217</v>
      </c>
      <c r="CM3" t="s">
        <v>174</v>
      </c>
      <c r="CN3" t="s">
        <v>251</v>
      </c>
      <c r="CO3" t="s">
        <v>269</v>
      </c>
      <c r="CP3" t="s">
        <v>38</v>
      </c>
      <c r="CQ3" t="s">
        <v>247</v>
      </c>
      <c r="CR3" t="s">
        <v>193</v>
      </c>
      <c r="CS3" t="s">
        <v>109</v>
      </c>
      <c r="CT3" t="s">
        <v>204</v>
      </c>
      <c r="CU3" t="s">
        <v>231</v>
      </c>
      <c r="CV3" t="s">
        <v>180</v>
      </c>
      <c r="CW3" t="s">
        <v>259</v>
      </c>
      <c r="CX3" t="s">
        <v>137</v>
      </c>
      <c r="CY3" t="s">
        <v>213</v>
      </c>
      <c r="CZ3" t="s">
        <v>112</v>
      </c>
      <c r="DA3" t="s">
        <v>127</v>
      </c>
      <c r="DB3" t="s">
        <v>63</v>
      </c>
      <c r="DC3" t="s">
        <v>196</v>
      </c>
      <c r="DD3" t="s">
        <v>219</v>
      </c>
      <c r="DE3" t="s">
        <v>249</v>
      </c>
      <c r="DF3" t="s">
        <v>237</v>
      </c>
      <c r="DG3" t="s">
        <v>225</v>
      </c>
      <c r="DH3" t="s">
        <v>184</v>
      </c>
      <c r="DI3" t="s">
        <v>233</v>
      </c>
      <c r="DJ3" t="s">
        <v>264</v>
      </c>
      <c r="DK3" t="s">
        <v>277</v>
      </c>
      <c r="DL3" t="s">
        <v>71</v>
      </c>
      <c r="DM3" t="s">
        <v>254</v>
      </c>
      <c r="DN3" t="s">
        <v>245</v>
      </c>
      <c r="DO3" t="s">
        <v>232</v>
      </c>
      <c r="DP3" t="s">
        <v>175</v>
      </c>
      <c r="DQ3" t="s">
        <v>218</v>
      </c>
      <c r="DR3" t="s">
        <v>205</v>
      </c>
      <c r="DS3" t="s">
        <v>126</v>
      </c>
      <c r="DT3" t="s">
        <v>181</v>
      </c>
      <c r="DU3" t="s">
        <v>206</v>
      </c>
      <c r="DV3" t="s">
        <v>123</v>
      </c>
      <c r="DW3" t="s">
        <v>119</v>
      </c>
      <c r="DX3" t="s">
        <v>102</v>
      </c>
      <c r="DY3" t="s">
        <v>201</v>
      </c>
      <c r="DZ3" t="s">
        <v>128</v>
      </c>
      <c r="EA3" t="s">
        <v>176</v>
      </c>
      <c r="EB3" s="140" t="s">
        <v>262</v>
      </c>
      <c r="EC3" s="25" t="s">
        <v>260</v>
      </c>
      <c r="ED3" s="25" t="s">
        <v>78</v>
      </c>
    </row>
    <row r="4">
      <c r="A4" s="207" t="s">
        <v>814</v>
      </c>
      <c r="B4" t="s">
        <v>242</v>
      </c>
      <c r="C4" t="s">
        <v>236</v>
      </c>
      <c r="D4" t="s">
        <v>246</v>
      </c>
      <c r="E4" t="s">
        <v>210</v>
      </c>
      <c r="F4" t="s">
        <v>118</v>
      </c>
      <c r="G4" t="s">
        <v>234</v>
      </c>
      <c r="H4" t="s">
        <v>139</v>
      </c>
      <c r="I4" t="s">
        <v>253</v>
      </c>
      <c r="J4" t="s">
        <v>81</v>
      </c>
      <c r="K4" t="s">
        <v>182</v>
      </c>
      <c r="L4" t="s">
        <v>207</v>
      </c>
      <c r="M4" t="s">
        <v>257</v>
      </c>
      <c r="N4" t="s">
        <v>248</v>
      </c>
      <c r="O4" t="s">
        <v>191</v>
      </c>
      <c r="P4" t="s">
        <v>187</v>
      </c>
      <c r="Q4" t="s">
        <v>224</v>
      </c>
      <c r="R4" t="s">
        <v>229</v>
      </c>
      <c r="S4" t="s">
        <v>164</v>
      </c>
      <c r="T4" t="s">
        <v>79</v>
      </c>
      <c r="U4" t="s">
        <v>268</v>
      </c>
      <c r="V4" t="s">
        <v>216</v>
      </c>
      <c r="W4" t="s">
        <v>256</v>
      </c>
      <c r="X4" t="s">
        <v>130</v>
      </c>
      <c r="Y4" t="s">
        <v>275</v>
      </c>
      <c r="Z4" t="s">
        <v>113</v>
      </c>
      <c r="AA4" t="s">
        <v>208</v>
      </c>
      <c r="AB4" t="s">
        <v>230</v>
      </c>
      <c r="AC4" t="s">
        <v>124</v>
      </c>
      <c r="AD4" t="s">
        <v>192</v>
      </c>
      <c r="AE4" t="s">
        <v>74</v>
      </c>
      <c r="AF4" t="s">
        <v>179</v>
      </c>
      <c r="AG4" t="s">
        <v>267</v>
      </c>
      <c r="AH4" t="s">
        <v>223</v>
      </c>
      <c r="AI4" t="s">
        <v>239</v>
      </c>
      <c r="AJ4" t="s">
        <v>188</v>
      </c>
      <c r="AK4" t="s">
        <v>276</v>
      </c>
      <c r="AL4" t="s">
        <v>186</v>
      </c>
      <c r="AM4" t="s">
        <v>195</v>
      </c>
      <c r="AN4" t="s">
        <v>266</v>
      </c>
      <c r="AO4" t="s">
        <v>244</v>
      </c>
      <c r="AP4" t="s">
        <v>209</v>
      </c>
      <c r="AQ4" t="s">
        <v>178</v>
      </c>
      <c r="AR4" t="s">
        <v>116</v>
      </c>
      <c r="AS4" t="s">
        <v>80</v>
      </c>
      <c r="AT4" t="s">
        <v>261</v>
      </c>
      <c r="AU4" t="s">
        <v>200</v>
      </c>
      <c r="AV4" t="s">
        <v>135</v>
      </c>
      <c r="AW4" t="s">
        <v>222</v>
      </c>
      <c r="AX4" t="s">
        <v>185</v>
      </c>
      <c r="AY4" t="s">
        <v>255</v>
      </c>
      <c r="AZ4" t="s">
        <v>682</v>
      </c>
      <c r="BA4" t="s">
        <v>133</v>
      </c>
      <c r="BB4" t="s">
        <v>250</v>
      </c>
      <c r="BC4" t="s">
        <v>111</v>
      </c>
      <c r="BD4" s="23" t="s">
        <v>743</v>
      </c>
      <c r="BE4" t="s">
        <v>221</v>
      </c>
      <c r="BF4" t="s">
        <v>270</v>
      </c>
      <c r="BG4" t="s">
        <v>263</v>
      </c>
      <c r="BH4" t="s">
        <v>683</v>
      </c>
      <c r="BI4" t="s">
        <v>252</v>
      </c>
      <c r="BJ4" t="s">
        <v>194</v>
      </c>
      <c r="BK4" t="s">
        <v>198</v>
      </c>
      <c r="BL4" t="s">
        <v>215</v>
      </c>
      <c r="BM4" t="s">
        <v>271</v>
      </c>
      <c r="BN4" t="s">
        <v>189</v>
      </c>
      <c r="BO4" t="s">
        <v>177</v>
      </c>
      <c r="BP4" t="s">
        <v>226</v>
      </c>
      <c r="BQ4" t="s">
        <v>199</v>
      </c>
      <c r="BR4" t="s">
        <v>265</v>
      </c>
      <c r="BS4" t="s">
        <v>684</v>
      </c>
      <c r="BT4" t="s">
        <v>75</v>
      </c>
      <c r="BU4" t="s">
        <v>815</v>
      </c>
      <c r="BV4" t="s">
        <v>117</v>
      </c>
      <c r="BW4" t="s">
        <v>214</v>
      </c>
      <c r="BX4" t="s">
        <v>120</v>
      </c>
      <c r="BY4" t="s">
        <v>272</v>
      </c>
      <c r="BZ4" t="s">
        <v>243</v>
      </c>
      <c r="CA4" t="s">
        <v>227</v>
      </c>
      <c r="CB4" t="s">
        <v>105</v>
      </c>
      <c r="CC4" t="s">
        <v>241</v>
      </c>
      <c r="CD4" t="s">
        <v>173</v>
      </c>
      <c r="CE4" t="s">
        <v>258</v>
      </c>
      <c r="CF4" t="s">
        <v>88</v>
      </c>
      <c r="CG4" t="s">
        <v>190</v>
      </c>
      <c r="CH4" t="s">
        <v>687</v>
      </c>
      <c r="CI4" t="s">
        <v>202</v>
      </c>
      <c r="CJ4" t="s">
        <v>273</v>
      </c>
      <c r="CK4" t="s">
        <v>183</v>
      </c>
      <c r="CL4" t="s">
        <v>217</v>
      </c>
      <c r="CM4" t="s">
        <v>174</v>
      </c>
      <c r="CN4" s="23" t="s">
        <v>816</v>
      </c>
      <c r="CO4" t="s">
        <v>269</v>
      </c>
      <c r="CP4" t="s">
        <v>38</v>
      </c>
      <c r="CQ4" t="s">
        <v>247</v>
      </c>
      <c r="CR4" t="s">
        <v>193</v>
      </c>
      <c r="CS4" t="s">
        <v>109</v>
      </c>
      <c r="CT4" t="s">
        <v>204</v>
      </c>
      <c r="CU4" t="s">
        <v>231</v>
      </c>
      <c r="CV4" t="s">
        <v>180</v>
      </c>
      <c r="CW4" t="s">
        <v>259</v>
      </c>
      <c r="CX4" t="s">
        <v>137</v>
      </c>
      <c r="CY4" t="s">
        <v>213</v>
      </c>
      <c r="CZ4" t="s">
        <v>112</v>
      </c>
      <c r="DA4" t="s">
        <v>127</v>
      </c>
      <c r="DB4" t="s">
        <v>63</v>
      </c>
      <c r="DC4" t="s">
        <v>196</v>
      </c>
      <c r="DD4" t="s">
        <v>219</v>
      </c>
      <c r="DE4" t="s">
        <v>249</v>
      </c>
      <c r="DF4" t="s">
        <v>237</v>
      </c>
      <c r="DG4" t="s">
        <v>225</v>
      </c>
      <c r="DH4" t="s">
        <v>184</v>
      </c>
      <c r="DI4" t="s">
        <v>233</v>
      </c>
      <c r="DJ4" t="s">
        <v>264</v>
      </c>
      <c r="DK4" t="s">
        <v>277</v>
      </c>
      <c r="DL4" t="s">
        <v>71</v>
      </c>
      <c r="DM4" t="s">
        <v>254</v>
      </c>
      <c r="DN4" t="s">
        <v>245</v>
      </c>
      <c r="DO4" t="s">
        <v>232</v>
      </c>
      <c r="DP4" s="23" t="s">
        <v>817</v>
      </c>
      <c r="DQ4" t="s">
        <v>818</v>
      </c>
      <c r="DR4" t="s">
        <v>205</v>
      </c>
      <c r="DS4" t="s">
        <v>126</v>
      </c>
      <c r="DT4" t="s">
        <v>181</v>
      </c>
      <c r="DU4" t="s">
        <v>206</v>
      </c>
      <c r="DV4" t="s">
        <v>123</v>
      </c>
      <c r="DW4" t="s">
        <v>119</v>
      </c>
      <c r="DX4" t="s">
        <v>102</v>
      </c>
      <c r="DY4" t="s">
        <v>201</v>
      </c>
      <c r="DZ4" t="s">
        <v>128</v>
      </c>
      <c r="EA4" s="23" t="s">
        <v>819</v>
      </c>
      <c r="EB4" s="23" t="s">
        <v>262</v>
      </c>
      <c r="EC4" s="25" t="s">
        <v>260</v>
      </c>
      <c r="ED4" s="25" t="s">
        <v>78</v>
      </c>
    </row>
    <row r="5">
      <c r="A5" s="207" t="s">
        <v>820</v>
      </c>
      <c r="B5" t="s">
        <v>242</v>
      </c>
      <c r="C5" t="s">
        <v>236</v>
      </c>
      <c r="D5" t="s">
        <v>246</v>
      </c>
      <c r="E5" t="s">
        <v>210</v>
      </c>
      <c r="F5" t="s">
        <v>118</v>
      </c>
      <c r="G5" t="s">
        <v>234</v>
      </c>
      <c r="H5" t="s">
        <v>139</v>
      </c>
      <c r="I5" t="s">
        <v>253</v>
      </c>
      <c r="J5" t="s">
        <v>81</v>
      </c>
      <c r="K5" t="s">
        <v>182</v>
      </c>
      <c r="L5" t="s">
        <v>207</v>
      </c>
      <c r="M5" t="s">
        <v>257</v>
      </c>
      <c r="N5" t="s">
        <v>248</v>
      </c>
      <c r="O5" t="s">
        <v>191</v>
      </c>
      <c r="P5" t="s">
        <v>187</v>
      </c>
      <c r="Q5" t="s">
        <v>224</v>
      </c>
      <c r="R5" t="s">
        <v>229</v>
      </c>
      <c r="S5" t="s">
        <v>164</v>
      </c>
      <c r="T5" t="s">
        <v>79</v>
      </c>
      <c r="U5" t="s">
        <v>268</v>
      </c>
      <c r="V5" t="s">
        <v>216</v>
      </c>
      <c r="W5" t="s">
        <v>256</v>
      </c>
      <c r="X5" t="s">
        <v>130</v>
      </c>
      <c r="Y5" t="s">
        <v>275</v>
      </c>
      <c r="Z5" t="s">
        <v>113</v>
      </c>
      <c r="AA5" t="s">
        <v>208</v>
      </c>
      <c r="AB5" t="s">
        <v>230</v>
      </c>
      <c r="AC5" t="s">
        <v>124</v>
      </c>
      <c r="AD5" t="s">
        <v>192</v>
      </c>
      <c r="AE5" t="s">
        <v>74</v>
      </c>
      <c r="AF5" t="s">
        <v>179</v>
      </c>
      <c r="AG5" t="s">
        <v>267</v>
      </c>
      <c r="AH5" t="s">
        <v>223</v>
      </c>
      <c r="AI5" t="s">
        <v>239</v>
      </c>
      <c r="AJ5" t="s">
        <v>188</v>
      </c>
      <c r="AK5" t="s">
        <v>276</v>
      </c>
      <c r="AL5" t="s">
        <v>186</v>
      </c>
      <c r="AM5" t="s">
        <v>195</v>
      </c>
      <c r="AN5" t="s">
        <v>266</v>
      </c>
      <c r="AO5" t="s">
        <v>244</v>
      </c>
      <c r="AP5" t="s">
        <v>209</v>
      </c>
      <c r="AQ5" t="s">
        <v>178</v>
      </c>
      <c r="AR5" t="s">
        <v>116</v>
      </c>
      <c r="AS5" t="s">
        <v>80</v>
      </c>
      <c r="AT5" t="s">
        <v>261</v>
      </c>
      <c r="AU5" t="s">
        <v>200</v>
      </c>
      <c r="AV5" t="s">
        <v>135</v>
      </c>
      <c r="AW5" t="s">
        <v>222</v>
      </c>
      <c r="AX5" t="s">
        <v>185</v>
      </c>
      <c r="AY5" t="s">
        <v>255</v>
      </c>
      <c r="AZ5" t="s">
        <v>220</v>
      </c>
      <c r="BA5" t="s">
        <v>133</v>
      </c>
      <c r="BB5" t="s">
        <v>250</v>
      </c>
      <c r="BC5" t="s">
        <v>111</v>
      </c>
      <c r="BD5" t="s">
        <v>228</v>
      </c>
      <c r="BE5" t="s">
        <v>221</v>
      </c>
      <c r="BF5" t="s">
        <v>270</v>
      </c>
      <c r="BG5" t="s">
        <v>263</v>
      </c>
      <c r="BH5" t="s">
        <v>197</v>
      </c>
      <c r="BI5" t="s">
        <v>252</v>
      </c>
      <c r="BJ5" t="s">
        <v>194</v>
      </c>
      <c r="BK5" t="s">
        <v>198</v>
      </c>
      <c r="BL5" t="s">
        <v>215</v>
      </c>
      <c r="BM5" t="s">
        <v>271</v>
      </c>
      <c r="BN5" t="s">
        <v>189</v>
      </c>
      <c r="BO5" t="s">
        <v>177</v>
      </c>
      <c r="BP5" t="s">
        <v>226</v>
      </c>
      <c r="BQ5" t="s">
        <v>199</v>
      </c>
      <c r="BR5" t="s">
        <v>265</v>
      </c>
      <c r="BS5" t="s">
        <v>238</v>
      </c>
      <c r="BT5" t="s">
        <v>75</v>
      </c>
      <c r="BU5" s="25" t="s">
        <v>240</v>
      </c>
      <c r="BV5" t="s">
        <v>117</v>
      </c>
      <c r="BW5" t="s">
        <v>214</v>
      </c>
      <c r="BX5" t="s">
        <v>120</v>
      </c>
      <c r="BY5" t="s">
        <v>272</v>
      </c>
      <c r="BZ5" t="s">
        <v>243</v>
      </c>
      <c r="CA5" t="s">
        <v>227</v>
      </c>
      <c r="CB5" t="s">
        <v>105</v>
      </c>
      <c r="CC5" t="s">
        <v>241</v>
      </c>
      <c r="CD5" t="s">
        <v>173</v>
      </c>
      <c r="CE5" t="s">
        <v>258</v>
      </c>
      <c r="CF5" t="s">
        <v>88</v>
      </c>
      <c r="CG5" t="s">
        <v>190</v>
      </c>
      <c r="CH5" t="s">
        <v>129</v>
      </c>
      <c r="CI5" t="s">
        <v>202</v>
      </c>
      <c r="CJ5" t="s">
        <v>273</v>
      </c>
      <c r="CK5" t="s">
        <v>183</v>
      </c>
      <c r="CL5" t="s">
        <v>217</v>
      </c>
      <c r="CM5" t="s">
        <v>174</v>
      </c>
      <c r="CN5" t="s">
        <v>251</v>
      </c>
      <c r="CO5" t="s">
        <v>269</v>
      </c>
      <c r="CP5" t="s">
        <v>38</v>
      </c>
      <c r="CQ5" t="s">
        <v>247</v>
      </c>
      <c r="CR5" t="s">
        <v>193</v>
      </c>
      <c r="CS5" t="s">
        <v>109</v>
      </c>
      <c r="CT5" t="s">
        <v>204</v>
      </c>
      <c r="CU5" t="s">
        <v>231</v>
      </c>
      <c r="CV5" t="s">
        <v>180</v>
      </c>
      <c r="CW5" t="s">
        <v>259</v>
      </c>
      <c r="CX5" t="s">
        <v>137</v>
      </c>
      <c r="CY5" t="s">
        <v>213</v>
      </c>
      <c r="CZ5" t="s">
        <v>112</v>
      </c>
      <c r="DA5" t="s">
        <v>127</v>
      </c>
      <c r="DB5" t="s">
        <v>63</v>
      </c>
      <c r="DC5" t="s">
        <v>196</v>
      </c>
      <c r="DD5" t="s">
        <v>219</v>
      </c>
      <c r="DE5" t="s">
        <v>249</v>
      </c>
      <c r="DF5" t="s">
        <v>237</v>
      </c>
      <c r="DG5" t="s">
        <v>225</v>
      </c>
      <c r="DH5" t="s">
        <v>184</v>
      </c>
      <c r="DI5" t="s">
        <v>233</v>
      </c>
      <c r="DJ5" t="s">
        <v>264</v>
      </c>
      <c r="DK5" t="s">
        <v>277</v>
      </c>
      <c r="DL5" t="s">
        <v>71</v>
      </c>
      <c r="DM5" t="s">
        <v>254</v>
      </c>
      <c r="DN5" t="s">
        <v>245</v>
      </c>
      <c r="DO5" t="s">
        <v>232</v>
      </c>
      <c r="DP5" t="s">
        <v>175</v>
      </c>
      <c r="DQ5" t="s">
        <v>218</v>
      </c>
      <c r="DR5" t="s">
        <v>205</v>
      </c>
      <c r="DS5" t="s">
        <v>126</v>
      </c>
      <c r="DT5" t="s">
        <v>181</v>
      </c>
      <c r="DU5" t="s">
        <v>206</v>
      </c>
      <c r="DV5" t="s">
        <v>123</v>
      </c>
      <c r="DW5" t="s">
        <v>119</v>
      </c>
      <c r="DX5" t="s">
        <v>102</v>
      </c>
      <c r="DY5" t="s">
        <v>201</v>
      </c>
      <c r="DZ5" t="s">
        <v>128</v>
      </c>
      <c r="EA5" t="s">
        <v>176</v>
      </c>
      <c r="EB5" s="140" t="s">
        <v>262</v>
      </c>
      <c r="EC5" s="25" t="s">
        <v>260</v>
      </c>
      <c r="ED5" s="25" t="s">
        <v>78</v>
      </c>
    </row>
    <row r="6">
      <c r="A6" s="207" t="s">
        <v>821</v>
      </c>
      <c r="B6" t="s">
        <v>328</v>
      </c>
      <c r="C6" t="s">
        <v>428</v>
      </c>
      <c r="D6" t="s">
        <v>338</v>
      </c>
      <c r="E6" t="s">
        <v>363</v>
      </c>
      <c r="F6" t="s">
        <v>379</v>
      </c>
      <c r="G6" t="s">
        <v>395</v>
      </c>
      <c r="H6" t="s">
        <v>324</v>
      </c>
      <c r="I6" t="s">
        <v>414</v>
      </c>
      <c r="J6" t="s">
        <v>419</v>
      </c>
      <c r="K6" t="s">
        <v>375</v>
      </c>
      <c r="L6" t="s">
        <v>426</v>
      </c>
      <c r="M6" t="s">
        <v>337</v>
      </c>
      <c r="N6" t="s">
        <v>313</v>
      </c>
      <c r="O6" t="s">
        <v>322</v>
      </c>
      <c r="P6" t="s">
        <v>336</v>
      </c>
      <c r="Q6" t="s">
        <v>300</v>
      </c>
      <c r="R6" t="s">
        <v>359</v>
      </c>
      <c r="S6" t="s">
        <v>329</v>
      </c>
      <c r="T6" t="s">
        <v>331</v>
      </c>
      <c r="U6" t="s">
        <v>349</v>
      </c>
      <c r="V6" t="s">
        <v>335</v>
      </c>
      <c r="W6" t="s">
        <v>394</v>
      </c>
      <c r="X6" t="s">
        <v>382</v>
      </c>
      <c r="Y6" t="s">
        <v>411</v>
      </c>
      <c r="Z6" t="s">
        <v>371</v>
      </c>
      <c r="AA6" t="s">
        <v>402</v>
      </c>
      <c r="AB6" t="s">
        <v>309</v>
      </c>
      <c r="AC6" t="s">
        <v>345</v>
      </c>
      <c r="AD6" t="s">
        <v>341</v>
      </c>
      <c r="AE6" t="s">
        <v>308</v>
      </c>
      <c r="AF6" t="s">
        <v>298</v>
      </c>
      <c r="AG6" t="s">
        <v>358</v>
      </c>
      <c r="AH6" t="s">
        <v>339</v>
      </c>
      <c r="AI6" t="s">
        <v>295</v>
      </c>
      <c r="AJ6" t="s">
        <v>365</v>
      </c>
      <c r="AK6" t="s">
        <v>369</v>
      </c>
      <c r="AL6" t="s">
        <v>364</v>
      </c>
      <c r="AM6" t="s">
        <v>366</v>
      </c>
      <c r="AN6" t="s">
        <v>360</v>
      </c>
      <c r="AO6" t="s">
        <v>346</v>
      </c>
      <c r="AP6" t="s">
        <v>284</v>
      </c>
      <c r="AQ6" t="s">
        <v>387</v>
      </c>
      <c r="AR6" t="s">
        <v>391</v>
      </c>
      <c r="AS6" t="s">
        <v>389</v>
      </c>
      <c r="AT6" t="s">
        <v>396</v>
      </c>
      <c r="AU6" t="s">
        <v>281</v>
      </c>
      <c r="AV6" t="s">
        <v>289</v>
      </c>
      <c r="AW6" t="s">
        <v>400</v>
      </c>
      <c r="AX6" t="s">
        <v>380</v>
      </c>
      <c r="AY6" t="s">
        <v>367</v>
      </c>
      <c r="AZ6" t="s">
        <v>344</v>
      </c>
      <c r="BA6" t="s">
        <v>342</v>
      </c>
      <c r="BB6" t="s">
        <v>377</v>
      </c>
      <c r="BC6" t="s">
        <v>381</v>
      </c>
      <c r="BD6" t="s">
        <v>390</v>
      </c>
      <c r="BE6" t="s">
        <v>403</v>
      </c>
      <c r="BF6" t="s">
        <v>408</v>
      </c>
      <c r="BG6" t="s">
        <v>410</v>
      </c>
      <c r="BH6" t="s">
        <v>415</v>
      </c>
      <c r="BI6" t="s">
        <v>326</v>
      </c>
      <c r="BJ6" t="s">
        <v>433</v>
      </c>
      <c r="BK6" t="s">
        <v>385</v>
      </c>
      <c r="BL6" t="s">
        <v>412</v>
      </c>
      <c r="BM6" t="s">
        <v>427</v>
      </c>
      <c r="BN6" t="s">
        <v>285</v>
      </c>
      <c r="BO6" t="s">
        <v>307</v>
      </c>
      <c r="BP6" t="s">
        <v>315</v>
      </c>
      <c r="BQ6" t="s">
        <v>317</v>
      </c>
      <c r="BR6" t="s">
        <v>323</v>
      </c>
      <c r="BS6" t="s">
        <v>340</v>
      </c>
      <c r="BT6" t="s">
        <v>372</v>
      </c>
      <c r="BU6" t="s">
        <v>384</v>
      </c>
      <c r="BV6" t="s">
        <v>404</v>
      </c>
      <c r="BW6" t="s">
        <v>405</v>
      </c>
      <c r="BX6" t="s">
        <v>383</v>
      </c>
      <c r="BY6" t="s">
        <v>431</v>
      </c>
      <c r="BZ6" t="s">
        <v>283</v>
      </c>
      <c r="CA6" t="s">
        <v>311</v>
      </c>
      <c r="CB6" t="s">
        <v>334</v>
      </c>
      <c r="CC6" t="s">
        <v>347</v>
      </c>
      <c r="CD6" t="s">
        <v>361</v>
      </c>
      <c r="CE6" t="s">
        <v>398</v>
      </c>
      <c r="CF6" t="s">
        <v>399</v>
      </c>
      <c r="CG6" t="s">
        <v>413</v>
      </c>
      <c r="CH6" t="s">
        <v>392</v>
      </c>
      <c r="CI6" t="s">
        <v>397</v>
      </c>
      <c r="CJ6" t="s">
        <v>417</v>
      </c>
      <c r="CK6" t="s">
        <v>406</v>
      </c>
      <c r="CL6" t="s">
        <v>294</v>
      </c>
      <c r="CM6" t="s">
        <v>293</v>
      </c>
      <c r="CN6" t="s">
        <v>321</v>
      </c>
      <c r="CO6" t="s">
        <v>332</v>
      </c>
      <c r="CP6" t="s">
        <v>286</v>
      </c>
      <c r="CQ6" t="s">
        <v>320</v>
      </c>
      <c r="CR6" t="s">
        <v>416</v>
      </c>
      <c r="CS6" t="s">
        <v>356</v>
      </c>
      <c r="CT6" t="s">
        <v>327</v>
      </c>
      <c r="CU6" t="s">
        <v>333</v>
      </c>
      <c r="CV6" t="s">
        <v>310</v>
      </c>
      <c r="CW6" t="s">
        <v>378</v>
      </c>
      <c r="CX6" t="s">
        <v>288</v>
      </c>
      <c r="CY6" t="s">
        <v>297</v>
      </c>
      <c r="CZ6" t="s">
        <v>304</v>
      </c>
      <c r="DA6" t="s">
        <v>343</v>
      </c>
      <c r="DB6" t="s">
        <v>291</v>
      </c>
      <c r="DC6" t="s">
        <v>348</v>
      </c>
      <c r="DD6" t="s">
        <v>303</v>
      </c>
      <c r="DE6" t="s">
        <v>386</v>
      </c>
      <c r="DF6" t="s">
        <v>316</v>
      </c>
      <c r="DG6" t="s">
        <v>314</v>
      </c>
      <c r="DH6" t="s">
        <v>368</v>
      </c>
      <c r="DI6" t="s">
        <v>318</v>
      </c>
      <c r="DJ6" t="s">
        <v>312</v>
      </c>
      <c r="DK6" t="s">
        <v>420</v>
      </c>
      <c r="DL6" t="s">
        <v>290</v>
      </c>
      <c r="DM6" t="s">
        <v>299</v>
      </c>
      <c r="DN6" t="s">
        <v>350</v>
      </c>
      <c r="DO6" t="s">
        <v>357</v>
      </c>
      <c r="DP6" t="s">
        <v>376</v>
      </c>
      <c r="DQ6" t="s">
        <v>429</v>
      </c>
      <c r="DR6" t="s">
        <v>388</v>
      </c>
      <c r="DS6" t="s">
        <v>418</v>
      </c>
      <c r="DT6" t="s">
        <v>370</v>
      </c>
      <c r="DU6" t="s">
        <v>330</v>
      </c>
      <c r="DV6" t="s">
        <v>302</v>
      </c>
      <c r="DW6" t="s">
        <v>319</v>
      </c>
      <c r="DX6" t="s">
        <v>373</v>
      </c>
      <c r="DY6" t="s">
        <v>401</v>
      </c>
      <c r="DZ6" t="s">
        <v>305</v>
      </c>
      <c r="EA6" s="23" t="s">
        <v>430</v>
      </c>
      <c r="EB6" s="140" t="s">
        <v>362</v>
      </c>
      <c r="EC6" s="25" t="s">
        <v>409</v>
      </c>
      <c r="ED6" s="25" t="s">
        <v>432</v>
      </c>
    </row>
  </sheetData>
  <conditionalFormatting sqref="EC1:EC6 ED2:ED6">
    <cfRule type="expression" dxfId="6" priority="1">
      <formula>and(not(EU1),EU1&lt;&gt;"")</formula>
    </cfRule>
  </conditionalFormatting>
  <conditionalFormatting sqref="EC1:EC6 ED2:ED6">
    <cfRule type="expression" dxfId="5" priority="2">
      <formula>EU1</formula>
    </cfRule>
  </conditionalFormatting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3" max="3" width="55.5"/>
  </cols>
  <sheetData>
    <row r="1">
      <c r="A1" s="209"/>
      <c r="B1" s="210"/>
      <c r="C1" s="23" t="s">
        <v>822</v>
      </c>
    </row>
    <row r="2">
      <c r="A2" s="209"/>
      <c r="B2" s="209"/>
      <c r="C2" s="23"/>
    </row>
    <row r="3">
      <c r="A3" s="209"/>
      <c r="B3" s="108"/>
      <c r="C3" s="23" t="s">
        <v>823</v>
      </c>
    </row>
    <row r="4">
      <c r="A4" s="209"/>
      <c r="B4" s="209"/>
      <c r="C4" s="23"/>
    </row>
    <row r="5">
      <c r="A5" s="209"/>
      <c r="B5" s="86"/>
      <c r="C5" s="23" t="s">
        <v>824</v>
      </c>
    </row>
    <row r="6">
      <c r="A6" s="209"/>
      <c r="B6" s="209"/>
      <c r="C6" s="23"/>
    </row>
    <row r="7">
      <c r="A7" s="209"/>
      <c r="B7" s="26"/>
      <c r="C7" s="23" t="s">
        <v>825</v>
      </c>
    </row>
    <row r="8">
      <c r="A8" s="209"/>
      <c r="B8" s="209"/>
      <c r="C8" s="23"/>
    </row>
    <row r="9">
      <c r="A9" s="209"/>
      <c r="B9" s="211"/>
      <c r="C9" s="23" t="s">
        <v>826</v>
      </c>
    </row>
    <row r="10">
      <c r="A10" s="212"/>
      <c r="B10" s="213"/>
      <c r="C10" s="23" t="s">
        <v>827</v>
      </c>
    </row>
    <row r="11">
      <c r="A11" s="209"/>
      <c r="B11" s="214"/>
      <c r="C11" s="23" t="s">
        <v>828</v>
      </c>
    </row>
    <row r="12">
      <c r="A12" s="209"/>
      <c r="B12" s="215" t="s">
        <v>829</v>
      </c>
      <c r="C12" s="173" t="s">
        <v>830</v>
      </c>
    </row>
    <row r="13">
      <c r="A13" s="209"/>
      <c r="B13" s="209"/>
      <c r="C13" s="173"/>
    </row>
    <row r="14">
      <c r="A14" s="209"/>
      <c r="B14" s="216"/>
      <c r="C14" s="173" t="s">
        <v>831</v>
      </c>
    </row>
    <row r="15">
      <c r="B15" s="209"/>
      <c r="C15" s="209"/>
    </row>
    <row r="16">
      <c r="B16" s="209"/>
      <c r="C16" s="20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21" width="9.63"/>
  </cols>
  <sheetData>
    <row r="1">
      <c r="A1" s="1" t="s">
        <v>680</v>
      </c>
      <c r="B1" s="7" t="s">
        <v>2</v>
      </c>
      <c r="C1" s="9" t="s">
        <v>3</v>
      </c>
      <c r="D1" s="4" t="s">
        <v>7</v>
      </c>
      <c r="E1" s="4" t="s">
        <v>8</v>
      </c>
      <c r="F1" s="9" t="s">
        <v>10</v>
      </c>
      <c r="G1" s="4" t="s">
        <v>12</v>
      </c>
      <c r="H1" s="4" t="s">
        <v>13</v>
      </c>
      <c r="I1" s="4" t="s">
        <v>14</v>
      </c>
      <c r="J1" s="217" t="s">
        <v>15</v>
      </c>
      <c r="K1" s="15" t="s">
        <v>20</v>
      </c>
      <c r="L1" s="15" t="s">
        <v>23</v>
      </c>
      <c r="M1" s="17" t="s">
        <v>26</v>
      </c>
      <c r="N1" s="1" t="s">
        <v>27</v>
      </c>
      <c r="O1" s="1" t="s">
        <v>28</v>
      </c>
      <c r="P1" s="1" t="s">
        <v>18</v>
      </c>
      <c r="Q1" s="1" t="s">
        <v>29</v>
      </c>
      <c r="R1" s="1" t="s">
        <v>30</v>
      </c>
      <c r="S1" s="1" t="s">
        <v>31</v>
      </c>
      <c r="T1" s="1" t="s">
        <v>33</v>
      </c>
      <c r="U1" s="1" t="s">
        <v>34</v>
      </c>
    </row>
    <row r="2">
      <c r="A2" s="218">
        <v>45173.92763167824</v>
      </c>
      <c r="B2" s="1" t="s">
        <v>35</v>
      </c>
      <c r="C2" s="1" t="s">
        <v>78</v>
      </c>
      <c r="D2" s="1">
        <v>0.0</v>
      </c>
      <c r="E2" s="1">
        <v>1.0</v>
      </c>
      <c r="F2" s="1" t="s">
        <v>832</v>
      </c>
      <c r="G2" s="1" t="s">
        <v>833</v>
      </c>
      <c r="H2" s="1" t="s">
        <v>58</v>
      </c>
      <c r="I2" s="1"/>
      <c r="J2" s="219"/>
      <c r="K2" s="219"/>
      <c r="L2" s="219"/>
      <c r="M2" s="219"/>
      <c r="N2" s="1">
        <v>0.0</v>
      </c>
      <c r="O2" s="1">
        <v>14.0</v>
      </c>
      <c r="P2" s="1">
        <v>2.0</v>
      </c>
      <c r="Q2" s="1" t="b">
        <v>1</v>
      </c>
      <c r="R2" s="1">
        <v>100.0</v>
      </c>
      <c r="S2" s="1" t="s">
        <v>351</v>
      </c>
      <c r="T2" s="1" t="s">
        <v>423</v>
      </c>
      <c r="U2" s="1"/>
    </row>
    <row r="3">
      <c r="A3" s="218">
        <v>45173.92763167824</v>
      </c>
      <c r="B3" s="1" t="s">
        <v>35</v>
      </c>
      <c r="C3" s="1" t="s">
        <v>88</v>
      </c>
      <c r="D3" s="1">
        <v>0.0</v>
      </c>
      <c r="E3" s="1">
        <v>1.0</v>
      </c>
      <c r="F3" s="1" t="s">
        <v>834</v>
      </c>
      <c r="G3" s="1" t="s">
        <v>833</v>
      </c>
      <c r="H3" s="1" t="s">
        <v>125</v>
      </c>
      <c r="I3" s="1"/>
      <c r="J3" s="219"/>
      <c r="K3" s="219"/>
      <c r="L3" s="219"/>
      <c r="M3" s="219"/>
      <c r="N3" s="1">
        <v>10.0</v>
      </c>
      <c r="O3" s="1">
        <v>52.0</v>
      </c>
      <c r="P3" s="1">
        <v>2.0</v>
      </c>
      <c r="Q3" s="1" t="b">
        <v>0</v>
      </c>
      <c r="R3" s="1">
        <v>100.0</v>
      </c>
      <c r="S3" s="1" t="s">
        <v>353</v>
      </c>
      <c r="T3" s="1" t="s">
        <v>423</v>
      </c>
      <c r="U3" s="1"/>
    </row>
    <row r="4">
      <c r="A4" s="218">
        <v>45173.92763167824</v>
      </c>
      <c r="B4" s="1" t="s">
        <v>35</v>
      </c>
      <c r="C4" s="1" t="s">
        <v>74</v>
      </c>
      <c r="D4" s="1">
        <v>1.0</v>
      </c>
      <c r="E4" s="1">
        <v>0.0</v>
      </c>
      <c r="F4" s="1" t="s">
        <v>835</v>
      </c>
      <c r="G4" s="1" t="s">
        <v>833</v>
      </c>
      <c r="H4" s="1"/>
      <c r="I4" s="1"/>
      <c r="J4" s="219"/>
      <c r="K4" s="219"/>
      <c r="L4" s="219"/>
      <c r="M4" s="219"/>
      <c r="N4" s="1">
        <v>45.0</v>
      </c>
      <c r="O4" s="1">
        <v>0.0</v>
      </c>
      <c r="P4" s="1">
        <v>2.0</v>
      </c>
      <c r="Q4" s="1" t="b">
        <v>0</v>
      </c>
      <c r="R4" s="1">
        <v>100.0</v>
      </c>
      <c r="S4" s="1" t="s">
        <v>296</v>
      </c>
      <c r="T4" s="1" t="s">
        <v>422</v>
      </c>
      <c r="U4" s="1"/>
    </row>
    <row r="5">
      <c r="A5" s="218">
        <v>45173.92763167824</v>
      </c>
      <c r="B5" s="1" t="s">
        <v>35</v>
      </c>
      <c r="C5" s="1" t="s">
        <v>63</v>
      </c>
      <c r="D5" s="1">
        <v>1.0</v>
      </c>
      <c r="E5" s="1">
        <v>0.0</v>
      </c>
      <c r="F5" s="1" t="s">
        <v>836</v>
      </c>
      <c r="G5" s="1" t="s">
        <v>833</v>
      </c>
      <c r="H5" s="1"/>
      <c r="I5" s="1"/>
      <c r="J5" s="219"/>
      <c r="K5" s="219"/>
      <c r="L5" s="219"/>
      <c r="M5" s="219"/>
      <c r="N5" s="1">
        <v>48.0</v>
      </c>
      <c r="O5" s="1">
        <v>7.0</v>
      </c>
      <c r="P5" s="1">
        <v>2.0</v>
      </c>
      <c r="Q5" s="1" t="b">
        <v>0</v>
      </c>
      <c r="R5" s="1">
        <v>100.0</v>
      </c>
      <c r="S5" s="1" t="s">
        <v>292</v>
      </c>
      <c r="T5" s="1" t="s">
        <v>422</v>
      </c>
      <c r="U5" s="1"/>
    </row>
    <row r="6">
      <c r="A6" s="218">
        <v>45173.92763167824</v>
      </c>
      <c r="B6" s="1" t="s">
        <v>35</v>
      </c>
      <c r="C6" s="1" t="s">
        <v>71</v>
      </c>
      <c r="D6" s="1">
        <v>1.0</v>
      </c>
      <c r="E6" s="1">
        <v>0.0</v>
      </c>
      <c r="F6" s="1" t="s">
        <v>837</v>
      </c>
      <c r="G6" s="1" t="s">
        <v>833</v>
      </c>
      <c r="H6" s="1"/>
      <c r="I6" s="1"/>
      <c r="J6" s="219"/>
      <c r="K6" s="219"/>
      <c r="L6" s="219"/>
      <c r="M6" s="219"/>
      <c r="N6" s="1">
        <v>45.0</v>
      </c>
      <c r="O6" s="1">
        <v>24.0</v>
      </c>
      <c r="P6" s="1">
        <v>2.0</v>
      </c>
      <c r="Q6" s="1" t="b">
        <v>0</v>
      </c>
      <c r="R6" s="1">
        <v>100.0</v>
      </c>
      <c r="S6" s="1" t="s">
        <v>355</v>
      </c>
      <c r="T6" s="1" t="s">
        <v>423</v>
      </c>
      <c r="U6" s="1"/>
    </row>
    <row r="7">
      <c r="A7" s="218">
        <v>45173.92763167824</v>
      </c>
      <c r="B7" s="1" t="s">
        <v>35</v>
      </c>
      <c r="C7" s="1" t="s">
        <v>38</v>
      </c>
      <c r="D7" s="1">
        <v>1.0</v>
      </c>
      <c r="E7" s="1">
        <v>0.0</v>
      </c>
      <c r="F7" s="1" t="s">
        <v>838</v>
      </c>
      <c r="G7" s="1" t="s">
        <v>833</v>
      </c>
      <c r="H7" s="1"/>
      <c r="I7" s="1"/>
      <c r="J7" s="219"/>
      <c r="K7" s="219"/>
      <c r="L7" s="219"/>
      <c r="M7" s="219"/>
      <c r="N7" s="1">
        <v>81.0</v>
      </c>
      <c r="O7" s="1">
        <v>7.0</v>
      </c>
      <c r="P7" s="1">
        <v>2.0</v>
      </c>
      <c r="Q7" s="1" t="b">
        <v>0</v>
      </c>
      <c r="R7" s="1">
        <v>100.0</v>
      </c>
      <c r="S7" s="1" t="s">
        <v>354</v>
      </c>
      <c r="T7" s="1" t="s">
        <v>422</v>
      </c>
      <c r="U7" s="1"/>
    </row>
    <row r="8">
      <c r="A8" s="218">
        <v>45173.92763167824</v>
      </c>
      <c r="B8" s="1" t="s">
        <v>35</v>
      </c>
      <c r="C8" s="1" t="s">
        <v>81</v>
      </c>
      <c r="D8" s="1">
        <v>1.0</v>
      </c>
      <c r="E8" s="1">
        <v>0.0</v>
      </c>
      <c r="F8" s="1" t="s">
        <v>839</v>
      </c>
      <c r="G8" s="1" t="s">
        <v>833</v>
      </c>
      <c r="H8" s="1" t="s">
        <v>46</v>
      </c>
      <c r="I8" s="1"/>
      <c r="J8" s="219">
        <v>-11.5</v>
      </c>
      <c r="K8" s="219">
        <v>-9.5</v>
      </c>
      <c r="L8" s="219">
        <v>290.0</v>
      </c>
      <c r="M8" s="219" t="s">
        <v>840</v>
      </c>
      <c r="N8" s="1">
        <v>24.0</v>
      </c>
      <c r="O8" s="1">
        <v>21.0</v>
      </c>
      <c r="P8" s="1">
        <v>2.0</v>
      </c>
      <c r="Q8" s="1" t="b">
        <v>1</v>
      </c>
      <c r="R8" s="1">
        <v>100.0</v>
      </c>
      <c r="S8" s="1" t="s">
        <v>407</v>
      </c>
      <c r="T8" s="1" t="s">
        <v>423</v>
      </c>
      <c r="U8" s="1"/>
    </row>
    <row r="9">
      <c r="A9" s="218">
        <v>45173.92763167824</v>
      </c>
      <c r="B9" s="1" t="s">
        <v>35</v>
      </c>
      <c r="C9" s="1" t="s">
        <v>75</v>
      </c>
      <c r="D9" s="1">
        <v>0.0</v>
      </c>
      <c r="E9" s="1">
        <v>1.0</v>
      </c>
      <c r="F9" s="1" t="s">
        <v>841</v>
      </c>
      <c r="G9" s="1" t="s">
        <v>833</v>
      </c>
      <c r="H9" s="1" t="s">
        <v>69</v>
      </c>
      <c r="I9" s="1"/>
      <c r="J9" s="219">
        <v>31.5</v>
      </c>
      <c r="K9" s="219">
        <v>36.5</v>
      </c>
      <c r="L9" s="219">
        <v>8000.0</v>
      </c>
      <c r="M9" s="219" t="s">
        <v>104</v>
      </c>
      <c r="N9" s="1">
        <v>6.0</v>
      </c>
      <c r="O9" s="1">
        <v>56.0</v>
      </c>
      <c r="P9" s="1">
        <v>2.0</v>
      </c>
      <c r="Q9" s="1" t="b">
        <v>0</v>
      </c>
      <c r="R9" s="1">
        <v>100.0</v>
      </c>
      <c r="S9" s="1" t="s">
        <v>352</v>
      </c>
      <c r="T9" s="1" t="s">
        <v>423</v>
      </c>
      <c r="U9" s="1"/>
    </row>
    <row r="10">
      <c r="A10" s="218">
        <v>45173.92763167824</v>
      </c>
      <c r="B10" s="1" t="s">
        <v>35</v>
      </c>
      <c r="C10" s="1" t="s">
        <v>80</v>
      </c>
      <c r="D10" s="1">
        <v>0.0</v>
      </c>
      <c r="E10" s="1">
        <v>1.0</v>
      </c>
      <c r="F10" s="1" t="s">
        <v>842</v>
      </c>
      <c r="G10" s="1" t="s">
        <v>833</v>
      </c>
      <c r="H10" s="1" t="s">
        <v>58</v>
      </c>
      <c r="I10" s="1"/>
      <c r="J10" s="219">
        <v>8.0</v>
      </c>
      <c r="K10" s="219">
        <v>-7.0</v>
      </c>
      <c r="L10" s="219">
        <v>-295.0</v>
      </c>
      <c r="M10" s="219" t="s">
        <v>843</v>
      </c>
      <c r="N10" s="1">
        <v>10.0</v>
      </c>
      <c r="O10" s="1">
        <v>13.0</v>
      </c>
      <c r="P10" s="1">
        <v>2.0</v>
      </c>
      <c r="Q10" s="1" t="b">
        <v>1</v>
      </c>
      <c r="R10" s="1">
        <v>100.0</v>
      </c>
      <c r="S10" s="1" t="s">
        <v>282</v>
      </c>
      <c r="T10" s="1" t="s">
        <v>422</v>
      </c>
      <c r="U10" s="1"/>
    </row>
    <row r="11">
      <c r="A11" s="218">
        <v>45173.92763167824</v>
      </c>
      <c r="B11" s="1" t="s">
        <v>35</v>
      </c>
      <c r="C11" s="1" t="s">
        <v>79</v>
      </c>
      <c r="D11" s="1">
        <v>1.0</v>
      </c>
      <c r="E11" s="1">
        <v>0.0</v>
      </c>
      <c r="F11" s="1" t="s">
        <v>844</v>
      </c>
      <c r="G11" s="1" t="s">
        <v>833</v>
      </c>
      <c r="H11" s="1" t="s">
        <v>62</v>
      </c>
      <c r="I11" s="1"/>
      <c r="J11" s="219">
        <v>-17.0</v>
      </c>
      <c r="K11" s="219">
        <v>-17.0</v>
      </c>
      <c r="L11" s="219">
        <v>580.0</v>
      </c>
      <c r="M11" s="219" t="s">
        <v>845</v>
      </c>
      <c r="N11" s="1">
        <v>38.0</v>
      </c>
      <c r="O11" s="1">
        <v>3.0</v>
      </c>
      <c r="P11" s="1">
        <v>2.0</v>
      </c>
      <c r="Q11" s="1" t="b">
        <v>1</v>
      </c>
      <c r="R11" s="1">
        <v>100.0</v>
      </c>
      <c r="S11" s="1" t="s">
        <v>301</v>
      </c>
      <c r="T11" s="1" t="s">
        <v>422</v>
      </c>
      <c r="U11" s="1"/>
    </row>
    <row r="12">
      <c r="A12" s="218">
        <v>45173.92763167824</v>
      </c>
      <c r="B12" s="1"/>
      <c r="C12" s="1"/>
      <c r="D12" s="1"/>
      <c r="E12" s="1"/>
      <c r="F12" s="1"/>
      <c r="G12" s="1"/>
      <c r="H12" s="1"/>
      <c r="I12" s="1"/>
      <c r="J12" s="219"/>
      <c r="K12" s="219"/>
      <c r="L12" s="219"/>
      <c r="M12" s="219"/>
      <c r="N12" s="1"/>
      <c r="O12" s="1"/>
      <c r="P12" s="1"/>
      <c r="Q12" s="1"/>
      <c r="R12" s="1"/>
      <c r="S12" s="1" t="e">
        <v>#N/A</v>
      </c>
      <c r="T12" s="1" t="e">
        <v>#N/A</v>
      </c>
      <c r="U12" s="1"/>
    </row>
    <row r="13">
      <c r="A13" s="218">
        <v>45173.92763167824</v>
      </c>
      <c r="B13" s="1" t="s">
        <v>58</v>
      </c>
      <c r="C13" s="1" t="s">
        <v>109</v>
      </c>
      <c r="D13" s="1">
        <v>1.0</v>
      </c>
      <c r="E13" s="1">
        <v>0.0</v>
      </c>
      <c r="F13" s="1" t="s">
        <v>846</v>
      </c>
      <c r="G13" s="1" t="s">
        <v>833</v>
      </c>
      <c r="H13" s="1" t="s">
        <v>57</v>
      </c>
      <c r="I13" s="1"/>
      <c r="J13" s="219"/>
      <c r="K13" s="219"/>
      <c r="L13" s="219"/>
      <c r="M13" s="219"/>
      <c r="N13" s="1">
        <v>27.0</v>
      </c>
      <c r="O13" s="1">
        <v>13.0</v>
      </c>
      <c r="P13" s="1">
        <v>2.0</v>
      </c>
      <c r="Q13" s="1" t="b">
        <v>1</v>
      </c>
      <c r="R13" s="1">
        <v>100.0</v>
      </c>
      <c r="S13" s="1" t="s">
        <v>354</v>
      </c>
      <c r="T13" s="1" t="s">
        <v>422</v>
      </c>
      <c r="U13" s="1"/>
    </row>
    <row r="14">
      <c r="A14" s="218">
        <v>45173.92763167824</v>
      </c>
      <c r="B14" s="1" t="s">
        <v>58</v>
      </c>
      <c r="C14" s="1" t="s">
        <v>119</v>
      </c>
      <c r="D14" s="1">
        <v>1.0</v>
      </c>
      <c r="E14" s="1">
        <v>0.0</v>
      </c>
      <c r="F14" s="1" t="s">
        <v>832</v>
      </c>
      <c r="G14" s="1" t="s">
        <v>833</v>
      </c>
      <c r="H14" s="1" t="s">
        <v>35</v>
      </c>
      <c r="I14" s="1"/>
      <c r="J14" s="219"/>
      <c r="K14" s="219"/>
      <c r="L14" s="219"/>
      <c r="M14" s="219"/>
      <c r="N14" s="1">
        <v>14.0</v>
      </c>
      <c r="O14" s="1">
        <v>0.0</v>
      </c>
      <c r="P14" s="1">
        <v>2.0</v>
      </c>
      <c r="Q14" s="1" t="b">
        <v>0</v>
      </c>
      <c r="R14" s="1">
        <v>100.0</v>
      </c>
      <c r="S14" s="1" t="s">
        <v>296</v>
      </c>
      <c r="T14" s="1" t="s">
        <v>422</v>
      </c>
      <c r="U14" s="1"/>
    </row>
    <row r="15">
      <c r="A15" s="218">
        <v>45173.92763167824</v>
      </c>
      <c r="B15" s="1" t="s">
        <v>58</v>
      </c>
      <c r="C15" s="1" t="s">
        <v>113</v>
      </c>
      <c r="D15" s="1">
        <v>1.0</v>
      </c>
      <c r="E15" s="1">
        <v>0.0</v>
      </c>
      <c r="F15" s="1" t="s">
        <v>847</v>
      </c>
      <c r="G15" s="1" t="s">
        <v>833</v>
      </c>
      <c r="H15" s="1" t="s">
        <v>61</v>
      </c>
      <c r="I15" s="1"/>
      <c r="J15" s="219"/>
      <c r="K15" s="219"/>
      <c r="L15" s="219"/>
      <c r="M15" s="219"/>
      <c r="N15" s="1">
        <v>36.0</v>
      </c>
      <c r="O15" s="1">
        <v>17.0</v>
      </c>
      <c r="P15" s="1">
        <v>2.0</v>
      </c>
      <c r="Q15" s="1" t="b">
        <v>1</v>
      </c>
      <c r="R15" s="1">
        <v>100.0</v>
      </c>
      <c r="S15" s="1" t="s">
        <v>301</v>
      </c>
      <c r="T15" s="1" t="s">
        <v>422</v>
      </c>
      <c r="U15" s="1"/>
    </row>
    <row r="16">
      <c r="A16" s="218">
        <v>45173.92763167824</v>
      </c>
      <c r="B16" s="1" t="s">
        <v>58</v>
      </c>
      <c r="C16" s="1" t="s">
        <v>105</v>
      </c>
      <c r="D16" s="1">
        <v>0.0</v>
      </c>
      <c r="E16" s="1">
        <v>1.0</v>
      </c>
      <c r="F16" s="1" t="s">
        <v>848</v>
      </c>
      <c r="G16" s="1" t="s">
        <v>833</v>
      </c>
      <c r="H16" s="1" t="s">
        <v>125</v>
      </c>
      <c r="I16" s="1"/>
      <c r="J16" s="219"/>
      <c r="K16" s="219"/>
      <c r="L16" s="219"/>
      <c r="M16" s="219"/>
      <c r="N16" s="1">
        <v>24.0</v>
      </c>
      <c r="O16" s="1">
        <v>50.0</v>
      </c>
      <c r="P16" s="1">
        <v>2.0</v>
      </c>
      <c r="Q16" s="1" t="b">
        <v>0</v>
      </c>
      <c r="R16" s="1">
        <v>100.0</v>
      </c>
      <c r="S16" s="1" t="s">
        <v>353</v>
      </c>
      <c r="T16" s="1" t="s">
        <v>423</v>
      </c>
      <c r="U16" s="1"/>
    </row>
    <row r="17">
      <c r="A17" s="218">
        <v>45173.92763167824</v>
      </c>
      <c r="B17" s="1" t="s">
        <v>58</v>
      </c>
      <c r="C17" s="1" t="s">
        <v>118</v>
      </c>
      <c r="D17" s="1">
        <v>1.0</v>
      </c>
      <c r="E17" s="1">
        <v>0.0</v>
      </c>
      <c r="F17" s="1" t="s">
        <v>849</v>
      </c>
      <c r="G17" s="1" t="s">
        <v>833</v>
      </c>
      <c r="H17" s="1"/>
      <c r="I17" s="1"/>
      <c r="J17" s="219"/>
      <c r="K17" s="219"/>
      <c r="L17" s="219"/>
      <c r="M17" s="219"/>
      <c r="N17" s="1">
        <v>56.0</v>
      </c>
      <c r="O17" s="1">
        <v>14.0</v>
      </c>
      <c r="P17" s="1">
        <v>2.0</v>
      </c>
      <c r="Q17" s="1" t="b">
        <v>0</v>
      </c>
      <c r="R17" s="1">
        <v>100.0</v>
      </c>
      <c r="S17" s="1" t="s">
        <v>407</v>
      </c>
      <c r="T17" s="1" t="s">
        <v>423</v>
      </c>
      <c r="U17" s="1"/>
    </row>
    <row r="18">
      <c r="A18" s="218">
        <v>45173.92763167824</v>
      </c>
      <c r="B18" s="1" t="s">
        <v>58</v>
      </c>
      <c r="C18" s="1" t="s">
        <v>111</v>
      </c>
      <c r="D18" s="1">
        <v>1.0</v>
      </c>
      <c r="E18" s="1">
        <v>0.0</v>
      </c>
      <c r="F18" s="1" t="s">
        <v>850</v>
      </c>
      <c r="G18" s="1" t="s">
        <v>833</v>
      </c>
      <c r="H18" s="1"/>
      <c r="I18" s="1"/>
      <c r="J18" s="219"/>
      <c r="K18" s="219"/>
      <c r="L18" s="219"/>
      <c r="M18" s="219"/>
      <c r="N18" s="1">
        <v>21.0</v>
      </c>
      <c r="O18" s="1">
        <v>17.0</v>
      </c>
      <c r="P18" s="1">
        <v>2.0</v>
      </c>
      <c r="Q18" s="1" t="b">
        <v>0</v>
      </c>
      <c r="R18" s="1">
        <v>100.0</v>
      </c>
      <c r="S18" s="1" t="s">
        <v>355</v>
      </c>
      <c r="T18" s="1" t="s">
        <v>423</v>
      </c>
      <c r="U18" s="1"/>
    </row>
    <row r="19">
      <c r="A19" s="218">
        <v>45173.92763167824</v>
      </c>
      <c r="B19" s="1" t="s">
        <v>58</v>
      </c>
      <c r="C19" s="1" t="s">
        <v>112</v>
      </c>
      <c r="D19" s="1">
        <v>1.0</v>
      </c>
      <c r="E19" s="1">
        <v>0.0</v>
      </c>
      <c r="F19" s="1" t="s">
        <v>851</v>
      </c>
      <c r="G19" s="1" t="s">
        <v>833</v>
      </c>
      <c r="H19" s="1" t="s">
        <v>60</v>
      </c>
      <c r="I19" s="1"/>
      <c r="J19" s="219">
        <v>-38.0</v>
      </c>
      <c r="K19" s="219">
        <v>-35.5</v>
      </c>
      <c r="L19" s="219">
        <v>285.0</v>
      </c>
      <c r="M19" s="219" t="s">
        <v>852</v>
      </c>
      <c r="N19" s="1">
        <v>59.0</v>
      </c>
      <c r="O19" s="1">
        <v>14.0</v>
      </c>
      <c r="P19" s="1">
        <v>2.0</v>
      </c>
      <c r="Q19" s="1" t="b">
        <v>0</v>
      </c>
      <c r="R19" s="1">
        <v>100.0</v>
      </c>
      <c r="S19" s="1" t="s">
        <v>292</v>
      </c>
      <c r="T19" s="1" t="s">
        <v>422</v>
      </c>
      <c r="U19" s="1"/>
    </row>
    <row r="20">
      <c r="A20" s="218">
        <v>45173.92763167824</v>
      </c>
      <c r="B20" s="1" t="s">
        <v>58</v>
      </c>
      <c r="C20" s="1" t="s">
        <v>102</v>
      </c>
      <c r="D20" s="1">
        <v>1.0</v>
      </c>
      <c r="E20" s="1">
        <v>0.0</v>
      </c>
      <c r="F20" s="1" t="s">
        <v>853</v>
      </c>
      <c r="G20" s="1" t="s">
        <v>833</v>
      </c>
      <c r="H20" s="1" t="s">
        <v>67</v>
      </c>
      <c r="I20" s="1"/>
      <c r="J20" s="219">
        <v>-11.0</v>
      </c>
      <c r="K20" s="219">
        <v>-7.5</v>
      </c>
      <c r="L20" s="219">
        <v>240.0</v>
      </c>
      <c r="M20" s="219" t="s">
        <v>854</v>
      </c>
      <c r="N20" s="1">
        <v>34.0</v>
      </c>
      <c r="O20" s="1">
        <v>24.0</v>
      </c>
      <c r="P20" s="1">
        <v>2.0</v>
      </c>
      <c r="Q20" s="1" t="b">
        <v>1</v>
      </c>
      <c r="R20" s="1">
        <v>100.0</v>
      </c>
      <c r="S20" s="1" t="s">
        <v>351</v>
      </c>
      <c r="T20" s="1" t="s">
        <v>423</v>
      </c>
      <c r="U20" s="1"/>
    </row>
    <row r="21">
      <c r="A21" s="218">
        <v>45173.92763167824</v>
      </c>
      <c r="B21" s="1" t="s">
        <v>58</v>
      </c>
      <c r="C21" s="1" t="s">
        <v>116</v>
      </c>
      <c r="D21" s="1">
        <v>1.0</v>
      </c>
      <c r="E21" s="1">
        <v>0.0</v>
      </c>
      <c r="F21" s="1" t="s">
        <v>842</v>
      </c>
      <c r="G21" s="1" t="s">
        <v>833</v>
      </c>
      <c r="H21" s="1" t="s">
        <v>35</v>
      </c>
      <c r="I21" s="1"/>
      <c r="J21" s="219">
        <v>-8.0</v>
      </c>
      <c r="K21" s="219">
        <v>7.0</v>
      </c>
      <c r="L21" s="219">
        <v>-295.0</v>
      </c>
      <c r="M21" s="219" t="s">
        <v>843</v>
      </c>
      <c r="N21" s="1">
        <v>13.0</v>
      </c>
      <c r="O21" s="1">
        <v>10.0</v>
      </c>
      <c r="P21" s="1">
        <v>2.0</v>
      </c>
      <c r="Q21" s="1" t="b">
        <v>0</v>
      </c>
      <c r="R21" s="1">
        <v>100.0</v>
      </c>
      <c r="S21" s="1" t="s">
        <v>282</v>
      </c>
      <c r="T21" s="1" t="s">
        <v>422</v>
      </c>
      <c r="U21" s="1"/>
    </row>
    <row r="22">
      <c r="A22" s="218">
        <v>45173.92763167824</v>
      </c>
      <c r="B22" s="1" t="s">
        <v>58</v>
      </c>
      <c r="C22" s="1" t="s">
        <v>117</v>
      </c>
      <c r="D22" s="1">
        <v>1.0</v>
      </c>
      <c r="E22" s="1">
        <v>0.0</v>
      </c>
      <c r="F22" s="1" t="s">
        <v>855</v>
      </c>
      <c r="G22" s="1" t="s">
        <v>856</v>
      </c>
      <c r="H22" s="1" t="s">
        <v>62</v>
      </c>
      <c r="I22" s="1"/>
      <c r="J22" s="219">
        <v>10.0</v>
      </c>
      <c r="K22" s="219">
        <v>8.5</v>
      </c>
      <c r="L22" s="219">
        <v>255.0</v>
      </c>
      <c r="M22" s="219" t="s">
        <v>845</v>
      </c>
      <c r="N22" s="1">
        <v>27.0</v>
      </c>
      <c r="O22" s="1">
        <v>24.0</v>
      </c>
      <c r="P22" s="1">
        <v>2.0</v>
      </c>
      <c r="Q22" s="1" t="b">
        <v>0</v>
      </c>
      <c r="R22" s="1">
        <v>100.0</v>
      </c>
      <c r="S22" s="1" t="s">
        <v>352</v>
      </c>
      <c r="T22" s="1" t="s">
        <v>423</v>
      </c>
      <c r="U22" s="1"/>
    </row>
    <row r="23">
      <c r="A23" s="218">
        <v>45173.92763167824</v>
      </c>
      <c r="B23" s="1"/>
      <c r="C23" s="1"/>
      <c r="D23" s="1"/>
      <c r="E23" s="1"/>
      <c r="F23" s="1"/>
      <c r="G23" s="1"/>
      <c r="H23" s="1"/>
      <c r="I23" s="1"/>
      <c r="J23" s="219"/>
      <c r="K23" s="219"/>
      <c r="L23" s="219"/>
      <c r="M23" s="219"/>
      <c r="N23" s="1"/>
      <c r="O23" s="1"/>
      <c r="P23" s="1"/>
      <c r="Q23" s="1"/>
      <c r="R23" s="1"/>
      <c r="S23" s="1" t="e">
        <v>#N/A</v>
      </c>
      <c r="T23" s="1" t="e">
        <v>#N/A</v>
      </c>
      <c r="U23" s="1"/>
    </row>
    <row r="24">
      <c r="A24" s="218">
        <v>45173.92763167824</v>
      </c>
      <c r="B24" s="1" t="s">
        <v>56</v>
      </c>
      <c r="C24" s="1" t="s">
        <v>129</v>
      </c>
      <c r="D24" s="1">
        <v>0.0</v>
      </c>
      <c r="E24" s="1">
        <v>2.0</v>
      </c>
      <c r="F24" s="1" t="s">
        <v>857</v>
      </c>
      <c r="G24" s="1" t="s">
        <v>833</v>
      </c>
      <c r="H24" s="1" t="s">
        <v>57</v>
      </c>
      <c r="I24" s="1"/>
      <c r="J24" s="219"/>
      <c r="K24" s="219"/>
      <c r="L24" s="219"/>
      <c r="M24" s="219"/>
      <c r="N24" s="1">
        <v>45.0</v>
      </c>
      <c r="O24" s="1">
        <v>98.0</v>
      </c>
      <c r="P24" s="1">
        <v>2.0</v>
      </c>
      <c r="Q24" s="1" t="b">
        <v>0</v>
      </c>
      <c r="R24" s="1">
        <v>100.0</v>
      </c>
      <c r="S24" s="1" t="s">
        <v>353</v>
      </c>
      <c r="T24" s="1" t="s">
        <v>423</v>
      </c>
      <c r="U24" s="1"/>
    </row>
    <row r="25">
      <c r="A25" s="218">
        <v>45173.92763167824</v>
      </c>
      <c r="B25" s="1" t="s">
        <v>56</v>
      </c>
      <c r="C25" s="1" t="s">
        <v>120</v>
      </c>
      <c r="D25" s="1">
        <v>0.0</v>
      </c>
      <c r="E25" s="1">
        <v>1.0</v>
      </c>
      <c r="F25" s="1" t="s">
        <v>858</v>
      </c>
      <c r="G25" s="1" t="s">
        <v>833</v>
      </c>
      <c r="H25" s="1" t="s">
        <v>46</v>
      </c>
      <c r="I25" s="1"/>
      <c r="J25" s="219"/>
      <c r="K25" s="219"/>
      <c r="L25" s="219"/>
      <c r="M25" s="219"/>
      <c r="N25" s="1">
        <v>28.0</v>
      </c>
      <c r="O25" s="1">
        <v>30.0</v>
      </c>
      <c r="P25" s="1">
        <v>2.0</v>
      </c>
      <c r="Q25" s="1" t="b">
        <v>1</v>
      </c>
      <c r="R25" s="1">
        <v>100.0</v>
      </c>
      <c r="S25" s="1" t="s">
        <v>352</v>
      </c>
      <c r="T25" s="1" t="s">
        <v>423</v>
      </c>
      <c r="U25" s="1"/>
    </row>
    <row r="26">
      <c r="A26" s="218">
        <v>45173.92763167824</v>
      </c>
      <c r="B26" s="1" t="s">
        <v>56</v>
      </c>
      <c r="C26" s="1" t="s">
        <v>135</v>
      </c>
      <c r="D26" s="1">
        <v>1.0</v>
      </c>
      <c r="E26" s="1">
        <v>0.0</v>
      </c>
      <c r="F26" s="1" t="s">
        <v>859</v>
      </c>
      <c r="G26" s="1" t="s">
        <v>833</v>
      </c>
      <c r="H26" s="1"/>
      <c r="I26" s="1"/>
      <c r="J26" s="219">
        <v>-16.5</v>
      </c>
      <c r="K26" s="219">
        <v>-20.5</v>
      </c>
      <c r="L26" s="219">
        <v>920.0</v>
      </c>
      <c r="M26" s="219" t="s">
        <v>854</v>
      </c>
      <c r="N26" s="1">
        <v>38.0</v>
      </c>
      <c r="O26" s="1">
        <v>15.0</v>
      </c>
      <c r="P26" s="1">
        <v>2.0</v>
      </c>
      <c r="Q26" s="1" t="b">
        <v>1</v>
      </c>
      <c r="R26" s="1">
        <v>100.0</v>
      </c>
      <c r="S26" s="1" t="s">
        <v>282</v>
      </c>
      <c r="T26" s="1" t="s">
        <v>422</v>
      </c>
      <c r="U26" s="1"/>
    </row>
    <row r="27">
      <c r="A27" s="218">
        <v>45173.92763167824</v>
      </c>
      <c r="B27" s="1" t="s">
        <v>56</v>
      </c>
      <c r="C27" s="1" t="s">
        <v>126</v>
      </c>
      <c r="D27" s="1">
        <v>1.0</v>
      </c>
      <c r="E27" s="1">
        <v>0.0</v>
      </c>
      <c r="F27" s="1" t="s">
        <v>860</v>
      </c>
      <c r="G27" s="1" t="s">
        <v>833</v>
      </c>
      <c r="H27" s="1" t="s">
        <v>59</v>
      </c>
      <c r="I27" s="1"/>
      <c r="J27" s="219"/>
      <c r="K27" s="219"/>
      <c r="L27" s="219"/>
      <c r="M27" s="219"/>
      <c r="N27" s="1">
        <v>42.0</v>
      </c>
      <c r="O27" s="1">
        <v>31.0</v>
      </c>
      <c r="P27" s="1">
        <v>2.0</v>
      </c>
      <c r="Q27" s="1" t="b">
        <v>0</v>
      </c>
      <c r="R27" s="1">
        <v>100.0</v>
      </c>
      <c r="S27" s="1" t="s">
        <v>355</v>
      </c>
      <c r="T27" s="1" t="s">
        <v>423</v>
      </c>
      <c r="U27" s="1"/>
    </row>
    <row r="28">
      <c r="A28" s="218">
        <v>45173.92763167824</v>
      </c>
      <c r="B28" s="1" t="s">
        <v>56</v>
      </c>
      <c r="C28" s="1" t="s">
        <v>123</v>
      </c>
      <c r="D28" s="1">
        <v>0.0</v>
      </c>
      <c r="E28" s="1">
        <v>1.0</v>
      </c>
      <c r="F28" s="1" t="s">
        <v>861</v>
      </c>
      <c r="G28" s="1" t="s">
        <v>833</v>
      </c>
      <c r="H28" s="1" t="s">
        <v>67</v>
      </c>
      <c r="I28" s="1"/>
      <c r="J28" s="219"/>
      <c r="K28" s="219"/>
      <c r="L28" s="219"/>
      <c r="M28" s="219"/>
      <c r="N28" s="1">
        <v>13.0</v>
      </c>
      <c r="O28" s="1">
        <v>17.0</v>
      </c>
      <c r="P28" s="1">
        <v>2.0</v>
      </c>
      <c r="Q28" s="1" t="b">
        <v>1</v>
      </c>
      <c r="R28" s="1">
        <v>100.0</v>
      </c>
      <c r="S28" s="1" t="s">
        <v>351</v>
      </c>
      <c r="T28" s="1" t="s">
        <v>423</v>
      </c>
      <c r="U28" s="1"/>
    </row>
    <row r="29">
      <c r="A29" s="218">
        <v>45173.92763167824</v>
      </c>
      <c r="B29" s="1" t="s">
        <v>56</v>
      </c>
      <c r="C29" s="1" t="s">
        <v>133</v>
      </c>
      <c r="D29" s="1">
        <v>1.0</v>
      </c>
      <c r="E29" s="1">
        <v>0.0</v>
      </c>
      <c r="F29" s="1" t="s">
        <v>862</v>
      </c>
      <c r="G29" s="1" t="s">
        <v>833</v>
      </c>
      <c r="H29" s="1"/>
      <c r="I29" s="1"/>
      <c r="J29" s="219"/>
      <c r="K29" s="219"/>
      <c r="L29" s="219"/>
      <c r="M29" s="219"/>
      <c r="N29" s="1">
        <v>42.0</v>
      </c>
      <c r="O29" s="1">
        <v>20.0</v>
      </c>
      <c r="P29" s="1">
        <v>2.0</v>
      </c>
      <c r="Q29" s="1" t="b">
        <v>0</v>
      </c>
      <c r="R29" s="1">
        <v>100.0</v>
      </c>
      <c r="S29" s="1" t="s">
        <v>407</v>
      </c>
      <c r="T29" s="1" t="s">
        <v>423</v>
      </c>
      <c r="U29" s="1"/>
    </row>
    <row r="30">
      <c r="A30" s="218">
        <v>45173.92763167824</v>
      </c>
      <c r="B30" s="1" t="s">
        <v>56</v>
      </c>
      <c r="C30" s="1" t="s">
        <v>130</v>
      </c>
      <c r="D30" s="1">
        <v>1.0</v>
      </c>
      <c r="E30" s="1">
        <v>0.0</v>
      </c>
      <c r="F30" s="1" t="s">
        <v>863</v>
      </c>
      <c r="G30" s="1" t="s">
        <v>833</v>
      </c>
      <c r="H30" s="1"/>
      <c r="I30" s="1"/>
      <c r="J30" s="219"/>
      <c r="K30" s="219"/>
      <c r="L30" s="219"/>
      <c r="M30" s="219"/>
      <c r="N30" s="1">
        <v>65.0</v>
      </c>
      <c r="O30" s="1">
        <v>0.0</v>
      </c>
      <c r="P30" s="1">
        <v>2.0</v>
      </c>
      <c r="Q30" s="1" t="b">
        <v>0</v>
      </c>
      <c r="R30" s="1">
        <v>100.0</v>
      </c>
      <c r="S30" s="1" t="s">
        <v>301</v>
      </c>
      <c r="T30" s="1" t="s">
        <v>422</v>
      </c>
      <c r="U30" s="1"/>
    </row>
    <row r="31">
      <c r="A31" s="218">
        <v>45173.92763167824</v>
      </c>
      <c r="B31" s="1" t="s">
        <v>56</v>
      </c>
      <c r="C31" s="1" t="s">
        <v>128</v>
      </c>
      <c r="D31" s="1">
        <v>2.0</v>
      </c>
      <c r="E31" s="1">
        <v>0.0</v>
      </c>
      <c r="F31" s="1" t="s">
        <v>864</v>
      </c>
      <c r="G31" s="1" t="s">
        <v>833</v>
      </c>
      <c r="H31" s="1"/>
      <c r="I31" s="1"/>
      <c r="J31" s="219"/>
      <c r="K31" s="219"/>
      <c r="L31" s="219"/>
      <c r="M31" s="219"/>
      <c r="N31" s="1">
        <v>98.0</v>
      </c>
      <c r="O31" s="1">
        <v>6.0</v>
      </c>
      <c r="P31" s="1">
        <v>2.0</v>
      </c>
      <c r="Q31" s="1" t="b">
        <v>0</v>
      </c>
      <c r="R31" s="1">
        <v>100.0</v>
      </c>
      <c r="S31" s="1" t="s">
        <v>354</v>
      </c>
      <c r="T31" s="1" t="s">
        <v>422</v>
      </c>
      <c r="U31" s="1"/>
    </row>
    <row r="32">
      <c r="A32" s="218">
        <v>45173.92763167824</v>
      </c>
      <c r="B32" s="1" t="s">
        <v>56</v>
      </c>
      <c r="C32" s="1" t="s">
        <v>124</v>
      </c>
      <c r="D32" s="1">
        <v>1.0</v>
      </c>
      <c r="E32" s="1">
        <v>0.0</v>
      </c>
      <c r="F32" s="1" t="s">
        <v>865</v>
      </c>
      <c r="G32" s="1" t="s">
        <v>833</v>
      </c>
      <c r="H32" s="1"/>
      <c r="I32" s="1"/>
      <c r="J32" s="219"/>
      <c r="K32" s="219"/>
      <c r="L32" s="219"/>
      <c r="M32" s="219"/>
      <c r="N32" s="1">
        <v>30.0</v>
      </c>
      <c r="O32" s="1">
        <v>9.0</v>
      </c>
      <c r="P32" s="1">
        <v>2.0</v>
      </c>
      <c r="Q32" s="1" t="b">
        <v>0</v>
      </c>
      <c r="R32" s="1">
        <v>100.0</v>
      </c>
      <c r="S32" s="1" t="s">
        <v>296</v>
      </c>
      <c r="T32" s="1" t="s">
        <v>422</v>
      </c>
      <c r="U32" s="1"/>
    </row>
    <row r="33">
      <c r="A33" s="218">
        <v>45173.92763167824</v>
      </c>
      <c r="B33" s="1" t="s">
        <v>56</v>
      </c>
      <c r="C33" s="1" t="s">
        <v>127</v>
      </c>
      <c r="D33" s="1">
        <v>0.0</v>
      </c>
      <c r="E33" s="1">
        <v>1.0</v>
      </c>
      <c r="F33" s="1" t="s">
        <v>866</v>
      </c>
      <c r="G33" s="1" t="s">
        <v>833</v>
      </c>
      <c r="H33" s="1" t="s">
        <v>59</v>
      </c>
      <c r="I33" s="1"/>
      <c r="J33" s="219">
        <v>9.0</v>
      </c>
      <c r="K33" s="219">
        <v>6.5</v>
      </c>
      <c r="L33" s="219">
        <v>210.0</v>
      </c>
      <c r="M33" s="219" t="s">
        <v>867</v>
      </c>
      <c r="N33" s="1">
        <v>11.0</v>
      </c>
      <c r="O33" s="1">
        <v>24.0</v>
      </c>
      <c r="P33" s="1">
        <v>2.0</v>
      </c>
      <c r="Q33" s="1" t="b">
        <v>1</v>
      </c>
      <c r="R33" s="1">
        <v>100.0</v>
      </c>
      <c r="S33" s="1" t="s">
        <v>292</v>
      </c>
      <c r="T33" s="1" t="s">
        <v>422</v>
      </c>
      <c r="U33" s="1"/>
    </row>
    <row r="34">
      <c r="A34" s="218">
        <v>45173.92763167824</v>
      </c>
      <c r="B34" s="1"/>
      <c r="C34" s="1"/>
      <c r="D34" s="1"/>
      <c r="E34" s="1"/>
      <c r="F34" s="1"/>
      <c r="G34" s="1"/>
      <c r="H34" s="1"/>
      <c r="I34" s="1"/>
      <c r="J34" s="219"/>
      <c r="K34" s="219"/>
      <c r="L34" s="219"/>
      <c r="M34" s="219"/>
      <c r="N34" s="1"/>
      <c r="O34" s="1"/>
      <c r="P34" s="1"/>
      <c r="Q34" s="1"/>
      <c r="R34" s="1"/>
      <c r="S34" s="1" t="e">
        <v>#N/A</v>
      </c>
      <c r="T34" s="1" t="e">
        <v>#N/A</v>
      </c>
      <c r="U34" s="1"/>
    </row>
    <row r="35">
      <c r="A35" s="218">
        <v>45173.92763167824</v>
      </c>
      <c r="B35" s="1" t="s">
        <v>60</v>
      </c>
      <c r="C35" s="1" t="s">
        <v>175</v>
      </c>
      <c r="D35" s="1">
        <v>1.0</v>
      </c>
      <c r="E35" s="1">
        <v>0.0</v>
      </c>
      <c r="F35" s="1" t="s">
        <v>868</v>
      </c>
      <c r="G35" s="1" t="s">
        <v>833</v>
      </c>
      <c r="H35" s="1"/>
      <c r="I35" s="1"/>
      <c r="J35" s="219"/>
      <c r="K35" s="219"/>
      <c r="L35" s="219"/>
      <c r="M35" s="219"/>
      <c r="N35" s="1">
        <v>38.0</v>
      </c>
      <c r="O35" s="1">
        <v>13.0</v>
      </c>
      <c r="P35" s="1">
        <v>2.0</v>
      </c>
      <c r="Q35" s="1" t="b">
        <v>0</v>
      </c>
      <c r="R35" s="1">
        <v>100.0</v>
      </c>
      <c r="S35" s="1" t="s">
        <v>355</v>
      </c>
      <c r="T35" s="1" t="s">
        <v>423</v>
      </c>
      <c r="U35" s="1"/>
    </row>
    <row r="36">
      <c r="A36" s="218">
        <v>45173.92763167824</v>
      </c>
      <c r="B36" s="1" t="s">
        <v>60</v>
      </c>
      <c r="C36" s="1" t="s">
        <v>137</v>
      </c>
      <c r="D36" s="1">
        <v>1.0</v>
      </c>
      <c r="E36" s="1">
        <v>0.0</v>
      </c>
      <c r="F36" s="1" t="s">
        <v>869</v>
      </c>
      <c r="G36" s="1" t="s">
        <v>833</v>
      </c>
      <c r="H36" s="1" t="s">
        <v>61</v>
      </c>
      <c r="I36" s="1"/>
      <c r="J36" s="219"/>
      <c r="K36" s="219"/>
      <c r="L36" s="219"/>
      <c r="M36" s="219"/>
      <c r="N36" s="1">
        <v>56.0</v>
      </c>
      <c r="O36" s="1">
        <v>7.0</v>
      </c>
      <c r="P36" s="1">
        <v>2.0</v>
      </c>
      <c r="Q36" s="1" t="b">
        <v>0</v>
      </c>
      <c r="R36" s="1">
        <v>100.0</v>
      </c>
      <c r="S36" s="1" t="s">
        <v>292</v>
      </c>
      <c r="T36" s="1" t="s">
        <v>422</v>
      </c>
      <c r="U36" s="1"/>
    </row>
    <row r="37">
      <c r="A37" s="218">
        <v>45173.92763167824</v>
      </c>
      <c r="B37" s="1" t="s">
        <v>60</v>
      </c>
      <c r="C37" s="1" t="s">
        <v>176</v>
      </c>
      <c r="D37" s="1">
        <v>1.0</v>
      </c>
      <c r="E37" s="1">
        <v>1.0</v>
      </c>
      <c r="F37" s="1" t="s">
        <v>851</v>
      </c>
      <c r="G37" s="1" t="s">
        <v>833</v>
      </c>
      <c r="H37" s="1" t="s">
        <v>58</v>
      </c>
      <c r="I37" s="1"/>
      <c r="J37" s="219"/>
      <c r="K37" s="219"/>
      <c r="L37" s="219"/>
      <c r="M37" s="219"/>
      <c r="N37" s="1">
        <v>55.0</v>
      </c>
      <c r="O37" s="1">
        <v>89.0</v>
      </c>
      <c r="P37" s="1">
        <v>2.0</v>
      </c>
      <c r="Q37" s="1" t="b">
        <v>1</v>
      </c>
      <c r="R37" s="1">
        <v>100.0</v>
      </c>
      <c r="S37" s="1" t="s">
        <v>351</v>
      </c>
      <c r="T37" s="1" t="s">
        <v>423</v>
      </c>
      <c r="U37" s="1"/>
    </row>
    <row r="38">
      <c r="A38" s="218">
        <v>45173.92763167824</v>
      </c>
      <c r="B38" s="1" t="s">
        <v>60</v>
      </c>
      <c r="C38" s="1" t="s">
        <v>139</v>
      </c>
      <c r="D38" s="1">
        <v>1.0</v>
      </c>
      <c r="E38" s="1">
        <v>0.0</v>
      </c>
      <c r="F38" s="1" t="s">
        <v>870</v>
      </c>
      <c r="G38" s="1" t="s">
        <v>833</v>
      </c>
      <c r="H38" s="1" t="s">
        <v>69</v>
      </c>
      <c r="I38" s="1"/>
      <c r="J38" s="219">
        <v>-13.5</v>
      </c>
      <c r="K38" s="219">
        <v>-21.5</v>
      </c>
      <c r="L38" s="219">
        <v>720.0</v>
      </c>
      <c r="M38" s="219" t="s">
        <v>871</v>
      </c>
      <c r="N38" s="1">
        <v>38.0</v>
      </c>
      <c r="O38" s="1">
        <v>14.0</v>
      </c>
      <c r="P38" s="1">
        <v>2.0</v>
      </c>
      <c r="Q38" s="1" t="b">
        <v>0</v>
      </c>
      <c r="R38" s="1">
        <v>100.0</v>
      </c>
      <c r="S38" s="1" t="s">
        <v>407</v>
      </c>
      <c r="T38" s="1" t="s">
        <v>423</v>
      </c>
      <c r="U38" s="1"/>
    </row>
    <row r="39">
      <c r="A39" s="218">
        <v>45173.92763167824</v>
      </c>
      <c r="B39" s="1" t="s">
        <v>60</v>
      </c>
      <c r="C39" s="1" t="s">
        <v>179</v>
      </c>
      <c r="D39" s="1">
        <v>1.0</v>
      </c>
      <c r="E39" s="1">
        <v>0.0</v>
      </c>
      <c r="F39" s="1" t="s">
        <v>872</v>
      </c>
      <c r="G39" s="1" t="s">
        <v>833</v>
      </c>
      <c r="H39" s="1" t="s">
        <v>69</v>
      </c>
      <c r="I39" s="1"/>
      <c r="J39" s="219">
        <v>-32.5</v>
      </c>
      <c r="K39" s="219">
        <v>-36.5</v>
      </c>
      <c r="L39" s="219">
        <v>8000.0</v>
      </c>
      <c r="M39" s="219" t="s">
        <v>235</v>
      </c>
      <c r="N39" s="1">
        <v>73.0</v>
      </c>
      <c r="O39" s="1">
        <v>0.0</v>
      </c>
      <c r="P39" s="1">
        <v>2.0</v>
      </c>
      <c r="Q39" s="1" t="b">
        <v>0</v>
      </c>
      <c r="R39" s="1">
        <v>100.0</v>
      </c>
      <c r="S39" s="1" t="s">
        <v>296</v>
      </c>
      <c r="T39" s="1" t="s">
        <v>422</v>
      </c>
      <c r="U39" s="1"/>
    </row>
    <row r="40">
      <c r="A40" s="218">
        <v>45173.92763167824</v>
      </c>
      <c r="B40" s="1" t="s">
        <v>60</v>
      </c>
      <c r="C40" s="1" t="s">
        <v>177</v>
      </c>
      <c r="D40" s="1">
        <v>0.0</v>
      </c>
      <c r="E40" s="1">
        <v>1.0</v>
      </c>
      <c r="F40" s="1" t="s">
        <v>873</v>
      </c>
      <c r="G40" s="1" t="s">
        <v>833</v>
      </c>
      <c r="H40" s="1" t="s">
        <v>70</v>
      </c>
      <c r="I40" s="1"/>
      <c r="J40" s="219">
        <v>26.0</v>
      </c>
      <c r="K40" s="219">
        <v>25.5</v>
      </c>
      <c r="L40" s="219">
        <v>1600.0</v>
      </c>
      <c r="M40" s="219" t="s">
        <v>874</v>
      </c>
      <c r="N40" s="1">
        <v>14.0</v>
      </c>
      <c r="O40" s="1">
        <v>44.0</v>
      </c>
      <c r="P40" s="1">
        <v>2.0</v>
      </c>
      <c r="Q40" s="1" t="b">
        <v>0</v>
      </c>
      <c r="R40" s="1">
        <v>100.0</v>
      </c>
      <c r="S40" s="1" t="s">
        <v>352</v>
      </c>
      <c r="T40" s="1" t="s">
        <v>423</v>
      </c>
      <c r="U40" s="1"/>
    </row>
    <row r="41">
      <c r="A41" s="218">
        <v>45173.92763167824</v>
      </c>
      <c r="B41" s="1" t="s">
        <v>60</v>
      </c>
      <c r="C41" s="1" t="s">
        <v>173</v>
      </c>
      <c r="D41" s="1">
        <v>0.0</v>
      </c>
      <c r="E41" s="1">
        <v>2.0</v>
      </c>
      <c r="F41" s="1" t="s">
        <v>875</v>
      </c>
      <c r="G41" s="1" t="s">
        <v>833</v>
      </c>
      <c r="H41" s="1" t="s">
        <v>70</v>
      </c>
      <c r="I41" s="1"/>
      <c r="J41" s="219"/>
      <c r="K41" s="219"/>
      <c r="L41" s="219"/>
      <c r="M41" s="219"/>
      <c r="N41" s="1">
        <v>52.0</v>
      </c>
      <c r="O41" s="1">
        <v>72.0</v>
      </c>
      <c r="P41" s="1">
        <v>2.0</v>
      </c>
      <c r="Q41" s="1" t="b">
        <v>0</v>
      </c>
      <c r="R41" s="1">
        <v>100.0</v>
      </c>
      <c r="S41" s="1" t="s">
        <v>353</v>
      </c>
      <c r="T41" s="1" t="s">
        <v>423</v>
      </c>
      <c r="U41" s="1"/>
    </row>
    <row r="42">
      <c r="A42" s="218">
        <v>45173.92763167824</v>
      </c>
      <c r="B42" s="1" t="s">
        <v>60</v>
      </c>
      <c r="C42" s="1" t="s">
        <v>174</v>
      </c>
      <c r="D42" s="1">
        <v>1.0</v>
      </c>
      <c r="E42" s="1">
        <v>0.0</v>
      </c>
      <c r="F42" s="1" t="s">
        <v>876</v>
      </c>
      <c r="G42" s="1" t="s">
        <v>833</v>
      </c>
      <c r="H42" s="1"/>
      <c r="I42" s="1"/>
      <c r="J42" s="219"/>
      <c r="K42" s="219"/>
      <c r="L42" s="219"/>
      <c r="M42" s="219"/>
      <c r="N42" s="1">
        <v>24.0</v>
      </c>
      <c r="O42" s="1">
        <v>21.0</v>
      </c>
      <c r="P42" s="1">
        <v>2.0</v>
      </c>
      <c r="Q42" s="1" t="b">
        <v>0</v>
      </c>
      <c r="R42" s="1">
        <v>100.0</v>
      </c>
      <c r="S42" s="1" t="s">
        <v>354</v>
      </c>
      <c r="T42" s="1" t="s">
        <v>422</v>
      </c>
      <c r="U42" s="1"/>
    </row>
    <row r="43">
      <c r="A43" s="218">
        <v>45173.92763167824</v>
      </c>
      <c r="B43" s="1" t="s">
        <v>60</v>
      </c>
      <c r="C43" s="1" t="s">
        <v>178</v>
      </c>
      <c r="D43" s="1">
        <v>1.0</v>
      </c>
      <c r="E43" s="1">
        <v>0.0</v>
      </c>
      <c r="F43" s="1" t="s">
        <v>877</v>
      </c>
      <c r="G43" s="1" t="s">
        <v>833</v>
      </c>
      <c r="H43" s="1" t="s">
        <v>125</v>
      </c>
      <c r="I43" s="1"/>
      <c r="J43" s="219">
        <v>-14.5</v>
      </c>
      <c r="K43" s="219">
        <v>-14.5</v>
      </c>
      <c r="L43" s="219">
        <v>580.0</v>
      </c>
      <c r="M43" s="219" t="s">
        <v>878</v>
      </c>
      <c r="N43" s="1">
        <v>31.0</v>
      </c>
      <c r="O43" s="1">
        <v>7.0</v>
      </c>
      <c r="P43" s="1">
        <v>2.0</v>
      </c>
      <c r="Q43" s="1" t="b">
        <v>1</v>
      </c>
      <c r="R43" s="1">
        <v>100.0</v>
      </c>
      <c r="S43" s="1" t="s">
        <v>282</v>
      </c>
      <c r="T43" s="1" t="s">
        <v>422</v>
      </c>
      <c r="U43" s="1"/>
    </row>
    <row r="44">
      <c r="A44" s="218">
        <v>45173.92763167824</v>
      </c>
      <c r="B44" s="1" t="s">
        <v>60</v>
      </c>
      <c r="C44" s="1" t="s">
        <v>164</v>
      </c>
      <c r="D44" s="1">
        <v>1.0</v>
      </c>
      <c r="E44" s="1">
        <v>0.0</v>
      </c>
      <c r="F44" s="1" t="s">
        <v>879</v>
      </c>
      <c r="G44" s="1" t="s">
        <v>833</v>
      </c>
      <c r="H44" s="1" t="s">
        <v>59</v>
      </c>
      <c r="I44" s="1"/>
      <c r="J44" s="219">
        <v>-8.0</v>
      </c>
      <c r="K44" s="219">
        <v>-7.5</v>
      </c>
      <c r="L44" s="219">
        <v>-315.0</v>
      </c>
      <c r="M44" s="219" t="s">
        <v>854</v>
      </c>
      <c r="N44" s="1">
        <v>39.0</v>
      </c>
      <c r="O44" s="1">
        <v>34.0</v>
      </c>
      <c r="P44" s="1">
        <v>2.0</v>
      </c>
      <c r="Q44" s="1" t="b">
        <v>0</v>
      </c>
      <c r="R44" s="1">
        <v>100.0</v>
      </c>
      <c r="S44" s="1" t="s">
        <v>301</v>
      </c>
      <c r="T44" s="1" t="s">
        <v>422</v>
      </c>
      <c r="U44" s="1"/>
    </row>
    <row r="45">
      <c r="A45" s="218">
        <v>45173.92763167824</v>
      </c>
      <c r="B45" s="1"/>
      <c r="C45" s="1"/>
      <c r="D45" s="1"/>
      <c r="E45" s="1"/>
      <c r="F45" s="1"/>
      <c r="G45" s="1"/>
      <c r="H45" s="1"/>
      <c r="I45" s="1"/>
      <c r="J45" s="219"/>
      <c r="K45" s="219"/>
      <c r="L45" s="219"/>
      <c r="M45" s="219"/>
      <c r="N45" s="1"/>
      <c r="O45" s="1"/>
      <c r="P45" s="1"/>
      <c r="Q45" s="1"/>
      <c r="R45" s="1"/>
      <c r="S45" s="1" t="e">
        <v>#N/A</v>
      </c>
      <c r="T45" s="1" t="e">
        <v>#N/A</v>
      </c>
      <c r="U45" s="1"/>
    </row>
    <row r="46">
      <c r="A46" s="218">
        <v>45173.92763167824</v>
      </c>
      <c r="B46" s="1" t="s">
        <v>46</v>
      </c>
      <c r="C46" s="1" t="s">
        <v>184</v>
      </c>
      <c r="D46" s="1">
        <v>0.0</v>
      </c>
      <c r="E46" s="1">
        <v>1.0</v>
      </c>
      <c r="F46" s="1"/>
      <c r="G46" s="1"/>
      <c r="H46" s="1"/>
      <c r="I46" s="1" t="s">
        <v>880</v>
      </c>
      <c r="J46" s="219"/>
      <c r="K46" s="219"/>
      <c r="L46" s="219"/>
      <c r="M46" s="219"/>
      <c r="N46" s="1">
        <v>17.0</v>
      </c>
      <c r="O46" s="1">
        <v>31.0</v>
      </c>
      <c r="P46" s="1">
        <v>0.0</v>
      </c>
      <c r="Q46" s="1" t="b">
        <v>1</v>
      </c>
      <c r="R46" s="1">
        <v>59.0</v>
      </c>
      <c r="S46" s="1" t="s">
        <v>292</v>
      </c>
      <c r="T46" s="1" t="s">
        <v>422</v>
      </c>
      <c r="U46" s="1"/>
    </row>
    <row r="47">
      <c r="A47" s="218">
        <v>45173.92763167824</v>
      </c>
      <c r="B47" s="1" t="s">
        <v>46</v>
      </c>
      <c r="C47" s="1" t="s">
        <v>187</v>
      </c>
      <c r="D47" s="1">
        <v>1.0</v>
      </c>
      <c r="E47" s="1">
        <v>0.0</v>
      </c>
      <c r="F47" s="1" t="s">
        <v>881</v>
      </c>
      <c r="G47" s="1" t="s">
        <v>833</v>
      </c>
      <c r="H47" s="1" t="s">
        <v>70</v>
      </c>
      <c r="I47" s="1"/>
      <c r="J47" s="219"/>
      <c r="K47" s="219"/>
      <c r="L47" s="219"/>
      <c r="M47" s="219"/>
      <c r="N47" s="1">
        <v>28.0</v>
      </c>
      <c r="O47" s="1">
        <v>7.0</v>
      </c>
      <c r="P47" s="1">
        <v>2.0</v>
      </c>
      <c r="Q47" s="1" t="b">
        <v>1</v>
      </c>
      <c r="R47" s="1">
        <v>100.0</v>
      </c>
      <c r="S47" s="1" t="s">
        <v>301</v>
      </c>
      <c r="T47" s="1" t="s">
        <v>422</v>
      </c>
      <c r="U47" s="1"/>
    </row>
    <row r="48">
      <c r="A48" s="218">
        <v>45173.92763167824</v>
      </c>
      <c r="B48" s="1" t="s">
        <v>46</v>
      </c>
      <c r="C48" s="1" t="s">
        <v>185</v>
      </c>
      <c r="D48" s="1">
        <v>1.0</v>
      </c>
      <c r="E48" s="1">
        <v>0.0</v>
      </c>
      <c r="F48" s="1" t="s">
        <v>882</v>
      </c>
      <c r="G48" s="1" t="s">
        <v>833</v>
      </c>
      <c r="H48" s="1" t="s">
        <v>125</v>
      </c>
      <c r="I48" s="1"/>
      <c r="J48" s="219"/>
      <c r="K48" s="219"/>
      <c r="L48" s="219"/>
      <c r="M48" s="219"/>
      <c r="N48" s="1">
        <v>24.0</v>
      </c>
      <c r="O48" s="1">
        <v>7.0</v>
      </c>
      <c r="P48" s="1">
        <v>2.0</v>
      </c>
      <c r="Q48" s="1" t="b">
        <v>1</v>
      </c>
      <c r="R48" s="1">
        <v>100.0</v>
      </c>
      <c r="S48" s="1" t="s">
        <v>351</v>
      </c>
      <c r="T48" s="1" t="s">
        <v>423</v>
      </c>
      <c r="U48" s="1"/>
    </row>
    <row r="49">
      <c r="A49" s="218">
        <v>45173.92763167824</v>
      </c>
      <c r="B49" s="1" t="s">
        <v>46</v>
      </c>
      <c r="C49" s="1" t="s">
        <v>182</v>
      </c>
      <c r="D49" s="1">
        <v>1.0</v>
      </c>
      <c r="E49" s="1">
        <v>0.0</v>
      </c>
      <c r="F49" s="1" t="s">
        <v>883</v>
      </c>
      <c r="G49" s="1" t="s">
        <v>833</v>
      </c>
      <c r="H49" s="1" t="s">
        <v>67</v>
      </c>
      <c r="I49" s="1"/>
      <c r="J49" s="219"/>
      <c r="K49" s="219"/>
      <c r="L49" s="219"/>
      <c r="M49" s="219"/>
      <c r="N49" s="1">
        <v>37.0</v>
      </c>
      <c r="O49" s="1">
        <v>17.0</v>
      </c>
      <c r="P49" s="1">
        <v>2.0</v>
      </c>
      <c r="Q49" s="1" t="b">
        <v>0</v>
      </c>
      <c r="R49" s="1">
        <v>100.0</v>
      </c>
      <c r="S49" s="1" t="s">
        <v>407</v>
      </c>
      <c r="T49" s="1" t="s">
        <v>423</v>
      </c>
      <c r="U49" s="1"/>
    </row>
    <row r="50">
      <c r="A50" s="218">
        <v>45173.92763167824</v>
      </c>
      <c r="B50" s="1" t="s">
        <v>46</v>
      </c>
      <c r="C50" s="1" t="s">
        <v>186</v>
      </c>
      <c r="D50" s="1">
        <v>1.0</v>
      </c>
      <c r="E50" s="1">
        <v>0.0</v>
      </c>
      <c r="F50" s="1" t="s">
        <v>858</v>
      </c>
      <c r="G50" s="1" t="s">
        <v>833</v>
      </c>
      <c r="H50" s="1" t="s">
        <v>56</v>
      </c>
      <c r="I50" s="1"/>
      <c r="J50" s="219"/>
      <c r="K50" s="219"/>
      <c r="L50" s="219"/>
      <c r="M50" s="219"/>
      <c r="N50" s="1">
        <v>30.0</v>
      </c>
      <c r="O50" s="1">
        <v>28.0</v>
      </c>
      <c r="P50" s="1">
        <v>2.0</v>
      </c>
      <c r="Q50" s="1" t="b">
        <v>0</v>
      </c>
      <c r="R50" s="1">
        <v>100.0</v>
      </c>
      <c r="S50" s="1" t="s">
        <v>282</v>
      </c>
      <c r="T50" s="1" t="s">
        <v>422</v>
      </c>
      <c r="U50" s="1"/>
    </row>
    <row r="51">
      <c r="A51" s="218">
        <v>45173.92763167824</v>
      </c>
      <c r="B51" s="1" t="s">
        <v>46</v>
      </c>
      <c r="C51" s="1" t="s">
        <v>181</v>
      </c>
      <c r="D51" s="1">
        <v>1.0</v>
      </c>
      <c r="E51" s="1">
        <v>0.0</v>
      </c>
      <c r="F51" s="1" t="s">
        <v>884</v>
      </c>
      <c r="G51" s="1" t="s">
        <v>833</v>
      </c>
      <c r="H51" s="1"/>
      <c r="I51" s="1"/>
      <c r="J51" s="219"/>
      <c r="K51" s="219"/>
      <c r="L51" s="219"/>
      <c r="M51" s="219"/>
      <c r="N51" s="1">
        <v>48.0</v>
      </c>
      <c r="O51" s="1">
        <v>30.0</v>
      </c>
      <c r="P51" s="1">
        <v>2.0</v>
      </c>
      <c r="Q51" s="1" t="b">
        <v>0</v>
      </c>
      <c r="R51" s="1">
        <v>100.0</v>
      </c>
      <c r="S51" s="1" t="s">
        <v>355</v>
      </c>
      <c r="T51" s="1" t="s">
        <v>423</v>
      </c>
      <c r="U51" s="1"/>
    </row>
    <row r="52">
      <c r="A52" s="218">
        <v>45173.92763167824</v>
      </c>
      <c r="B52" s="1" t="s">
        <v>46</v>
      </c>
      <c r="C52" s="1" t="s">
        <v>180</v>
      </c>
      <c r="D52" s="1">
        <v>1.0</v>
      </c>
      <c r="E52" s="1">
        <v>0.0</v>
      </c>
      <c r="F52" s="1" t="s">
        <v>885</v>
      </c>
      <c r="G52" s="1" t="s">
        <v>833</v>
      </c>
      <c r="H52" s="1" t="s">
        <v>59</v>
      </c>
      <c r="I52" s="1"/>
      <c r="J52" s="219">
        <v>-16.0</v>
      </c>
      <c r="K52" s="219">
        <v>-14.5</v>
      </c>
      <c r="L52" s="219">
        <v>470.0</v>
      </c>
      <c r="M52" s="219" t="s">
        <v>203</v>
      </c>
      <c r="N52" s="1">
        <v>56.0</v>
      </c>
      <c r="O52" s="1">
        <v>19.0</v>
      </c>
      <c r="P52" s="1">
        <v>2.0</v>
      </c>
      <c r="Q52" s="1" t="b">
        <v>1</v>
      </c>
      <c r="R52" s="1">
        <v>100.0</v>
      </c>
      <c r="S52" s="1" t="s">
        <v>354</v>
      </c>
      <c r="T52" s="1" t="s">
        <v>422</v>
      </c>
      <c r="U52" s="1"/>
    </row>
    <row r="53">
      <c r="A53" s="218">
        <v>45173.92763167824</v>
      </c>
      <c r="B53" s="1" t="s">
        <v>46</v>
      </c>
      <c r="C53" s="1" t="s">
        <v>189</v>
      </c>
      <c r="D53" s="1">
        <v>0.0</v>
      </c>
      <c r="E53" s="1">
        <v>1.0</v>
      </c>
      <c r="F53" s="1" t="s">
        <v>839</v>
      </c>
      <c r="G53" s="1" t="s">
        <v>833</v>
      </c>
      <c r="H53" s="1" t="s">
        <v>35</v>
      </c>
      <c r="I53" s="1"/>
      <c r="J53" s="219">
        <v>11.5</v>
      </c>
      <c r="K53" s="219">
        <v>9.5</v>
      </c>
      <c r="L53" s="219">
        <v>290.0</v>
      </c>
      <c r="M53" s="219" t="s">
        <v>840</v>
      </c>
      <c r="N53" s="1">
        <v>21.0</v>
      </c>
      <c r="O53" s="1">
        <v>24.0</v>
      </c>
      <c r="P53" s="1">
        <v>2.0</v>
      </c>
      <c r="Q53" s="1" t="b">
        <v>0</v>
      </c>
      <c r="R53" s="1">
        <v>100.0</v>
      </c>
      <c r="S53" s="1" t="s">
        <v>352</v>
      </c>
      <c r="T53" s="1" t="s">
        <v>423</v>
      </c>
      <c r="U53" s="1"/>
    </row>
    <row r="54">
      <c r="A54" s="218">
        <v>45173.92763167824</v>
      </c>
      <c r="B54" s="1" t="s">
        <v>46</v>
      </c>
      <c r="C54" s="1" t="s">
        <v>188</v>
      </c>
      <c r="D54" s="1">
        <v>0.0</v>
      </c>
      <c r="E54" s="1">
        <v>1.0</v>
      </c>
      <c r="F54" s="1" t="s">
        <v>886</v>
      </c>
      <c r="G54" s="1" t="s">
        <v>887</v>
      </c>
      <c r="H54" s="1" t="s">
        <v>46</v>
      </c>
      <c r="I54" s="1"/>
      <c r="J54" s="219"/>
      <c r="K54" s="219"/>
      <c r="L54" s="219"/>
      <c r="M54" s="219"/>
      <c r="N54" s="1">
        <v>33.0</v>
      </c>
      <c r="O54" s="1">
        <v>35.0</v>
      </c>
      <c r="P54" s="1">
        <v>2.0</v>
      </c>
      <c r="Q54" s="1" t="b">
        <v>1</v>
      </c>
      <c r="R54" s="1">
        <v>100.0</v>
      </c>
      <c r="S54" s="1" t="s">
        <v>296</v>
      </c>
      <c r="T54" s="1" t="s">
        <v>422</v>
      </c>
      <c r="U54" s="1"/>
    </row>
    <row r="55">
      <c r="A55" s="218">
        <v>45173.92763167824</v>
      </c>
      <c r="B55" s="1" t="s">
        <v>46</v>
      </c>
      <c r="C55" s="1" t="s">
        <v>183</v>
      </c>
      <c r="D55" s="1">
        <v>1.0</v>
      </c>
      <c r="E55" s="1">
        <v>0.0</v>
      </c>
      <c r="F55" s="1" t="s">
        <v>886</v>
      </c>
      <c r="G55" s="1" t="s">
        <v>887</v>
      </c>
      <c r="H55" s="1" t="s">
        <v>46</v>
      </c>
      <c r="I55" s="1"/>
      <c r="J55" s="219"/>
      <c r="K55" s="219"/>
      <c r="L55" s="219"/>
      <c r="M55" s="219"/>
      <c r="N55" s="1">
        <v>35.0</v>
      </c>
      <c r="O55" s="1">
        <v>33.0</v>
      </c>
      <c r="P55" s="1">
        <v>2.0</v>
      </c>
      <c r="Q55" s="1" t="b">
        <v>0</v>
      </c>
      <c r="R55" s="1">
        <v>100.0</v>
      </c>
      <c r="S55" s="1" t="s">
        <v>353</v>
      </c>
      <c r="T55" s="1" t="s">
        <v>423</v>
      </c>
      <c r="U55" s="1"/>
    </row>
    <row r="56">
      <c r="A56" s="218">
        <v>45173.92763167824</v>
      </c>
      <c r="B56" s="1"/>
      <c r="C56" s="1"/>
      <c r="D56" s="1"/>
      <c r="E56" s="1"/>
      <c r="F56" s="1"/>
      <c r="G56" s="1"/>
      <c r="H56" s="1"/>
      <c r="I56" s="1"/>
      <c r="J56" s="219"/>
      <c r="K56" s="219"/>
      <c r="L56" s="219"/>
      <c r="M56" s="219"/>
      <c r="N56" s="1"/>
      <c r="O56" s="1"/>
      <c r="P56" s="1"/>
      <c r="Q56" s="1"/>
      <c r="R56" s="1"/>
      <c r="S56" s="1" t="e">
        <v>#N/A</v>
      </c>
      <c r="T56" s="1" t="e">
        <v>#N/A</v>
      </c>
      <c r="U56" s="1"/>
    </row>
    <row r="57">
      <c r="A57" s="218">
        <v>45173.92763167824</v>
      </c>
      <c r="B57" s="1" t="s">
        <v>70</v>
      </c>
      <c r="C57" s="1" t="s">
        <v>195</v>
      </c>
      <c r="D57" s="1">
        <v>0.0</v>
      </c>
      <c r="E57" s="1">
        <v>1.0</v>
      </c>
      <c r="F57" s="1"/>
      <c r="G57" s="1"/>
      <c r="H57" s="1"/>
      <c r="I57" s="1" t="s">
        <v>888</v>
      </c>
      <c r="J57" s="219"/>
      <c r="K57" s="219"/>
      <c r="L57" s="219"/>
      <c r="M57" s="219"/>
      <c r="N57" s="1">
        <v>3.0</v>
      </c>
      <c r="O57" s="1">
        <v>23.0</v>
      </c>
      <c r="P57" s="1">
        <v>0.0</v>
      </c>
      <c r="Q57" s="1" t="b">
        <v>0</v>
      </c>
      <c r="R57" s="1">
        <v>59.0</v>
      </c>
      <c r="S57" s="1" t="s">
        <v>282</v>
      </c>
      <c r="T57" s="1" t="s">
        <v>422</v>
      </c>
      <c r="U57" s="1"/>
    </row>
    <row r="58">
      <c r="A58" s="218">
        <v>45173.92763167824</v>
      </c>
      <c r="B58" s="1" t="s">
        <v>70</v>
      </c>
      <c r="C58" s="1" t="s">
        <v>191</v>
      </c>
      <c r="D58" s="1">
        <v>0.0</v>
      </c>
      <c r="E58" s="1">
        <v>1.0</v>
      </c>
      <c r="F58" s="1" t="s">
        <v>881</v>
      </c>
      <c r="G58" s="1" t="s">
        <v>833</v>
      </c>
      <c r="H58" s="1" t="s">
        <v>46</v>
      </c>
      <c r="I58" s="1"/>
      <c r="J58" s="219"/>
      <c r="K58" s="219"/>
      <c r="L58" s="219"/>
      <c r="M58" s="219"/>
      <c r="N58" s="1">
        <v>7.0</v>
      </c>
      <c r="O58" s="1">
        <v>28.0</v>
      </c>
      <c r="P58" s="1">
        <v>2.0</v>
      </c>
      <c r="Q58" s="1" t="b">
        <v>0</v>
      </c>
      <c r="R58" s="1">
        <v>100.0</v>
      </c>
      <c r="S58" s="1" t="s">
        <v>301</v>
      </c>
      <c r="T58" s="1" t="s">
        <v>422</v>
      </c>
      <c r="U58" s="1"/>
    </row>
    <row r="59">
      <c r="A59" s="218">
        <v>45173.92763167824</v>
      </c>
      <c r="B59" s="1" t="s">
        <v>70</v>
      </c>
      <c r="C59" s="1" t="s">
        <v>190</v>
      </c>
      <c r="D59" s="1">
        <v>2.0</v>
      </c>
      <c r="E59" s="1">
        <v>0.0</v>
      </c>
      <c r="F59" s="1" t="s">
        <v>889</v>
      </c>
      <c r="G59" s="1" t="s">
        <v>833</v>
      </c>
      <c r="H59" s="1" t="s">
        <v>57</v>
      </c>
      <c r="I59" s="1"/>
      <c r="J59" s="219"/>
      <c r="K59" s="219"/>
      <c r="L59" s="219"/>
      <c r="M59" s="219"/>
      <c r="N59" s="1">
        <v>56.0</v>
      </c>
      <c r="O59" s="1">
        <v>41.0</v>
      </c>
      <c r="P59" s="1">
        <v>2.0</v>
      </c>
      <c r="Q59" s="1" t="b">
        <v>0</v>
      </c>
      <c r="R59" s="1">
        <v>100.0</v>
      </c>
      <c r="S59" s="1" t="s">
        <v>353</v>
      </c>
      <c r="T59" s="1" t="s">
        <v>423</v>
      </c>
      <c r="U59" s="1"/>
    </row>
    <row r="60">
      <c r="A60" s="218">
        <v>45173.92763167824</v>
      </c>
      <c r="B60" s="1" t="s">
        <v>70</v>
      </c>
      <c r="C60" s="1" t="s">
        <v>198</v>
      </c>
      <c r="D60" s="1">
        <v>0.0</v>
      </c>
      <c r="E60" s="1">
        <v>1.0</v>
      </c>
      <c r="F60" s="1" t="s">
        <v>890</v>
      </c>
      <c r="G60" s="1" t="s">
        <v>833</v>
      </c>
      <c r="H60" s="1" t="s">
        <v>57</v>
      </c>
      <c r="I60" s="1"/>
      <c r="J60" s="219"/>
      <c r="K60" s="219"/>
      <c r="L60" s="219"/>
      <c r="M60" s="219"/>
      <c r="N60" s="1">
        <v>14.0</v>
      </c>
      <c r="O60" s="1">
        <v>17.0</v>
      </c>
      <c r="P60" s="1">
        <v>2.0</v>
      </c>
      <c r="Q60" s="1" t="b">
        <v>1</v>
      </c>
      <c r="R60" s="1">
        <v>100.0</v>
      </c>
      <c r="S60" s="1" t="s">
        <v>407</v>
      </c>
      <c r="T60" s="1" t="s">
        <v>423</v>
      </c>
      <c r="U60" s="1"/>
    </row>
    <row r="61">
      <c r="A61" s="218">
        <v>45173.92763167824</v>
      </c>
      <c r="B61" s="1" t="s">
        <v>70</v>
      </c>
      <c r="C61" s="1" t="s">
        <v>197</v>
      </c>
      <c r="D61" s="1">
        <v>1.0</v>
      </c>
      <c r="E61" s="1">
        <v>0.0</v>
      </c>
      <c r="F61" s="1" t="s">
        <v>891</v>
      </c>
      <c r="G61" s="1" t="s">
        <v>833</v>
      </c>
      <c r="H61" s="1"/>
      <c r="I61" s="1"/>
      <c r="J61" s="219"/>
      <c r="K61" s="219"/>
      <c r="L61" s="219"/>
      <c r="M61" s="219"/>
      <c r="N61" s="1">
        <v>40.0</v>
      </c>
      <c r="O61" s="1">
        <v>14.0</v>
      </c>
      <c r="P61" s="1">
        <v>2.0</v>
      </c>
      <c r="Q61" s="1" t="b">
        <v>0</v>
      </c>
      <c r="R61" s="1">
        <v>100.0</v>
      </c>
      <c r="S61" s="1" t="s">
        <v>355</v>
      </c>
      <c r="T61" s="1" t="s">
        <v>423</v>
      </c>
      <c r="U61" s="1"/>
    </row>
    <row r="62">
      <c r="A62" s="218">
        <v>45173.92763167824</v>
      </c>
      <c r="B62" s="1" t="s">
        <v>70</v>
      </c>
      <c r="C62" s="1" t="s">
        <v>199</v>
      </c>
      <c r="D62" s="1">
        <v>0.0</v>
      </c>
      <c r="E62" s="1">
        <v>1.0</v>
      </c>
      <c r="F62" s="1" t="s">
        <v>892</v>
      </c>
      <c r="G62" s="1" t="s">
        <v>833</v>
      </c>
      <c r="H62" s="1" t="s">
        <v>69</v>
      </c>
      <c r="I62" s="1"/>
      <c r="J62" s="219">
        <v>23.0</v>
      </c>
      <c r="K62" s="219">
        <v>28.5</v>
      </c>
      <c r="L62" s="219">
        <v>1600.0</v>
      </c>
      <c r="M62" s="219" t="s">
        <v>114</v>
      </c>
      <c r="N62" s="1">
        <v>17.0</v>
      </c>
      <c r="O62" s="1">
        <v>38.0</v>
      </c>
      <c r="P62" s="1">
        <v>2.0</v>
      </c>
      <c r="Q62" s="1" t="b">
        <v>0</v>
      </c>
      <c r="R62" s="1">
        <v>100.0</v>
      </c>
      <c r="S62" s="1" t="s">
        <v>352</v>
      </c>
      <c r="T62" s="1" t="s">
        <v>423</v>
      </c>
      <c r="U62" s="1"/>
    </row>
    <row r="63">
      <c r="A63" s="218">
        <v>45173.92763167824</v>
      </c>
      <c r="B63" s="1" t="s">
        <v>70</v>
      </c>
      <c r="C63" s="1" t="s">
        <v>196</v>
      </c>
      <c r="D63" s="1">
        <v>1.0</v>
      </c>
      <c r="E63" s="1">
        <v>0.0</v>
      </c>
      <c r="F63" s="1" t="s">
        <v>873</v>
      </c>
      <c r="G63" s="1" t="s">
        <v>833</v>
      </c>
      <c r="H63" s="1" t="s">
        <v>60</v>
      </c>
      <c r="I63" s="1"/>
      <c r="J63" s="219">
        <v>-26.0</v>
      </c>
      <c r="K63" s="219">
        <v>-25.5</v>
      </c>
      <c r="L63" s="219">
        <v>1600.0</v>
      </c>
      <c r="M63" s="219" t="s">
        <v>874</v>
      </c>
      <c r="N63" s="1">
        <v>44.0</v>
      </c>
      <c r="O63" s="1">
        <v>14.0</v>
      </c>
      <c r="P63" s="1">
        <v>2.0</v>
      </c>
      <c r="Q63" s="1" t="b">
        <v>1</v>
      </c>
      <c r="R63" s="1">
        <v>100.0</v>
      </c>
      <c r="S63" s="1" t="s">
        <v>292</v>
      </c>
      <c r="T63" s="1" t="s">
        <v>422</v>
      </c>
      <c r="U63" s="1"/>
    </row>
    <row r="64">
      <c r="A64" s="218">
        <v>45173.92763167824</v>
      </c>
      <c r="B64" s="1" t="s">
        <v>70</v>
      </c>
      <c r="C64" s="1" t="s">
        <v>194</v>
      </c>
      <c r="D64" s="1">
        <v>1.0</v>
      </c>
      <c r="E64" s="1">
        <v>1.0</v>
      </c>
      <c r="F64" s="1" t="s">
        <v>893</v>
      </c>
      <c r="G64" s="1" t="s">
        <v>833</v>
      </c>
      <c r="H64" s="1" t="s">
        <v>125</v>
      </c>
      <c r="I64" s="1"/>
      <c r="J64" s="219"/>
      <c r="K64" s="219"/>
      <c r="L64" s="219"/>
      <c r="M64" s="219"/>
      <c r="N64" s="1">
        <v>42.0</v>
      </c>
      <c r="O64" s="1">
        <v>31.0</v>
      </c>
      <c r="P64" s="1">
        <v>2.0</v>
      </c>
      <c r="Q64" s="1" t="b">
        <v>0</v>
      </c>
      <c r="R64" s="1">
        <v>100.0</v>
      </c>
      <c r="S64" s="1" t="s">
        <v>351</v>
      </c>
      <c r="T64" s="1" t="s">
        <v>423</v>
      </c>
      <c r="U64" s="1"/>
    </row>
    <row r="65">
      <c r="A65" s="218">
        <v>45173.92763167824</v>
      </c>
      <c r="B65" s="1" t="s">
        <v>70</v>
      </c>
      <c r="C65" s="1" t="s">
        <v>192</v>
      </c>
      <c r="D65" s="1">
        <v>1.0</v>
      </c>
      <c r="E65" s="1">
        <v>0.0</v>
      </c>
      <c r="F65" s="1" t="s">
        <v>894</v>
      </c>
      <c r="G65" s="1" t="s">
        <v>833</v>
      </c>
      <c r="H65" s="1"/>
      <c r="I65" s="1"/>
      <c r="J65" s="219"/>
      <c r="K65" s="219"/>
      <c r="L65" s="219"/>
      <c r="M65" s="219"/>
      <c r="N65" s="1">
        <v>48.0</v>
      </c>
      <c r="O65" s="1">
        <v>17.0</v>
      </c>
      <c r="P65" s="1">
        <v>2.0</v>
      </c>
      <c r="Q65" s="1" t="b">
        <v>0</v>
      </c>
      <c r="R65" s="1">
        <v>100.0</v>
      </c>
      <c r="S65" s="1" t="s">
        <v>296</v>
      </c>
      <c r="T65" s="1" t="s">
        <v>422</v>
      </c>
      <c r="U65" s="1"/>
    </row>
    <row r="66">
      <c r="A66" s="218">
        <v>45173.92763167824</v>
      </c>
      <c r="B66" s="1" t="s">
        <v>70</v>
      </c>
      <c r="C66" s="1" t="s">
        <v>193</v>
      </c>
      <c r="D66" s="1">
        <v>1.0</v>
      </c>
      <c r="E66" s="1">
        <v>0.0</v>
      </c>
      <c r="F66" s="1" t="s">
        <v>875</v>
      </c>
      <c r="G66" s="1" t="s">
        <v>833</v>
      </c>
      <c r="H66" s="1" t="s">
        <v>60</v>
      </c>
      <c r="I66" s="1"/>
      <c r="J66" s="219">
        <v>-9.5</v>
      </c>
      <c r="K66" s="219">
        <v>-3.5</v>
      </c>
      <c r="L66" s="219">
        <v>-176.0</v>
      </c>
      <c r="M66" s="219" t="s">
        <v>203</v>
      </c>
      <c r="N66" s="1">
        <v>37.0</v>
      </c>
      <c r="O66" s="1">
        <v>24.0</v>
      </c>
      <c r="P66" s="1">
        <v>2.0</v>
      </c>
      <c r="Q66" s="1" t="b">
        <v>1</v>
      </c>
      <c r="R66" s="1">
        <v>100.0</v>
      </c>
      <c r="S66" s="1" t="s">
        <v>354</v>
      </c>
      <c r="T66" s="1" t="s">
        <v>422</v>
      </c>
      <c r="U66" s="1"/>
    </row>
    <row r="67">
      <c r="A67" s="218">
        <v>45173.92763167824</v>
      </c>
      <c r="B67" s="1"/>
      <c r="C67" s="1"/>
      <c r="D67" s="1"/>
      <c r="E67" s="1"/>
      <c r="F67" s="1"/>
      <c r="G67" s="1"/>
      <c r="H67" s="1"/>
      <c r="I67" s="1"/>
      <c r="J67" s="219"/>
      <c r="K67" s="219"/>
      <c r="L67" s="219"/>
      <c r="M67" s="219"/>
      <c r="N67" s="1"/>
      <c r="O67" s="1"/>
      <c r="P67" s="1"/>
      <c r="Q67" s="1"/>
      <c r="R67" s="1"/>
      <c r="S67" s="1" t="e">
        <v>#N/A</v>
      </c>
      <c r="T67" s="1" t="e">
        <v>#N/A</v>
      </c>
      <c r="U67" s="1"/>
    </row>
    <row r="68">
      <c r="A68" s="218">
        <v>45173.92763167824</v>
      </c>
      <c r="B68" s="1" t="s">
        <v>57</v>
      </c>
      <c r="C68" s="1" t="s">
        <v>200</v>
      </c>
      <c r="D68" s="1">
        <v>1.0</v>
      </c>
      <c r="E68" s="1">
        <v>0.0</v>
      </c>
      <c r="F68" s="1"/>
      <c r="G68" s="1"/>
      <c r="H68" s="1"/>
      <c r="I68" s="1" t="s">
        <v>888</v>
      </c>
      <c r="J68" s="219"/>
      <c r="K68" s="219"/>
      <c r="L68" s="219"/>
      <c r="M68" s="219"/>
      <c r="N68" s="1">
        <v>23.0</v>
      </c>
      <c r="O68" s="1">
        <v>3.0</v>
      </c>
      <c r="P68" s="1">
        <v>0.0</v>
      </c>
      <c r="Q68" s="1" t="b">
        <v>1</v>
      </c>
      <c r="R68" s="1">
        <v>59.0</v>
      </c>
      <c r="S68" s="1" t="s">
        <v>282</v>
      </c>
      <c r="T68" s="1" t="s">
        <v>422</v>
      </c>
      <c r="U68" s="1"/>
    </row>
    <row r="69">
      <c r="A69" s="218">
        <v>45173.92763167824</v>
      </c>
      <c r="B69" s="1" t="s">
        <v>57</v>
      </c>
      <c r="C69" s="1" t="s">
        <v>206</v>
      </c>
      <c r="D69" s="1">
        <v>0.0</v>
      </c>
      <c r="E69" s="1">
        <v>1.0</v>
      </c>
      <c r="F69" s="1" t="s">
        <v>846</v>
      </c>
      <c r="G69" s="1" t="s">
        <v>833</v>
      </c>
      <c r="H69" s="1" t="s">
        <v>58</v>
      </c>
      <c r="I69" s="1"/>
      <c r="J69" s="219"/>
      <c r="K69" s="219"/>
      <c r="L69" s="219"/>
      <c r="M69" s="219"/>
      <c r="N69" s="1">
        <v>13.0</v>
      </c>
      <c r="O69" s="1">
        <v>27.0</v>
      </c>
      <c r="P69" s="1">
        <v>2.0</v>
      </c>
      <c r="Q69" s="1" t="b">
        <v>0</v>
      </c>
      <c r="R69" s="1">
        <v>100.0</v>
      </c>
      <c r="S69" s="1" t="s">
        <v>355</v>
      </c>
      <c r="T69" s="1" t="s">
        <v>423</v>
      </c>
      <c r="U69" s="1"/>
    </row>
    <row r="70">
      <c r="A70" s="218">
        <v>45173.92763167824</v>
      </c>
      <c r="B70" s="1" t="s">
        <v>57</v>
      </c>
      <c r="C70" s="1" t="s">
        <v>201</v>
      </c>
      <c r="D70" s="1">
        <v>1.0</v>
      </c>
      <c r="E70" s="1">
        <v>1.0</v>
      </c>
      <c r="F70" s="1" t="s">
        <v>895</v>
      </c>
      <c r="G70" s="1" t="s">
        <v>833</v>
      </c>
      <c r="H70" s="1"/>
      <c r="I70" s="1"/>
      <c r="J70" s="219"/>
      <c r="K70" s="219"/>
      <c r="L70" s="219"/>
      <c r="M70" s="219"/>
      <c r="N70" s="1">
        <v>88.0</v>
      </c>
      <c r="O70" s="1">
        <v>62.0</v>
      </c>
      <c r="P70" s="1">
        <v>2.0</v>
      </c>
      <c r="Q70" s="1" t="b">
        <v>0</v>
      </c>
      <c r="R70" s="1">
        <v>100.0</v>
      </c>
      <c r="S70" s="1" t="s">
        <v>351</v>
      </c>
      <c r="T70" s="1" t="s">
        <v>423</v>
      </c>
      <c r="U70" s="1"/>
    </row>
    <row r="71">
      <c r="A71" s="218">
        <v>45173.92763167824</v>
      </c>
      <c r="B71" s="1" t="s">
        <v>57</v>
      </c>
      <c r="C71" s="1" t="s">
        <v>210</v>
      </c>
      <c r="D71" s="1">
        <v>1.0</v>
      </c>
      <c r="E71" s="1">
        <v>0.0</v>
      </c>
      <c r="F71" s="1" t="s">
        <v>890</v>
      </c>
      <c r="G71" s="1" t="s">
        <v>833</v>
      </c>
      <c r="H71" s="1" t="s">
        <v>70</v>
      </c>
      <c r="I71" s="1"/>
      <c r="J71" s="219"/>
      <c r="K71" s="219"/>
      <c r="L71" s="219"/>
      <c r="M71" s="219"/>
      <c r="N71" s="1">
        <v>17.0</v>
      </c>
      <c r="O71" s="1">
        <v>14.0</v>
      </c>
      <c r="P71" s="1">
        <v>2.0</v>
      </c>
      <c r="Q71" s="1" t="b">
        <v>0</v>
      </c>
      <c r="R71" s="1">
        <v>100.0</v>
      </c>
      <c r="S71" s="1" t="s">
        <v>296</v>
      </c>
      <c r="T71" s="1" t="s">
        <v>422</v>
      </c>
      <c r="U71" s="1"/>
    </row>
    <row r="72">
      <c r="A72" s="218">
        <v>45173.92763167824</v>
      </c>
      <c r="B72" s="1" t="s">
        <v>57</v>
      </c>
      <c r="C72" s="1" t="s">
        <v>202</v>
      </c>
      <c r="D72" s="1">
        <v>1.0</v>
      </c>
      <c r="E72" s="1">
        <v>0.0</v>
      </c>
      <c r="F72" s="1" t="s">
        <v>896</v>
      </c>
      <c r="G72" s="1" t="s">
        <v>833</v>
      </c>
      <c r="H72" s="1"/>
      <c r="I72" s="1"/>
      <c r="J72" s="219"/>
      <c r="K72" s="219"/>
      <c r="L72" s="219"/>
      <c r="M72" s="219"/>
      <c r="N72" s="1">
        <v>44.0</v>
      </c>
      <c r="O72" s="1">
        <v>14.0</v>
      </c>
      <c r="P72" s="1">
        <v>2.0</v>
      </c>
      <c r="Q72" s="1" t="b">
        <v>0</v>
      </c>
      <c r="R72" s="1">
        <v>100.0</v>
      </c>
      <c r="S72" s="1" t="s">
        <v>353</v>
      </c>
      <c r="T72" s="1" t="s">
        <v>423</v>
      </c>
      <c r="U72" s="1"/>
    </row>
    <row r="73">
      <c r="A73" s="218">
        <v>45173.92763167824</v>
      </c>
      <c r="B73" s="1" t="s">
        <v>57</v>
      </c>
      <c r="C73" s="1" t="s">
        <v>213</v>
      </c>
      <c r="D73" s="1">
        <v>1.0</v>
      </c>
      <c r="E73" s="1">
        <v>0.0</v>
      </c>
      <c r="F73" s="1" t="s">
        <v>897</v>
      </c>
      <c r="G73" s="1" t="s">
        <v>833</v>
      </c>
      <c r="H73" s="1"/>
      <c r="I73" s="1"/>
      <c r="J73" s="219"/>
      <c r="K73" s="219"/>
      <c r="L73" s="219"/>
      <c r="M73" s="219"/>
      <c r="N73" s="1">
        <v>56.0</v>
      </c>
      <c r="O73" s="1">
        <v>13.0</v>
      </c>
      <c r="P73" s="1">
        <v>2.0</v>
      </c>
      <c r="Q73" s="1" t="b">
        <v>0</v>
      </c>
      <c r="R73" s="1">
        <v>100.0</v>
      </c>
      <c r="S73" s="1" t="s">
        <v>292</v>
      </c>
      <c r="T73" s="1" t="s">
        <v>422</v>
      </c>
      <c r="U73" s="1"/>
    </row>
    <row r="74">
      <c r="A74" s="218">
        <v>45173.92763167824</v>
      </c>
      <c r="B74" s="1" t="s">
        <v>57</v>
      </c>
      <c r="C74" s="1" t="s">
        <v>214</v>
      </c>
      <c r="D74" s="1">
        <v>1.0</v>
      </c>
      <c r="E74" s="1">
        <v>1.0</v>
      </c>
      <c r="F74" s="1" t="s">
        <v>889</v>
      </c>
      <c r="G74" s="1" t="s">
        <v>833</v>
      </c>
      <c r="H74" s="1" t="s">
        <v>70</v>
      </c>
      <c r="I74" s="1"/>
      <c r="J74" s="219"/>
      <c r="K74" s="219"/>
      <c r="L74" s="219"/>
      <c r="M74" s="219"/>
      <c r="N74" s="1">
        <v>40.0</v>
      </c>
      <c r="O74" s="1">
        <v>30.0</v>
      </c>
      <c r="P74" s="1">
        <v>2.0</v>
      </c>
      <c r="Q74" s="1" t="b">
        <v>1</v>
      </c>
      <c r="R74" s="1">
        <v>100.0</v>
      </c>
      <c r="S74" s="1" t="s">
        <v>352</v>
      </c>
      <c r="T74" s="1" t="s">
        <v>423</v>
      </c>
      <c r="U74" s="1"/>
    </row>
    <row r="75">
      <c r="A75" s="218">
        <v>45173.92763167824</v>
      </c>
      <c r="B75" s="1" t="s">
        <v>57</v>
      </c>
      <c r="C75" s="1" t="s">
        <v>208</v>
      </c>
      <c r="D75" s="1">
        <v>1.0</v>
      </c>
      <c r="E75" s="1">
        <v>0.0</v>
      </c>
      <c r="F75" s="1" t="s">
        <v>898</v>
      </c>
      <c r="G75" s="1" t="s">
        <v>833</v>
      </c>
      <c r="H75" s="1"/>
      <c r="I75" s="1"/>
      <c r="J75" s="219"/>
      <c r="K75" s="219"/>
      <c r="L75" s="219"/>
      <c r="M75" s="219"/>
      <c r="N75" s="1">
        <v>37.0</v>
      </c>
      <c r="O75" s="1">
        <v>17.0</v>
      </c>
      <c r="P75" s="1">
        <v>2.0</v>
      </c>
      <c r="Q75" s="1" t="b">
        <v>0</v>
      </c>
      <c r="R75" s="1">
        <v>100.0</v>
      </c>
      <c r="S75" s="1" t="s">
        <v>301</v>
      </c>
      <c r="T75" s="1" t="s">
        <v>422</v>
      </c>
      <c r="U75" s="1"/>
    </row>
    <row r="76">
      <c r="A76" s="218">
        <v>45173.92763167824</v>
      </c>
      <c r="B76" s="1" t="s">
        <v>57</v>
      </c>
      <c r="C76" s="1" t="s">
        <v>207</v>
      </c>
      <c r="D76" s="1">
        <v>1.0</v>
      </c>
      <c r="E76" s="1">
        <v>0.0</v>
      </c>
      <c r="F76" s="1" t="s">
        <v>899</v>
      </c>
      <c r="G76" s="1" t="s">
        <v>833</v>
      </c>
      <c r="H76" s="1"/>
      <c r="I76" s="1"/>
      <c r="J76" s="219"/>
      <c r="K76" s="219"/>
      <c r="L76" s="219"/>
      <c r="M76" s="219"/>
      <c r="N76" s="1">
        <v>42.0</v>
      </c>
      <c r="O76" s="1">
        <v>7.0</v>
      </c>
      <c r="P76" s="1">
        <v>2.0</v>
      </c>
      <c r="Q76" s="1" t="b">
        <v>0</v>
      </c>
      <c r="R76" s="1">
        <v>100.0</v>
      </c>
      <c r="S76" s="1" t="s">
        <v>407</v>
      </c>
      <c r="T76" s="1" t="s">
        <v>423</v>
      </c>
      <c r="U76" s="1"/>
    </row>
    <row r="77">
      <c r="A77" s="218">
        <v>45173.92763167824</v>
      </c>
      <c r="B77" s="1" t="s">
        <v>57</v>
      </c>
      <c r="C77" s="1" t="s">
        <v>204</v>
      </c>
      <c r="D77" s="1">
        <v>2.0</v>
      </c>
      <c r="E77" s="1">
        <v>0.0</v>
      </c>
      <c r="F77" s="1" t="s">
        <v>857</v>
      </c>
      <c r="G77" s="1" t="s">
        <v>833</v>
      </c>
      <c r="H77" s="1" t="s">
        <v>56</v>
      </c>
      <c r="I77" s="1"/>
      <c r="J77" s="219"/>
      <c r="K77" s="219"/>
      <c r="L77" s="219"/>
      <c r="M77" s="219"/>
      <c r="N77" s="1">
        <v>122.0</v>
      </c>
      <c r="O77" s="1">
        <v>42.0</v>
      </c>
      <c r="P77" s="1">
        <v>2.0</v>
      </c>
      <c r="Q77" s="1" t="b">
        <v>1</v>
      </c>
      <c r="R77" s="1">
        <v>100.0</v>
      </c>
      <c r="S77" s="1" t="s">
        <v>354</v>
      </c>
      <c r="T77" s="1" t="s">
        <v>422</v>
      </c>
      <c r="U77" s="1"/>
    </row>
    <row r="78">
      <c r="A78" s="218">
        <v>45173.92763167824</v>
      </c>
      <c r="B78" s="1"/>
      <c r="C78" s="1"/>
      <c r="D78" s="1"/>
      <c r="E78" s="1"/>
      <c r="F78" s="1"/>
      <c r="G78" s="1"/>
      <c r="H78" s="1"/>
      <c r="I78" s="1"/>
      <c r="J78" s="219"/>
      <c r="K78" s="219"/>
      <c r="L78" s="219"/>
      <c r="M78" s="219"/>
      <c r="N78" s="1"/>
      <c r="O78" s="1"/>
      <c r="P78" s="1"/>
      <c r="Q78" s="1"/>
      <c r="R78" s="1"/>
      <c r="S78" s="1" t="e">
        <v>#N/A</v>
      </c>
      <c r="T78" s="1" t="e">
        <v>#N/A</v>
      </c>
      <c r="U78" s="1"/>
    </row>
    <row r="79">
      <c r="A79" s="218">
        <v>45173.92763167824</v>
      </c>
      <c r="B79" s="1" t="s">
        <v>67</v>
      </c>
      <c r="C79" s="1" t="s">
        <v>216</v>
      </c>
      <c r="D79" s="1">
        <v>1.0</v>
      </c>
      <c r="E79" s="1">
        <v>0.0</v>
      </c>
      <c r="F79" s="1"/>
      <c r="G79" s="1"/>
      <c r="H79" s="1"/>
      <c r="I79" s="1" t="s">
        <v>900</v>
      </c>
      <c r="J79" s="219"/>
      <c r="K79" s="219"/>
      <c r="L79" s="219"/>
      <c r="M79" s="219"/>
      <c r="N79" s="1">
        <v>31.0</v>
      </c>
      <c r="O79" s="1">
        <v>17.0</v>
      </c>
      <c r="P79" s="1">
        <v>0.0</v>
      </c>
      <c r="Q79" s="1" t="b">
        <v>1</v>
      </c>
      <c r="R79" s="1">
        <v>59.0</v>
      </c>
      <c r="S79" s="1" t="s">
        <v>301</v>
      </c>
      <c r="T79" s="1" t="s">
        <v>422</v>
      </c>
      <c r="U79" s="1"/>
    </row>
    <row r="80">
      <c r="A80" s="218">
        <v>45173.92763167824</v>
      </c>
      <c r="B80" s="1" t="s">
        <v>67</v>
      </c>
      <c r="C80" s="1" t="s">
        <v>217</v>
      </c>
      <c r="D80" s="1">
        <v>1.0</v>
      </c>
      <c r="E80" s="1">
        <v>0.0</v>
      </c>
      <c r="F80" s="1" t="s">
        <v>901</v>
      </c>
      <c r="G80" s="1" t="s">
        <v>833</v>
      </c>
      <c r="H80" s="1"/>
      <c r="I80" s="1"/>
      <c r="J80" s="219"/>
      <c r="K80" s="219"/>
      <c r="L80" s="219"/>
      <c r="M80" s="219"/>
      <c r="N80" s="1">
        <v>38.0</v>
      </c>
      <c r="O80" s="1">
        <v>3.0</v>
      </c>
      <c r="P80" s="1">
        <v>2.0</v>
      </c>
      <c r="Q80" s="1" t="b">
        <v>0</v>
      </c>
      <c r="R80" s="1">
        <v>100.0</v>
      </c>
      <c r="S80" s="1" t="s">
        <v>354</v>
      </c>
      <c r="T80" s="1" t="s">
        <v>422</v>
      </c>
      <c r="U80" s="1"/>
    </row>
    <row r="81">
      <c r="A81" s="218">
        <v>45173.92763167824</v>
      </c>
      <c r="B81" s="1" t="s">
        <v>67</v>
      </c>
      <c r="C81" s="1" t="s">
        <v>205</v>
      </c>
      <c r="D81" s="1">
        <v>0.0</v>
      </c>
      <c r="E81" s="1">
        <v>1.0</v>
      </c>
      <c r="F81" s="1" t="s">
        <v>883</v>
      </c>
      <c r="G81" s="1" t="s">
        <v>833</v>
      </c>
      <c r="H81" s="1" t="s">
        <v>46</v>
      </c>
      <c r="I81" s="1"/>
      <c r="J81" s="219"/>
      <c r="K81" s="219"/>
      <c r="L81" s="219"/>
      <c r="M81" s="219"/>
      <c r="N81" s="1">
        <v>17.0</v>
      </c>
      <c r="O81" s="1">
        <v>37.0</v>
      </c>
      <c r="P81" s="1">
        <v>2.0</v>
      </c>
      <c r="Q81" s="1" t="b">
        <v>1</v>
      </c>
      <c r="R81" s="1">
        <v>100.0</v>
      </c>
      <c r="S81" s="1" t="s">
        <v>355</v>
      </c>
      <c r="T81" s="1" t="s">
        <v>423</v>
      </c>
      <c r="U81" s="1"/>
    </row>
    <row r="82">
      <c r="A82" s="218">
        <v>45173.92763167824</v>
      </c>
      <c r="B82" s="1" t="s">
        <v>67</v>
      </c>
      <c r="C82" s="1" t="s">
        <v>218</v>
      </c>
      <c r="D82" s="1">
        <v>1.0</v>
      </c>
      <c r="E82" s="1">
        <v>0.0</v>
      </c>
      <c r="F82" s="1" t="s">
        <v>861</v>
      </c>
      <c r="G82" s="1" t="s">
        <v>833</v>
      </c>
      <c r="H82" s="1" t="s">
        <v>56</v>
      </c>
      <c r="I82" s="1"/>
      <c r="J82" s="219"/>
      <c r="K82" s="219"/>
      <c r="L82" s="219"/>
      <c r="M82" s="219"/>
      <c r="N82" s="1">
        <v>17.0</v>
      </c>
      <c r="O82" s="1">
        <v>13.0</v>
      </c>
      <c r="P82" s="1">
        <v>2.0</v>
      </c>
      <c r="Q82" s="1" t="b">
        <v>0</v>
      </c>
      <c r="R82" s="1">
        <v>100.0</v>
      </c>
      <c r="S82" s="1" t="s">
        <v>353</v>
      </c>
      <c r="T82" s="1" t="s">
        <v>423</v>
      </c>
      <c r="U82" s="1"/>
    </row>
    <row r="83">
      <c r="A83" s="218">
        <v>45173.92763167824</v>
      </c>
      <c r="B83" s="1" t="s">
        <v>67</v>
      </c>
      <c r="C83" s="1" t="s">
        <v>220</v>
      </c>
      <c r="D83" s="1">
        <v>1.0</v>
      </c>
      <c r="E83" s="1">
        <v>1.0</v>
      </c>
      <c r="F83" s="1" t="s">
        <v>902</v>
      </c>
      <c r="G83" s="1" t="s">
        <v>833</v>
      </c>
      <c r="H83" s="1" t="s">
        <v>69</v>
      </c>
      <c r="I83" s="1"/>
      <c r="J83" s="219"/>
      <c r="K83" s="219"/>
      <c r="L83" s="219"/>
      <c r="M83" s="219"/>
      <c r="N83" s="1">
        <v>31.0</v>
      </c>
      <c r="O83" s="1">
        <v>34.0</v>
      </c>
      <c r="P83" s="1">
        <v>2.0</v>
      </c>
      <c r="Q83" s="1" t="b">
        <v>0</v>
      </c>
      <c r="R83" s="1">
        <v>100.0</v>
      </c>
      <c r="S83" s="1" t="s">
        <v>351</v>
      </c>
      <c r="T83" s="1" t="s">
        <v>423</v>
      </c>
      <c r="U83" s="1"/>
    </row>
    <row r="84">
      <c r="A84" s="218">
        <v>45173.92763167824</v>
      </c>
      <c r="B84" s="1" t="s">
        <v>67</v>
      </c>
      <c r="C84" s="1" t="s">
        <v>221</v>
      </c>
      <c r="D84" s="1">
        <v>0.0</v>
      </c>
      <c r="E84" s="1">
        <v>1.0</v>
      </c>
      <c r="F84" s="1" t="s">
        <v>903</v>
      </c>
      <c r="G84" s="1" t="s">
        <v>833</v>
      </c>
      <c r="H84" s="1" t="s">
        <v>69</v>
      </c>
      <c r="I84" s="1"/>
      <c r="J84" s="219">
        <v>6.5</v>
      </c>
      <c r="K84" s="219">
        <v>5.5</v>
      </c>
      <c r="L84" s="219">
        <v>-225.0</v>
      </c>
      <c r="M84" s="219" t="s">
        <v>114</v>
      </c>
      <c r="N84" s="1">
        <v>21.0</v>
      </c>
      <c r="O84" s="1">
        <v>58.0</v>
      </c>
      <c r="P84" s="1">
        <v>2.0</v>
      </c>
      <c r="Q84" s="1" t="b">
        <v>1</v>
      </c>
      <c r="R84" s="1">
        <v>100.0</v>
      </c>
      <c r="S84" s="1" t="s">
        <v>407</v>
      </c>
      <c r="T84" s="1" t="s">
        <v>423</v>
      </c>
      <c r="U84" s="1"/>
    </row>
    <row r="85">
      <c r="A85" s="218">
        <v>45173.92763167824</v>
      </c>
      <c r="B85" s="1" t="s">
        <v>67</v>
      </c>
      <c r="C85" s="1" t="s">
        <v>225</v>
      </c>
      <c r="D85" s="1">
        <v>1.0</v>
      </c>
      <c r="E85" s="1">
        <v>0.0</v>
      </c>
      <c r="F85" s="1" t="s">
        <v>904</v>
      </c>
      <c r="G85" s="1" t="s">
        <v>833</v>
      </c>
      <c r="H85" s="1"/>
      <c r="I85" s="1"/>
      <c r="J85" s="219"/>
      <c r="K85" s="219"/>
      <c r="L85" s="219"/>
      <c r="M85" s="219"/>
      <c r="N85" s="1">
        <v>73.0</v>
      </c>
      <c r="O85" s="1">
        <v>7.0</v>
      </c>
      <c r="P85" s="1">
        <v>2.0</v>
      </c>
      <c r="Q85" s="1" t="b">
        <v>0</v>
      </c>
      <c r="R85" s="1">
        <v>100.0</v>
      </c>
      <c r="S85" s="1" t="s">
        <v>292</v>
      </c>
      <c r="T85" s="1" t="s">
        <v>422</v>
      </c>
      <c r="U85" s="1"/>
    </row>
    <row r="86">
      <c r="A86" s="218">
        <v>45173.92763167824</v>
      </c>
      <c r="B86" s="1" t="s">
        <v>67</v>
      </c>
      <c r="C86" s="1" t="s">
        <v>222</v>
      </c>
      <c r="D86" s="1">
        <v>0.0</v>
      </c>
      <c r="E86" s="1">
        <v>1.0</v>
      </c>
      <c r="F86" s="1" t="s">
        <v>905</v>
      </c>
      <c r="G86" s="1" t="s">
        <v>833</v>
      </c>
      <c r="H86" s="1" t="s">
        <v>62</v>
      </c>
      <c r="I86" s="1"/>
      <c r="J86" s="219">
        <v>-6.5</v>
      </c>
      <c r="K86" s="219">
        <v>-3.5</v>
      </c>
      <c r="L86" s="219">
        <v>158.0</v>
      </c>
      <c r="M86" s="219" t="s">
        <v>906</v>
      </c>
      <c r="N86" s="1">
        <v>35.0</v>
      </c>
      <c r="O86" s="1">
        <v>39.0</v>
      </c>
      <c r="P86" s="1">
        <v>2.0</v>
      </c>
      <c r="Q86" s="1" t="b">
        <v>1</v>
      </c>
      <c r="R86" s="1">
        <v>100.0</v>
      </c>
      <c r="S86" s="1" t="s">
        <v>282</v>
      </c>
      <c r="T86" s="1" t="s">
        <v>422</v>
      </c>
      <c r="U86" s="1"/>
    </row>
    <row r="87">
      <c r="A87" s="218">
        <v>45173.92763167824</v>
      </c>
      <c r="B87" s="1" t="s">
        <v>67</v>
      </c>
      <c r="C87" s="1" t="s">
        <v>226</v>
      </c>
      <c r="D87" s="1">
        <v>0.0</v>
      </c>
      <c r="E87" s="1">
        <v>1.0</v>
      </c>
      <c r="F87" s="1" t="s">
        <v>853</v>
      </c>
      <c r="G87" s="1" t="s">
        <v>833</v>
      </c>
      <c r="H87" s="1" t="s">
        <v>58</v>
      </c>
      <c r="I87" s="1"/>
      <c r="J87" s="219">
        <v>11.0</v>
      </c>
      <c r="K87" s="219">
        <v>7.5</v>
      </c>
      <c r="L87" s="219">
        <v>240.0</v>
      </c>
      <c r="M87" s="219" t="s">
        <v>854</v>
      </c>
      <c r="N87" s="1">
        <v>24.0</v>
      </c>
      <c r="O87" s="1">
        <v>34.0</v>
      </c>
      <c r="P87" s="1">
        <v>2.0</v>
      </c>
      <c r="Q87" s="1" t="b">
        <v>0</v>
      </c>
      <c r="R87" s="1">
        <v>100.0</v>
      </c>
      <c r="S87" s="1" t="s">
        <v>352</v>
      </c>
      <c r="T87" s="1" t="s">
        <v>423</v>
      </c>
      <c r="U87" s="1"/>
    </row>
    <row r="88">
      <c r="A88" s="218">
        <v>45173.92763167824</v>
      </c>
      <c r="B88" s="1" t="s">
        <v>67</v>
      </c>
      <c r="C88" s="1" t="s">
        <v>223</v>
      </c>
      <c r="D88" s="1">
        <v>0.0</v>
      </c>
      <c r="E88" s="1">
        <v>1.0</v>
      </c>
      <c r="F88" s="1" t="s">
        <v>907</v>
      </c>
      <c r="G88" s="1" t="s">
        <v>833</v>
      </c>
      <c r="H88" s="1" t="s">
        <v>61</v>
      </c>
      <c r="I88" s="1"/>
      <c r="J88" s="219">
        <v>-21.5</v>
      </c>
      <c r="K88" s="219">
        <v>-21.0</v>
      </c>
      <c r="L88" s="219">
        <v>810.0</v>
      </c>
      <c r="M88" s="219" t="s">
        <v>908</v>
      </c>
      <c r="N88" s="1">
        <v>42.0</v>
      </c>
      <c r="O88" s="1">
        <v>45.0</v>
      </c>
      <c r="P88" s="1">
        <v>2.0</v>
      </c>
      <c r="Q88" s="1" t="b">
        <v>1</v>
      </c>
      <c r="R88" s="1">
        <v>100.0</v>
      </c>
      <c r="S88" s="1" t="s">
        <v>296</v>
      </c>
      <c r="T88" s="1" t="s">
        <v>422</v>
      </c>
      <c r="U88" s="1"/>
    </row>
    <row r="89">
      <c r="A89" s="218">
        <v>45173.92763167824</v>
      </c>
      <c r="B89" s="1"/>
      <c r="C89" s="1"/>
      <c r="D89" s="1"/>
      <c r="E89" s="1"/>
      <c r="F89" s="1"/>
      <c r="G89" s="1"/>
      <c r="H89" s="1"/>
      <c r="I89" s="1"/>
      <c r="J89" s="219"/>
      <c r="K89" s="219"/>
      <c r="L89" s="219"/>
      <c r="M89" s="219"/>
      <c r="N89" s="1"/>
      <c r="O89" s="1"/>
      <c r="P89" s="1"/>
      <c r="Q89" s="1"/>
      <c r="R89" s="1"/>
      <c r="S89" s="1" t="e">
        <v>#N/A</v>
      </c>
      <c r="T89" s="1" t="e">
        <v>#N/A</v>
      </c>
      <c r="U89" s="1"/>
    </row>
    <row r="90">
      <c r="A90" s="218">
        <v>45173.92763167824</v>
      </c>
      <c r="B90" s="1" t="s">
        <v>59</v>
      </c>
      <c r="C90" s="1" t="s">
        <v>230</v>
      </c>
      <c r="D90" s="1">
        <v>0.0</v>
      </c>
      <c r="E90" s="1">
        <v>1.0</v>
      </c>
      <c r="F90" s="1" t="s">
        <v>860</v>
      </c>
      <c r="G90" s="1" t="s">
        <v>833</v>
      </c>
      <c r="H90" s="1" t="s">
        <v>56</v>
      </c>
      <c r="I90" s="1"/>
      <c r="J90" s="219"/>
      <c r="K90" s="219"/>
      <c r="L90" s="219"/>
      <c r="M90" s="219"/>
      <c r="N90" s="1">
        <v>31.0</v>
      </c>
      <c r="O90" s="1">
        <v>42.0</v>
      </c>
      <c r="P90" s="1">
        <v>2.0</v>
      </c>
      <c r="Q90" s="1" t="b">
        <v>1</v>
      </c>
      <c r="R90" s="1">
        <v>100.0</v>
      </c>
      <c r="S90" s="1" t="s">
        <v>296</v>
      </c>
      <c r="T90" s="1" t="s">
        <v>422</v>
      </c>
      <c r="U90" s="1"/>
    </row>
    <row r="91">
      <c r="A91" s="218">
        <v>45173.92763167824</v>
      </c>
      <c r="B91" s="1" t="s">
        <v>59</v>
      </c>
      <c r="C91" s="1" t="s">
        <v>227</v>
      </c>
      <c r="D91" s="1">
        <v>0.0</v>
      </c>
      <c r="E91" s="1">
        <v>1.0</v>
      </c>
      <c r="F91" s="1" t="s">
        <v>885</v>
      </c>
      <c r="G91" s="1" t="s">
        <v>833</v>
      </c>
      <c r="H91" s="1" t="s">
        <v>46</v>
      </c>
      <c r="I91" s="1"/>
      <c r="J91" s="219">
        <v>16.0</v>
      </c>
      <c r="K91" s="219">
        <v>14.5</v>
      </c>
      <c r="L91" s="219">
        <v>470.0</v>
      </c>
      <c r="M91" s="219" t="s">
        <v>203</v>
      </c>
      <c r="N91" s="1">
        <v>19.0</v>
      </c>
      <c r="O91" s="1">
        <v>56.0</v>
      </c>
      <c r="P91" s="1">
        <v>2.0</v>
      </c>
      <c r="Q91" s="1" t="b">
        <v>0</v>
      </c>
      <c r="R91" s="1">
        <v>100.0</v>
      </c>
      <c r="S91" s="1" t="s">
        <v>353</v>
      </c>
      <c r="T91" s="1" t="s">
        <v>423</v>
      </c>
      <c r="U91" s="1"/>
    </row>
    <row r="92">
      <c r="A92" s="218">
        <v>45173.92763167824</v>
      </c>
      <c r="B92" s="1" t="s">
        <v>59</v>
      </c>
      <c r="C92" s="1" t="s">
        <v>209</v>
      </c>
      <c r="D92" s="1">
        <v>1.0</v>
      </c>
      <c r="E92" s="1">
        <v>0.0</v>
      </c>
      <c r="F92" s="1" t="s">
        <v>909</v>
      </c>
      <c r="G92" s="1" t="s">
        <v>833</v>
      </c>
      <c r="H92" s="1" t="s">
        <v>62</v>
      </c>
      <c r="I92" s="1"/>
      <c r="J92" s="219">
        <v>-35.5</v>
      </c>
      <c r="K92" s="219">
        <v>-35.5</v>
      </c>
      <c r="L92" s="219">
        <v>8000.0</v>
      </c>
      <c r="M92" s="219" t="s">
        <v>114</v>
      </c>
      <c r="N92" s="1">
        <v>30.0</v>
      </c>
      <c r="O92" s="1">
        <v>3.0</v>
      </c>
      <c r="P92" s="1">
        <v>2.0</v>
      </c>
      <c r="Q92" s="1" t="b">
        <v>1</v>
      </c>
      <c r="R92" s="1">
        <v>100.0</v>
      </c>
      <c r="S92" s="1" t="s">
        <v>282</v>
      </c>
      <c r="T92" s="1" t="s">
        <v>422</v>
      </c>
      <c r="U92" s="1"/>
    </row>
    <row r="93">
      <c r="A93" s="218">
        <v>45173.92763167824</v>
      </c>
      <c r="B93" s="1" t="s">
        <v>59</v>
      </c>
      <c r="C93" s="1" t="s">
        <v>234</v>
      </c>
      <c r="D93" s="1">
        <v>0.0</v>
      </c>
      <c r="E93" s="1">
        <v>1.0</v>
      </c>
      <c r="F93" s="1" t="s">
        <v>910</v>
      </c>
      <c r="G93" s="1" t="s">
        <v>833</v>
      </c>
      <c r="H93" s="1" t="s">
        <v>56</v>
      </c>
      <c r="I93" s="1"/>
      <c r="J93" s="219"/>
      <c r="K93" s="219"/>
      <c r="L93" s="219"/>
      <c r="M93" s="219"/>
      <c r="N93" s="1">
        <v>3.0</v>
      </c>
      <c r="O93" s="1">
        <v>42.0</v>
      </c>
      <c r="P93" s="1">
        <v>2.0</v>
      </c>
      <c r="Q93" s="1" t="b">
        <v>0</v>
      </c>
      <c r="R93" s="1">
        <v>100.0</v>
      </c>
      <c r="S93" s="1" t="s">
        <v>407</v>
      </c>
      <c r="T93" s="1" t="s">
        <v>423</v>
      </c>
      <c r="U93" s="1"/>
    </row>
    <row r="94">
      <c r="A94" s="218">
        <v>45173.92763167824</v>
      </c>
      <c r="B94" s="1" t="s">
        <v>59</v>
      </c>
      <c r="C94" s="1" t="s">
        <v>232</v>
      </c>
      <c r="D94" s="1">
        <v>1.0</v>
      </c>
      <c r="E94" s="1">
        <v>0.0</v>
      </c>
      <c r="F94" s="1" t="s">
        <v>911</v>
      </c>
      <c r="G94" s="1" t="s">
        <v>833</v>
      </c>
      <c r="H94" s="1"/>
      <c r="I94" s="1"/>
      <c r="J94" s="219"/>
      <c r="K94" s="219"/>
      <c r="L94" s="219"/>
      <c r="M94" s="219"/>
      <c r="N94" s="1">
        <v>42.0</v>
      </c>
      <c r="O94" s="1">
        <v>35.0</v>
      </c>
      <c r="P94" s="1">
        <v>2.0</v>
      </c>
      <c r="Q94" s="1" t="b">
        <v>0</v>
      </c>
      <c r="R94" s="1">
        <v>100.0</v>
      </c>
      <c r="S94" s="1" t="s">
        <v>355</v>
      </c>
      <c r="T94" s="1" t="s">
        <v>423</v>
      </c>
      <c r="U94" s="1"/>
    </row>
    <row r="95">
      <c r="A95" s="218">
        <v>45173.92763167824</v>
      </c>
      <c r="B95" s="1" t="s">
        <v>59</v>
      </c>
      <c r="C95" s="1" t="s">
        <v>236</v>
      </c>
      <c r="D95" s="1">
        <v>0.0</v>
      </c>
      <c r="E95" s="1">
        <v>1.0</v>
      </c>
      <c r="F95" s="1" t="s">
        <v>912</v>
      </c>
      <c r="G95" s="1" t="s">
        <v>833</v>
      </c>
      <c r="H95" s="1" t="s">
        <v>61</v>
      </c>
      <c r="I95" s="1"/>
      <c r="J95" s="219">
        <v>16.0</v>
      </c>
      <c r="K95" s="219">
        <v>14.5</v>
      </c>
      <c r="L95" s="219">
        <v>-690.0</v>
      </c>
      <c r="M95" s="219" t="s">
        <v>906</v>
      </c>
      <c r="N95" s="1">
        <v>14.0</v>
      </c>
      <c r="O95" s="1">
        <v>24.0</v>
      </c>
      <c r="P95" s="1">
        <v>2.0</v>
      </c>
      <c r="Q95" s="1" t="b">
        <v>1</v>
      </c>
      <c r="R95" s="1">
        <v>100.0</v>
      </c>
      <c r="S95" s="1" t="s">
        <v>351</v>
      </c>
      <c r="T95" s="1" t="s">
        <v>423</v>
      </c>
      <c r="U95" s="1"/>
    </row>
    <row r="96">
      <c r="A96" s="218">
        <v>45173.92763167824</v>
      </c>
      <c r="B96" s="1" t="s">
        <v>59</v>
      </c>
      <c r="C96" s="1" t="s">
        <v>231</v>
      </c>
      <c r="D96" s="1">
        <v>1.0</v>
      </c>
      <c r="E96" s="1">
        <v>0.0</v>
      </c>
      <c r="F96" s="1" t="s">
        <v>866</v>
      </c>
      <c r="G96" s="1" t="s">
        <v>833</v>
      </c>
      <c r="H96" s="1" t="s">
        <v>56</v>
      </c>
      <c r="I96" s="1"/>
      <c r="J96" s="219">
        <v>-9.0</v>
      </c>
      <c r="K96" s="219">
        <v>-6.5</v>
      </c>
      <c r="L96" s="219">
        <v>210.0</v>
      </c>
      <c r="M96" s="219" t="s">
        <v>867</v>
      </c>
      <c r="N96" s="1">
        <v>24.0</v>
      </c>
      <c r="O96" s="1">
        <v>11.0</v>
      </c>
      <c r="P96" s="1">
        <v>2.0</v>
      </c>
      <c r="Q96" s="1" t="b">
        <v>0</v>
      </c>
      <c r="R96" s="1">
        <v>100.0</v>
      </c>
      <c r="S96" s="1" t="s">
        <v>354</v>
      </c>
      <c r="T96" s="1" t="s">
        <v>422</v>
      </c>
      <c r="U96" s="1"/>
    </row>
    <row r="97">
      <c r="A97" s="218">
        <v>45173.92763167824</v>
      </c>
      <c r="B97" s="1" t="s">
        <v>59</v>
      </c>
      <c r="C97" s="1" t="s">
        <v>237</v>
      </c>
      <c r="D97" s="1">
        <v>1.0</v>
      </c>
      <c r="E97" s="1">
        <v>0.0</v>
      </c>
      <c r="F97" s="1" t="s">
        <v>913</v>
      </c>
      <c r="G97" s="1" t="s">
        <v>833</v>
      </c>
      <c r="H97" s="1"/>
      <c r="I97" s="1"/>
      <c r="J97" s="219"/>
      <c r="K97" s="219"/>
      <c r="L97" s="219"/>
      <c r="M97" s="219"/>
      <c r="N97" s="1">
        <v>35.0</v>
      </c>
      <c r="O97" s="1">
        <v>10.0</v>
      </c>
      <c r="P97" s="1">
        <v>2.0</v>
      </c>
      <c r="Q97" s="1" t="b">
        <v>0</v>
      </c>
      <c r="R97" s="1">
        <v>100.0</v>
      </c>
      <c r="S97" s="1" t="s">
        <v>292</v>
      </c>
      <c r="T97" s="1" t="s">
        <v>422</v>
      </c>
      <c r="U97" s="1"/>
    </row>
    <row r="98">
      <c r="A98" s="218">
        <v>45173.92763167824</v>
      </c>
      <c r="B98" s="1" t="s">
        <v>59</v>
      </c>
      <c r="C98" s="1" t="s">
        <v>238</v>
      </c>
      <c r="D98" s="1">
        <v>1.0</v>
      </c>
      <c r="E98" s="1">
        <v>0.0</v>
      </c>
      <c r="F98" s="1" t="s">
        <v>914</v>
      </c>
      <c r="G98" s="1" t="s">
        <v>833</v>
      </c>
      <c r="H98" s="1"/>
      <c r="I98" s="1"/>
      <c r="J98" s="219"/>
      <c r="K98" s="219"/>
      <c r="L98" s="219"/>
      <c r="M98" s="219"/>
      <c r="N98" s="1">
        <v>33.0</v>
      </c>
      <c r="O98" s="1">
        <v>23.0</v>
      </c>
      <c r="P98" s="1">
        <v>2.0</v>
      </c>
      <c r="Q98" s="1" t="b">
        <v>0</v>
      </c>
      <c r="R98" s="1">
        <v>100.0</v>
      </c>
      <c r="S98" s="1" t="s">
        <v>352</v>
      </c>
      <c r="T98" s="1" t="s">
        <v>423</v>
      </c>
      <c r="U98" s="1"/>
    </row>
    <row r="99">
      <c r="A99" s="218">
        <v>45173.92763167824</v>
      </c>
      <c r="B99" s="1" t="s">
        <v>59</v>
      </c>
      <c r="C99" s="1" t="s">
        <v>229</v>
      </c>
      <c r="D99" s="1">
        <v>0.0</v>
      </c>
      <c r="E99" s="1">
        <v>1.0</v>
      </c>
      <c r="F99" s="1" t="s">
        <v>879</v>
      </c>
      <c r="G99" s="1" t="s">
        <v>833</v>
      </c>
      <c r="H99" s="1" t="s">
        <v>60</v>
      </c>
      <c r="I99" s="1"/>
      <c r="J99" s="219">
        <v>8.0</v>
      </c>
      <c r="K99" s="219">
        <v>7.5</v>
      </c>
      <c r="L99" s="219">
        <v>-315.0</v>
      </c>
      <c r="M99" s="219" t="s">
        <v>854</v>
      </c>
      <c r="N99" s="1">
        <v>34.0</v>
      </c>
      <c r="O99" s="1">
        <v>39.0</v>
      </c>
      <c r="P99" s="1">
        <v>2.0</v>
      </c>
      <c r="Q99" s="1" t="b">
        <v>1</v>
      </c>
      <c r="R99" s="1">
        <v>100.0</v>
      </c>
      <c r="S99" s="1" t="s">
        <v>301</v>
      </c>
      <c r="T99" s="1" t="s">
        <v>422</v>
      </c>
      <c r="U99" s="1"/>
    </row>
    <row r="100">
      <c r="A100" s="218">
        <v>45173.92763167824</v>
      </c>
      <c r="B100" s="1"/>
      <c r="C100" s="1"/>
      <c r="D100" s="1"/>
      <c r="E100" s="1"/>
      <c r="F100" s="1"/>
      <c r="G100" s="1"/>
      <c r="H100" s="1"/>
      <c r="I100" s="1"/>
      <c r="J100" s="219"/>
      <c r="K100" s="219"/>
      <c r="L100" s="219"/>
      <c r="M100" s="219"/>
      <c r="N100" s="1"/>
      <c r="O100" s="1"/>
      <c r="P100" s="1"/>
      <c r="Q100" s="1"/>
      <c r="R100" s="1"/>
      <c r="S100" s="1" t="e">
        <v>#N/A</v>
      </c>
      <c r="T100" s="1" t="e">
        <v>#N/A</v>
      </c>
      <c r="U100" s="1"/>
    </row>
    <row r="101">
      <c r="A101" s="218">
        <v>45173.92763167824</v>
      </c>
      <c r="B101" s="1" t="s">
        <v>62</v>
      </c>
      <c r="C101" s="1" t="s">
        <v>247</v>
      </c>
      <c r="D101" s="1">
        <v>1.0</v>
      </c>
      <c r="E101" s="1">
        <v>0.0</v>
      </c>
      <c r="F101" s="1"/>
      <c r="G101" s="1"/>
      <c r="H101" s="1"/>
      <c r="I101" s="1" t="s">
        <v>287</v>
      </c>
      <c r="J101" s="219"/>
      <c r="K101" s="219"/>
      <c r="L101" s="219"/>
      <c r="M101" s="219"/>
      <c r="N101" s="1">
        <v>42.0</v>
      </c>
      <c r="O101" s="1">
        <v>17.0</v>
      </c>
      <c r="P101" s="1">
        <v>0.0</v>
      </c>
      <c r="Q101" s="1" t="b">
        <v>1</v>
      </c>
      <c r="R101" s="1">
        <v>59.0</v>
      </c>
      <c r="S101" s="1" t="s">
        <v>354</v>
      </c>
      <c r="T101" s="1" t="s">
        <v>422</v>
      </c>
      <c r="U101" s="1"/>
    </row>
    <row r="102">
      <c r="A102" s="218">
        <v>45173.92763167824</v>
      </c>
      <c r="B102" s="1" t="s">
        <v>62</v>
      </c>
      <c r="C102" s="1" t="s">
        <v>245</v>
      </c>
      <c r="D102" s="1">
        <v>1.0</v>
      </c>
      <c r="E102" s="1">
        <v>0.0</v>
      </c>
      <c r="F102" s="1" t="s">
        <v>915</v>
      </c>
      <c r="G102" s="1" t="s">
        <v>833</v>
      </c>
      <c r="H102" s="1"/>
      <c r="I102" s="1"/>
      <c r="J102" s="219"/>
      <c r="K102" s="219"/>
      <c r="L102" s="219"/>
      <c r="M102" s="219"/>
      <c r="N102" s="1">
        <v>34.0</v>
      </c>
      <c r="O102" s="1">
        <v>0.0</v>
      </c>
      <c r="P102" s="1">
        <v>2.0</v>
      </c>
      <c r="Q102" s="1" t="b">
        <v>0</v>
      </c>
      <c r="R102" s="1">
        <v>100.0</v>
      </c>
      <c r="S102" s="1" t="s">
        <v>355</v>
      </c>
      <c r="T102" s="1" t="s">
        <v>423</v>
      </c>
      <c r="U102" s="1"/>
    </row>
    <row r="103">
      <c r="A103" s="218">
        <v>45173.92763167824</v>
      </c>
      <c r="B103" s="1" t="s">
        <v>62</v>
      </c>
      <c r="C103" s="1" t="s">
        <v>215</v>
      </c>
      <c r="D103" s="1">
        <v>1.0</v>
      </c>
      <c r="E103" s="1">
        <v>0.0</v>
      </c>
      <c r="F103" s="1" t="s">
        <v>916</v>
      </c>
      <c r="G103" s="1" t="s">
        <v>833</v>
      </c>
      <c r="H103" s="1" t="s">
        <v>69</v>
      </c>
      <c r="I103" s="1"/>
      <c r="J103" s="219">
        <v>-13.0</v>
      </c>
      <c r="K103" s="219">
        <v>-13.5</v>
      </c>
      <c r="L103" s="219">
        <v>420.0</v>
      </c>
      <c r="M103" s="219" t="s">
        <v>917</v>
      </c>
      <c r="N103" s="1">
        <v>41.0</v>
      </c>
      <c r="O103" s="1">
        <v>24.0</v>
      </c>
      <c r="P103" s="1">
        <v>2.0</v>
      </c>
      <c r="Q103" s="1" t="b">
        <v>1</v>
      </c>
      <c r="R103" s="1">
        <v>100.0</v>
      </c>
      <c r="S103" s="1" t="s">
        <v>351</v>
      </c>
      <c r="T103" s="1" t="s">
        <v>423</v>
      </c>
      <c r="U103" s="1"/>
    </row>
    <row r="104">
      <c r="A104" s="218">
        <v>45173.92763167824</v>
      </c>
      <c r="B104" s="1" t="s">
        <v>62</v>
      </c>
      <c r="C104" s="1" t="s">
        <v>244</v>
      </c>
      <c r="D104" s="1">
        <v>1.0</v>
      </c>
      <c r="E104" s="1">
        <v>0.0</v>
      </c>
      <c r="F104" s="1" t="s">
        <v>918</v>
      </c>
      <c r="G104" s="1" t="s">
        <v>833</v>
      </c>
      <c r="H104" s="1"/>
      <c r="I104" s="1"/>
      <c r="J104" s="219"/>
      <c r="K104" s="219"/>
      <c r="L104" s="219"/>
      <c r="M104" s="219"/>
      <c r="N104" s="1">
        <v>38.0</v>
      </c>
      <c r="O104" s="1">
        <v>6.0</v>
      </c>
      <c r="P104" s="1">
        <v>2.0</v>
      </c>
      <c r="Q104" s="1" t="b">
        <v>0</v>
      </c>
      <c r="R104" s="1">
        <v>100.0</v>
      </c>
      <c r="S104" s="1" t="s">
        <v>282</v>
      </c>
      <c r="T104" s="1" t="s">
        <v>422</v>
      </c>
      <c r="U104" s="1"/>
    </row>
    <row r="105">
      <c r="A105" s="218">
        <v>45173.92763167824</v>
      </c>
      <c r="B105" s="1" t="s">
        <v>62</v>
      </c>
      <c r="C105" s="1" t="s">
        <v>249</v>
      </c>
      <c r="D105" s="1">
        <v>1.0</v>
      </c>
      <c r="E105" s="1">
        <v>0.0</v>
      </c>
      <c r="F105" s="1" t="s">
        <v>919</v>
      </c>
      <c r="G105" s="1" t="s">
        <v>833</v>
      </c>
      <c r="H105" s="1"/>
      <c r="I105" s="1"/>
      <c r="J105" s="219"/>
      <c r="K105" s="219"/>
      <c r="L105" s="219"/>
      <c r="M105" s="219"/>
      <c r="N105" s="1">
        <v>48.0</v>
      </c>
      <c r="O105" s="1">
        <v>7.0</v>
      </c>
      <c r="P105" s="1">
        <v>2.0</v>
      </c>
      <c r="Q105" s="1" t="b">
        <v>0</v>
      </c>
      <c r="R105" s="1">
        <v>100.0</v>
      </c>
      <c r="S105" s="1" t="s">
        <v>292</v>
      </c>
      <c r="T105" s="1" t="s">
        <v>422</v>
      </c>
      <c r="U105" s="1"/>
    </row>
    <row r="106">
      <c r="A106" s="218">
        <v>45173.92763167824</v>
      </c>
      <c r="B106" s="1" t="s">
        <v>62</v>
      </c>
      <c r="C106" s="1" t="s">
        <v>242</v>
      </c>
      <c r="D106" s="1">
        <v>1.0</v>
      </c>
      <c r="E106" s="1">
        <v>0.0</v>
      </c>
      <c r="F106" s="1" t="s">
        <v>920</v>
      </c>
      <c r="G106" s="1" t="s">
        <v>833</v>
      </c>
      <c r="H106" s="1"/>
      <c r="I106" s="1"/>
      <c r="J106" s="219"/>
      <c r="K106" s="219"/>
      <c r="L106" s="219"/>
      <c r="M106" s="219"/>
      <c r="N106" s="1">
        <v>66.0</v>
      </c>
      <c r="O106" s="1">
        <v>13.0</v>
      </c>
      <c r="P106" s="1">
        <v>2.0</v>
      </c>
      <c r="Q106" s="1" t="b">
        <v>0</v>
      </c>
      <c r="R106" s="1">
        <v>100.0</v>
      </c>
      <c r="S106" s="1" t="s">
        <v>296</v>
      </c>
      <c r="T106" s="1" t="s">
        <v>422</v>
      </c>
      <c r="U106" s="1"/>
    </row>
    <row r="107">
      <c r="A107" s="218">
        <v>45173.92763167824</v>
      </c>
      <c r="B107" s="1" t="s">
        <v>62</v>
      </c>
      <c r="C107" s="1" t="s">
        <v>246</v>
      </c>
      <c r="D107" s="1">
        <v>0.0</v>
      </c>
      <c r="E107" s="1">
        <v>1.0</v>
      </c>
      <c r="F107" s="1" t="s">
        <v>909</v>
      </c>
      <c r="G107" s="1" t="s">
        <v>833</v>
      </c>
      <c r="H107" s="1" t="s">
        <v>59</v>
      </c>
      <c r="I107" s="1"/>
      <c r="J107" s="219">
        <v>35.5</v>
      </c>
      <c r="K107" s="219">
        <v>35.5</v>
      </c>
      <c r="L107" s="219">
        <v>8000.0</v>
      </c>
      <c r="M107" s="219" t="s">
        <v>114</v>
      </c>
      <c r="N107" s="1">
        <v>3.0</v>
      </c>
      <c r="O107" s="1">
        <v>30.0</v>
      </c>
      <c r="P107" s="1">
        <v>2.0</v>
      </c>
      <c r="Q107" s="1" t="b">
        <v>0</v>
      </c>
      <c r="R107" s="1">
        <v>100.0</v>
      </c>
      <c r="S107" s="1" t="s">
        <v>407</v>
      </c>
      <c r="T107" s="1" t="s">
        <v>423</v>
      </c>
      <c r="U107" s="1"/>
    </row>
    <row r="108">
      <c r="A108" s="218">
        <v>45173.92763167824</v>
      </c>
      <c r="B108" s="1" t="s">
        <v>62</v>
      </c>
      <c r="C108" s="1" t="s">
        <v>241</v>
      </c>
      <c r="D108" s="1">
        <v>1.0</v>
      </c>
      <c r="E108" s="1">
        <v>0.0</v>
      </c>
      <c r="F108" s="1" t="s">
        <v>905</v>
      </c>
      <c r="G108" s="1" t="s">
        <v>833</v>
      </c>
      <c r="H108" s="1" t="s">
        <v>67</v>
      </c>
      <c r="I108" s="1"/>
      <c r="J108" s="219">
        <v>6.5</v>
      </c>
      <c r="K108" s="219">
        <v>3.5</v>
      </c>
      <c r="L108" s="219">
        <v>158.0</v>
      </c>
      <c r="M108" s="219" t="s">
        <v>906</v>
      </c>
      <c r="N108" s="1">
        <v>39.0</v>
      </c>
      <c r="O108" s="1">
        <v>35.0</v>
      </c>
      <c r="P108" s="1">
        <v>2.0</v>
      </c>
      <c r="Q108" s="1" t="b">
        <v>0</v>
      </c>
      <c r="R108" s="1">
        <v>100.0</v>
      </c>
      <c r="S108" s="1" t="s">
        <v>353</v>
      </c>
      <c r="T108" s="1" t="s">
        <v>423</v>
      </c>
      <c r="U108" s="1"/>
    </row>
    <row r="109">
      <c r="A109" s="218">
        <v>45173.92763167824</v>
      </c>
      <c r="B109" s="1" t="s">
        <v>62</v>
      </c>
      <c r="C109" s="1" t="s">
        <v>240</v>
      </c>
      <c r="D109" s="1">
        <v>0.0</v>
      </c>
      <c r="E109" s="1">
        <v>1.0</v>
      </c>
      <c r="F109" s="1" t="s">
        <v>844</v>
      </c>
      <c r="G109" s="1" t="s">
        <v>833</v>
      </c>
      <c r="H109" s="1" t="s">
        <v>35</v>
      </c>
      <c r="I109" s="1"/>
      <c r="J109" s="219"/>
      <c r="K109" s="219"/>
      <c r="L109" s="219"/>
      <c r="M109" s="219"/>
      <c r="N109" s="1">
        <v>3.0</v>
      </c>
      <c r="O109" s="1">
        <v>38.0</v>
      </c>
      <c r="P109" s="1">
        <v>2.0</v>
      </c>
      <c r="Q109" s="1" t="b">
        <v>0</v>
      </c>
      <c r="R109" s="1">
        <v>100.0</v>
      </c>
      <c r="S109" s="1" t="s">
        <v>352</v>
      </c>
      <c r="T109" s="1" t="s">
        <v>423</v>
      </c>
      <c r="U109" s="1"/>
    </row>
    <row r="110">
      <c r="A110" s="218">
        <v>45173.92763167824</v>
      </c>
      <c r="B110" s="1" t="s">
        <v>62</v>
      </c>
      <c r="C110" s="1" t="s">
        <v>248</v>
      </c>
      <c r="D110" s="1">
        <v>0.0</v>
      </c>
      <c r="E110" s="1">
        <v>1.0</v>
      </c>
      <c r="F110" s="1" t="s">
        <v>855</v>
      </c>
      <c r="G110" s="1" t="s">
        <v>856</v>
      </c>
      <c r="H110" s="1" t="s">
        <v>58</v>
      </c>
      <c r="I110" s="1"/>
      <c r="J110" s="219">
        <v>-10.0</v>
      </c>
      <c r="K110" s="219">
        <v>-8.5</v>
      </c>
      <c r="L110" s="219">
        <v>255.0</v>
      </c>
      <c r="M110" s="219" t="s">
        <v>845</v>
      </c>
      <c r="N110" s="1">
        <v>24.0</v>
      </c>
      <c r="O110" s="1">
        <v>27.0</v>
      </c>
      <c r="P110" s="1">
        <v>2.0</v>
      </c>
      <c r="Q110" s="1" t="b">
        <v>1</v>
      </c>
      <c r="R110" s="1">
        <v>100.0</v>
      </c>
      <c r="S110" s="1" t="s">
        <v>301</v>
      </c>
      <c r="T110" s="1" t="s">
        <v>422</v>
      </c>
      <c r="U110" s="1"/>
    </row>
    <row r="111">
      <c r="A111" s="218">
        <v>45173.92763167824</v>
      </c>
      <c r="B111" s="1"/>
      <c r="C111" s="1"/>
      <c r="D111" s="1"/>
      <c r="E111" s="1"/>
      <c r="F111" s="1"/>
      <c r="G111" s="1"/>
      <c r="H111" s="1"/>
      <c r="I111" s="1"/>
      <c r="J111" s="219"/>
      <c r="K111" s="219"/>
      <c r="L111" s="219"/>
      <c r="M111" s="219"/>
      <c r="N111" s="1"/>
      <c r="O111" s="1"/>
      <c r="P111" s="1"/>
      <c r="Q111" s="1"/>
      <c r="R111" s="1"/>
      <c r="S111" s="1" t="e">
        <v>#N/A</v>
      </c>
      <c r="T111" s="1" t="e">
        <v>#N/A</v>
      </c>
      <c r="U111" s="1"/>
    </row>
    <row r="112">
      <c r="A112" s="218">
        <v>45173.92763167824</v>
      </c>
      <c r="B112" s="1" t="s">
        <v>69</v>
      </c>
      <c r="C112" s="1" t="s">
        <v>219</v>
      </c>
      <c r="D112" s="1">
        <v>0.0</v>
      </c>
      <c r="E112" s="1">
        <v>1.0</v>
      </c>
      <c r="F112" s="1" t="s">
        <v>921</v>
      </c>
      <c r="G112" s="1" t="s">
        <v>833</v>
      </c>
      <c r="H112" s="1" t="s">
        <v>125</v>
      </c>
      <c r="I112" s="1"/>
      <c r="J112" s="219"/>
      <c r="K112" s="219"/>
      <c r="L112" s="219"/>
      <c r="M112" s="219"/>
      <c r="N112" s="1">
        <v>24.0</v>
      </c>
      <c r="O112" s="1">
        <v>45.0</v>
      </c>
      <c r="P112" s="1">
        <v>2.0</v>
      </c>
      <c r="Q112" s="1" t="b">
        <v>0</v>
      </c>
      <c r="R112" s="1">
        <v>100.0</v>
      </c>
      <c r="S112" s="1" t="s">
        <v>292</v>
      </c>
      <c r="T112" s="1" t="s">
        <v>422</v>
      </c>
      <c r="U112" s="1"/>
    </row>
    <row r="113">
      <c r="A113" s="218">
        <v>45173.92763167824</v>
      </c>
      <c r="B113" s="1" t="s">
        <v>69</v>
      </c>
      <c r="C113" s="1" t="s">
        <v>252</v>
      </c>
      <c r="D113" s="1">
        <v>1.0</v>
      </c>
      <c r="E113" s="1">
        <v>0.0</v>
      </c>
      <c r="F113" s="1" t="s">
        <v>922</v>
      </c>
      <c r="G113" s="1" t="s">
        <v>833</v>
      </c>
      <c r="H113" s="1"/>
      <c r="I113" s="1"/>
      <c r="J113" s="219"/>
      <c r="K113" s="219"/>
      <c r="L113" s="219"/>
      <c r="M113" s="219"/>
      <c r="N113" s="1">
        <v>24.0</v>
      </c>
      <c r="O113" s="1">
        <v>3.0</v>
      </c>
      <c r="P113" s="1">
        <v>2.0</v>
      </c>
      <c r="Q113" s="1" t="b">
        <v>0</v>
      </c>
      <c r="R113" s="1">
        <v>100.0</v>
      </c>
      <c r="S113" s="1" t="s">
        <v>352</v>
      </c>
      <c r="T113" s="1" t="s">
        <v>423</v>
      </c>
      <c r="U113" s="1"/>
    </row>
    <row r="114">
      <c r="A114" s="218">
        <v>45173.92763167824</v>
      </c>
      <c r="B114" s="1" t="s">
        <v>69</v>
      </c>
      <c r="C114" s="1" t="s">
        <v>251</v>
      </c>
      <c r="D114" s="1">
        <v>1.0</v>
      </c>
      <c r="E114" s="1">
        <v>0.0</v>
      </c>
      <c r="F114" s="1" t="s">
        <v>903</v>
      </c>
      <c r="G114" s="1" t="s">
        <v>833</v>
      </c>
      <c r="H114" s="1" t="s">
        <v>67</v>
      </c>
      <c r="I114" s="1"/>
      <c r="J114" s="219">
        <v>-6.5</v>
      </c>
      <c r="K114" s="219">
        <v>-5.5</v>
      </c>
      <c r="L114" s="219">
        <v>-225.0</v>
      </c>
      <c r="M114" s="219" t="s">
        <v>114</v>
      </c>
      <c r="N114" s="1">
        <v>58.0</v>
      </c>
      <c r="O114" s="1">
        <v>21.0</v>
      </c>
      <c r="P114" s="1">
        <v>2.0</v>
      </c>
      <c r="Q114" s="1" t="b">
        <v>0</v>
      </c>
      <c r="R114" s="1">
        <v>100.0</v>
      </c>
      <c r="S114" s="1" t="s">
        <v>354</v>
      </c>
      <c r="T114" s="1" t="s">
        <v>422</v>
      </c>
      <c r="U114" s="1"/>
    </row>
    <row r="115">
      <c r="A115" s="218">
        <v>45173.92763167824</v>
      </c>
      <c r="B115" s="1" t="s">
        <v>69</v>
      </c>
      <c r="C115" s="1" t="s">
        <v>253</v>
      </c>
      <c r="D115" s="1">
        <v>0.0</v>
      </c>
      <c r="E115" s="1">
        <v>1.0</v>
      </c>
      <c r="F115" s="1" t="s">
        <v>916</v>
      </c>
      <c r="G115" s="1" t="s">
        <v>833</v>
      </c>
      <c r="H115" s="1" t="s">
        <v>62</v>
      </c>
      <c r="I115" s="1"/>
      <c r="J115" s="219">
        <v>13.0</v>
      </c>
      <c r="K115" s="219">
        <v>13.5</v>
      </c>
      <c r="L115" s="219">
        <v>420.0</v>
      </c>
      <c r="M115" s="219" t="s">
        <v>917</v>
      </c>
      <c r="N115" s="1">
        <v>24.0</v>
      </c>
      <c r="O115" s="1">
        <v>41.0</v>
      </c>
      <c r="P115" s="1">
        <v>2.0</v>
      </c>
      <c r="Q115" s="1" t="b">
        <v>0</v>
      </c>
      <c r="R115" s="1">
        <v>100.0</v>
      </c>
      <c r="S115" s="1" t="s">
        <v>407</v>
      </c>
      <c r="T115" s="1" t="s">
        <v>423</v>
      </c>
      <c r="U115" s="1"/>
    </row>
    <row r="116">
      <c r="A116" s="218">
        <v>45173.92763167824</v>
      </c>
      <c r="B116" s="1" t="s">
        <v>69</v>
      </c>
      <c r="C116" s="1" t="s">
        <v>255</v>
      </c>
      <c r="D116" s="1">
        <v>1.0</v>
      </c>
      <c r="E116" s="1">
        <v>0.0</v>
      </c>
      <c r="F116" s="1" t="s">
        <v>892</v>
      </c>
      <c r="G116" s="1" t="s">
        <v>833</v>
      </c>
      <c r="H116" s="1" t="s">
        <v>70</v>
      </c>
      <c r="I116" s="1"/>
      <c r="J116" s="219">
        <v>-23.0</v>
      </c>
      <c r="K116" s="219">
        <v>-28.5</v>
      </c>
      <c r="L116" s="219">
        <v>1600.0</v>
      </c>
      <c r="M116" s="219" t="s">
        <v>114</v>
      </c>
      <c r="N116" s="1">
        <v>38.0</v>
      </c>
      <c r="O116" s="1">
        <v>17.0</v>
      </c>
      <c r="P116" s="1">
        <v>2.0</v>
      </c>
      <c r="Q116" s="1" t="b">
        <v>1</v>
      </c>
      <c r="R116" s="1">
        <v>100.0</v>
      </c>
      <c r="S116" s="1" t="s">
        <v>282</v>
      </c>
      <c r="T116" s="1" t="s">
        <v>422</v>
      </c>
      <c r="U116" s="1"/>
    </row>
    <row r="117">
      <c r="A117" s="218">
        <v>45173.92763167824</v>
      </c>
      <c r="B117" s="1" t="s">
        <v>69</v>
      </c>
      <c r="C117" s="1" t="s">
        <v>256</v>
      </c>
      <c r="D117" s="1">
        <v>1.0</v>
      </c>
      <c r="E117" s="1">
        <v>0.0</v>
      </c>
      <c r="F117" s="1" t="s">
        <v>923</v>
      </c>
      <c r="G117" s="1" t="s">
        <v>833</v>
      </c>
      <c r="H117" s="1"/>
      <c r="I117" s="1"/>
      <c r="J117" s="219"/>
      <c r="K117" s="219"/>
      <c r="L117" s="219"/>
      <c r="M117" s="219"/>
      <c r="N117" s="1">
        <v>45.0</v>
      </c>
      <c r="O117" s="1">
        <v>7.0</v>
      </c>
      <c r="P117" s="1">
        <v>2.0</v>
      </c>
      <c r="Q117" s="1" t="b">
        <v>0</v>
      </c>
      <c r="R117" s="1">
        <v>100.0</v>
      </c>
      <c r="S117" s="1" t="s">
        <v>301</v>
      </c>
      <c r="T117" s="1" t="s">
        <v>422</v>
      </c>
      <c r="U117" s="1"/>
    </row>
    <row r="118">
      <c r="A118" s="218">
        <v>45173.92763167824</v>
      </c>
      <c r="B118" s="1" t="s">
        <v>69</v>
      </c>
      <c r="C118" s="1" t="s">
        <v>250</v>
      </c>
      <c r="D118" s="1">
        <v>1.0</v>
      </c>
      <c r="E118" s="1">
        <v>1.0</v>
      </c>
      <c r="F118" s="1" t="s">
        <v>870</v>
      </c>
      <c r="G118" s="1" t="s">
        <v>833</v>
      </c>
      <c r="H118" s="1" t="s">
        <v>60</v>
      </c>
      <c r="I118" s="1"/>
      <c r="J118" s="219"/>
      <c r="K118" s="219"/>
      <c r="L118" s="219"/>
      <c r="M118" s="219"/>
      <c r="N118" s="1">
        <v>36.0</v>
      </c>
      <c r="O118" s="1">
        <v>55.0</v>
      </c>
      <c r="P118" s="1">
        <v>2.0</v>
      </c>
      <c r="Q118" s="1" t="b">
        <v>1</v>
      </c>
      <c r="R118" s="1">
        <v>100.0</v>
      </c>
      <c r="S118" s="1" t="s">
        <v>351</v>
      </c>
      <c r="T118" s="1" t="s">
        <v>423</v>
      </c>
      <c r="U118" s="1"/>
    </row>
    <row r="119">
      <c r="A119" s="218">
        <v>45173.92763167824</v>
      </c>
      <c r="B119" s="1" t="s">
        <v>69</v>
      </c>
      <c r="C119" s="1" t="s">
        <v>254</v>
      </c>
      <c r="D119" s="1">
        <v>0.0</v>
      </c>
      <c r="E119" s="1">
        <v>1.0</v>
      </c>
      <c r="F119" s="1" t="s">
        <v>872</v>
      </c>
      <c r="G119" s="1" t="s">
        <v>833</v>
      </c>
      <c r="H119" s="1" t="s">
        <v>60</v>
      </c>
      <c r="I119" s="1"/>
      <c r="J119" s="219">
        <v>32.5</v>
      </c>
      <c r="K119" s="219">
        <v>36.5</v>
      </c>
      <c r="L119" s="219">
        <v>8000.0</v>
      </c>
      <c r="M119" s="219" t="s">
        <v>235</v>
      </c>
      <c r="N119" s="1">
        <v>0.0</v>
      </c>
      <c r="O119" s="1">
        <v>73.0</v>
      </c>
      <c r="P119" s="1">
        <v>2.0</v>
      </c>
      <c r="Q119" s="1" t="b">
        <v>1</v>
      </c>
      <c r="R119" s="1">
        <v>100.0</v>
      </c>
      <c r="S119" s="1" t="s">
        <v>355</v>
      </c>
      <c r="T119" s="1" t="s">
        <v>423</v>
      </c>
      <c r="U119" s="1"/>
    </row>
    <row r="120">
      <c r="A120" s="218">
        <v>45173.92763167824</v>
      </c>
      <c r="B120" s="1" t="s">
        <v>69</v>
      </c>
      <c r="C120" s="1" t="s">
        <v>243</v>
      </c>
      <c r="D120" s="1">
        <v>1.0</v>
      </c>
      <c r="E120" s="1">
        <v>0.0</v>
      </c>
      <c r="F120" s="1" t="s">
        <v>924</v>
      </c>
      <c r="G120" s="1" t="s">
        <v>833</v>
      </c>
      <c r="H120" s="1"/>
      <c r="I120" s="1"/>
      <c r="J120" s="219"/>
      <c r="K120" s="219"/>
      <c r="L120" s="219"/>
      <c r="M120" s="219"/>
      <c r="N120" s="1">
        <v>42.0</v>
      </c>
      <c r="O120" s="1">
        <v>7.0</v>
      </c>
      <c r="P120" s="1">
        <v>2.0</v>
      </c>
      <c r="Q120" s="1" t="b">
        <v>0</v>
      </c>
      <c r="R120" s="1">
        <v>100.0</v>
      </c>
      <c r="S120" s="1" t="s">
        <v>353</v>
      </c>
      <c r="T120" s="1" t="s">
        <v>423</v>
      </c>
      <c r="U120" s="1"/>
    </row>
    <row r="121">
      <c r="A121" s="218">
        <v>45173.92763167824</v>
      </c>
      <c r="B121" s="1" t="s">
        <v>69</v>
      </c>
      <c r="C121" s="1" t="s">
        <v>257</v>
      </c>
      <c r="D121" s="1">
        <v>1.0</v>
      </c>
      <c r="E121" s="1">
        <v>0.0</v>
      </c>
      <c r="F121" s="1" t="s">
        <v>841</v>
      </c>
      <c r="G121" s="1" t="s">
        <v>833</v>
      </c>
      <c r="H121" s="1" t="s">
        <v>35</v>
      </c>
      <c r="I121" s="1"/>
      <c r="J121" s="219">
        <v>-31.5</v>
      </c>
      <c r="K121" s="219">
        <v>-36.5</v>
      </c>
      <c r="L121" s="219">
        <v>8000.0</v>
      </c>
      <c r="M121" s="219" t="s">
        <v>104</v>
      </c>
      <c r="N121" s="1">
        <v>56.0</v>
      </c>
      <c r="O121" s="1">
        <v>6.0</v>
      </c>
      <c r="P121" s="1">
        <v>2.0</v>
      </c>
      <c r="Q121" s="1" t="b">
        <v>1</v>
      </c>
      <c r="R121" s="1">
        <v>100.0</v>
      </c>
      <c r="S121" s="1" t="s">
        <v>296</v>
      </c>
      <c r="T121" s="1" t="s">
        <v>422</v>
      </c>
      <c r="U121" s="1"/>
    </row>
    <row r="122">
      <c r="A122" s="218">
        <v>45173.92763167824</v>
      </c>
      <c r="B122" s="1"/>
      <c r="C122" s="1"/>
      <c r="D122" s="1"/>
      <c r="E122" s="1"/>
      <c r="F122" s="1"/>
      <c r="G122" s="1"/>
      <c r="H122" s="1"/>
      <c r="I122" s="1"/>
      <c r="J122" s="219"/>
      <c r="K122" s="219"/>
      <c r="L122" s="219"/>
      <c r="M122" s="219"/>
      <c r="N122" s="1"/>
      <c r="O122" s="1"/>
      <c r="P122" s="1"/>
      <c r="Q122" s="1"/>
      <c r="R122" s="1"/>
      <c r="S122" s="1" t="e">
        <v>#N/A</v>
      </c>
      <c r="T122" s="1" t="e">
        <v>#N/A</v>
      </c>
      <c r="U122" s="1"/>
    </row>
    <row r="123">
      <c r="A123" s="218">
        <v>45173.92763167824</v>
      </c>
      <c r="B123" s="1" t="s">
        <v>125</v>
      </c>
      <c r="C123" s="1" t="s">
        <v>224</v>
      </c>
      <c r="D123" s="1">
        <v>1.0</v>
      </c>
      <c r="E123" s="1">
        <v>0.0</v>
      </c>
      <c r="F123" s="1" t="s">
        <v>921</v>
      </c>
      <c r="G123" s="1" t="s">
        <v>833</v>
      </c>
      <c r="H123" s="1" t="s">
        <v>69</v>
      </c>
      <c r="I123" s="1"/>
      <c r="J123" s="219"/>
      <c r="K123" s="219"/>
      <c r="L123" s="219"/>
      <c r="M123" s="219"/>
      <c r="N123" s="1">
        <v>45.0</v>
      </c>
      <c r="O123" s="1">
        <v>24.0</v>
      </c>
      <c r="P123" s="1">
        <v>2.0</v>
      </c>
      <c r="Q123" s="1" t="b">
        <v>1</v>
      </c>
      <c r="R123" s="1">
        <v>100.0</v>
      </c>
      <c r="S123" s="1" t="s">
        <v>301</v>
      </c>
      <c r="T123" s="1" t="s">
        <v>422</v>
      </c>
      <c r="U123" s="1"/>
    </row>
    <row r="124">
      <c r="A124" s="218">
        <v>45173.92763167824</v>
      </c>
      <c r="B124" s="1" t="s">
        <v>125</v>
      </c>
      <c r="C124" s="1" t="s">
        <v>261</v>
      </c>
      <c r="D124" s="1">
        <v>0.0</v>
      </c>
      <c r="E124" s="1">
        <v>1.0</v>
      </c>
      <c r="F124" s="1" t="s">
        <v>882</v>
      </c>
      <c r="G124" s="1" t="s">
        <v>833</v>
      </c>
      <c r="H124" s="1" t="s">
        <v>46</v>
      </c>
      <c r="I124" s="1"/>
      <c r="J124" s="219"/>
      <c r="K124" s="219"/>
      <c r="L124" s="219"/>
      <c r="M124" s="219"/>
      <c r="N124" s="1">
        <v>7.0</v>
      </c>
      <c r="O124" s="1">
        <v>24.0</v>
      </c>
      <c r="P124" s="1">
        <v>2.0</v>
      </c>
      <c r="Q124" s="1" t="b">
        <v>0</v>
      </c>
      <c r="R124" s="1">
        <v>100.0</v>
      </c>
      <c r="S124" s="1" t="s">
        <v>282</v>
      </c>
      <c r="T124" s="1" t="s">
        <v>422</v>
      </c>
      <c r="U124" s="1"/>
    </row>
    <row r="125">
      <c r="A125" s="218">
        <v>45173.92763167824</v>
      </c>
      <c r="B125" s="1" t="s">
        <v>125</v>
      </c>
      <c r="C125" s="1" t="s">
        <v>259</v>
      </c>
      <c r="D125" s="1">
        <v>1.0</v>
      </c>
      <c r="E125" s="1">
        <v>0.0</v>
      </c>
      <c r="F125" s="1" t="s">
        <v>848</v>
      </c>
      <c r="G125" s="1" t="s">
        <v>833</v>
      </c>
      <c r="H125" s="1" t="s">
        <v>58</v>
      </c>
      <c r="I125" s="1"/>
      <c r="J125" s="219"/>
      <c r="K125" s="219"/>
      <c r="L125" s="219"/>
      <c r="M125" s="219"/>
      <c r="N125" s="1">
        <v>50.0</v>
      </c>
      <c r="O125" s="1">
        <v>24.0</v>
      </c>
      <c r="P125" s="1">
        <v>2.0</v>
      </c>
      <c r="Q125" s="1" t="b">
        <v>1</v>
      </c>
      <c r="R125" s="1">
        <v>100.0</v>
      </c>
      <c r="S125" s="1" t="s">
        <v>354</v>
      </c>
      <c r="T125" s="1" t="s">
        <v>422</v>
      </c>
      <c r="U125" s="1"/>
    </row>
    <row r="126">
      <c r="A126" s="218">
        <v>45173.92763167824</v>
      </c>
      <c r="B126" s="1" t="s">
        <v>125</v>
      </c>
      <c r="C126" s="1" t="s">
        <v>264</v>
      </c>
      <c r="D126" s="1">
        <v>1.0</v>
      </c>
      <c r="E126" s="1">
        <v>0.0</v>
      </c>
      <c r="F126" s="1" t="s">
        <v>834</v>
      </c>
      <c r="G126" s="1" t="s">
        <v>833</v>
      </c>
      <c r="H126" s="1" t="s">
        <v>35</v>
      </c>
      <c r="I126" s="1"/>
      <c r="J126" s="219"/>
      <c r="K126" s="219"/>
      <c r="L126" s="219"/>
      <c r="M126" s="219"/>
      <c r="N126" s="1">
        <v>52.0</v>
      </c>
      <c r="O126" s="1">
        <v>10.0</v>
      </c>
      <c r="P126" s="1">
        <v>2.0</v>
      </c>
      <c r="Q126" s="1" t="b">
        <v>1</v>
      </c>
      <c r="R126" s="1">
        <v>100.0</v>
      </c>
      <c r="S126" s="1" t="s">
        <v>292</v>
      </c>
      <c r="T126" s="1" t="s">
        <v>422</v>
      </c>
      <c r="U126" s="1"/>
    </row>
    <row r="127">
      <c r="A127" s="218">
        <v>45173.92763167824</v>
      </c>
      <c r="B127" s="1" t="s">
        <v>125</v>
      </c>
      <c r="C127" s="1" t="s">
        <v>258</v>
      </c>
      <c r="D127" s="1">
        <v>0.0</v>
      </c>
      <c r="E127" s="1">
        <v>1.0</v>
      </c>
      <c r="F127" s="1" t="s">
        <v>925</v>
      </c>
      <c r="G127" s="1" t="s">
        <v>833</v>
      </c>
      <c r="H127" s="1" t="s">
        <v>57</v>
      </c>
      <c r="I127" s="1"/>
      <c r="J127" s="219"/>
      <c r="K127" s="219"/>
      <c r="L127" s="219"/>
      <c r="M127" s="219"/>
      <c r="N127" s="1">
        <v>14.0</v>
      </c>
      <c r="O127" s="1">
        <v>66.0</v>
      </c>
      <c r="P127" s="1">
        <v>2.0</v>
      </c>
      <c r="Q127" s="1" t="b">
        <v>0</v>
      </c>
      <c r="R127" s="1">
        <v>100.0</v>
      </c>
      <c r="S127" s="1" t="s">
        <v>353</v>
      </c>
      <c r="T127" s="1" t="s">
        <v>423</v>
      </c>
      <c r="U127" s="1"/>
    </row>
    <row r="128">
      <c r="A128" s="218">
        <v>45173.92763167824</v>
      </c>
      <c r="B128" s="1" t="s">
        <v>125</v>
      </c>
      <c r="C128" s="1" t="s">
        <v>262</v>
      </c>
      <c r="D128" s="1">
        <v>1.0</v>
      </c>
      <c r="E128" s="1">
        <v>0.0</v>
      </c>
      <c r="F128" s="1" t="s">
        <v>926</v>
      </c>
      <c r="G128" s="1" t="s">
        <v>833</v>
      </c>
      <c r="H128" s="1"/>
      <c r="I128" s="1"/>
      <c r="J128" s="219"/>
      <c r="K128" s="219"/>
      <c r="L128" s="219"/>
      <c r="M128" s="219"/>
      <c r="N128" s="1">
        <v>38.0</v>
      </c>
      <c r="O128" s="1">
        <v>3.0</v>
      </c>
      <c r="P128" s="1">
        <v>2.0</v>
      </c>
      <c r="Q128" s="1" t="b">
        <v>0</v>
      </c>
      <c r="R128" s="1">
        <v>100.0</v>
      </c>
      <c r="S128" s="1" t="s">
        <v>355</v>
      </c>
      <c r="T128" s="1" t="s">
        <v>423</v>
      </c>
      <c r="U128" s="1"/>
    </row>
    <row r="129">
      <c r="A129" s="218">
        <v>45173.92763167824</v>
      </c>
      <c r="B129" s="1" t="s">
        <v>125</v>
      </c>
      <c r="C129" s="1" t="s">
        <v>239</v>
      </c>
      <c r="D129" s="1">
        <v>1.0</v>
      </c>
      <c r="E129" s="1">
        <v>0.0</v>
      </c>
      <c r="F129" s="1" t="s">
        <v>927</v>
      </c>
      <c r="G129" s="1" t="s">
        <v>833</v>
      </c>
      <c r="H129" s="1" t="s">
        <v>125</v>
      </c>
      <c r="I129" s="1"/>
      <c r="J129" s="219">
        <v>-35.0</v>
      </c>
      <c r="K129" s="219">
        <v>-35.5</v>
      </c>
      <c r="L129" s="219">
        <v>8000.0</v>
      </c>
      <c r="M129" s="219" t="s">
        <v>203</v>
      </c>
      <c r="N129" s="1">
        <v>37.0</v>
      </c>
      <c r="O129" s="1">
        <v>10.0</v>
      </c>
      <c r="P129" s="1">
        <v>2.0</v>
      </c>
      <c r="Q129" s="1" t="b">
        <v>1</v>
      </c>
      <c r="R129" s="1">
        <v>100.0</v>
      </c>
      <c r="S129" s="1" t="s">
        <v>296</v>
      </c>
      <c r="T129" s="1" t="s">
        <v>422</v>
      </c>
      <c r="U129" s="1"/>
    </row>
    <row r="130">
      <c r="A130" s="218">
        <v>45173.92763167824</v>
      </c>
      <c r="B130" s="1" t="s">
        <v>125</v>
      </c>
      <c r="C130" s="1" t="s">
        <v>263</v>
      </c>
      <c r="D130" s="1">
        <v>0.0</v>
      </c>
      <c r="E130" s="1">
        <v>1.0</v>
      </c>
      <c r="F130" s="1" t="s">
        <v>927</v>
      </c>
      <c r="G130" s="1" t="s">
        <v>833</v>
      </c>
      <c r="H130" s="1" t="s">
        <v>125</v>
      </c>
      <c r="I130" s="1"/>
      <c r="J130" s="219">
        <v>35.0</v>
      </c>
      <c r="K130" s="219">
        <v>35.5</v>
      </c>
      <c r="L130" s="219">
        <v>8000.0</v>
      </c>
      <c r="M130" s="219" t="s">
        <v>203</v>
      </c>
      <c r="N130" s="1">
        <v>10.0</v>
      </c>
      <c r="O130" s="1">
        <v>37.0</v>
      </c>
      <c r="P130" s="1">
        <v>2.0</v>
      </c>
      <c r="Q130" s="1" t="b">
        <v>0</v>
      </c>
      <c r="R130" s="1">
        <v>100.0</v>
      </c>
      <c r="S130" s="1" t="s">
        <v>407</v>
      </c>
      <c r="T130" s="1" t="s">
        <v>423</v>
      </c>
      <c r="U130" s="1"/>
    </row>
    <row r="131">
      <c r="A131" s="218">
        <v>45173.92763167824</v>
      </c>
      <c r="B131" s="1" t="s">
        <v>125</v>
      </c>
      <c r="C131" s="1" t="s">
        <v>260</v>
      </c>
      <c r="D131" s="1">
        <v>2.0</v>
      </c>
      <c r="E131" s="1">
        <v>0.0</v>
      </c>
      <c r="F131" s="1" t="s">
        <v>928</v>
      </c>
      <c r="G131" s="1" t="s">
        <v>833</v>
      </c>
      <c r="H131" s="1"/>
      <c r="I131" s="1"/>
      <c r="J131" s="219"/>
      <c r="K131" s="219"/>
      <c r="L131" s="219"/>
      <c r="M131" s="219"/>
      <c r="N131" s="1">
        <v>66.0</v>
      </c>
      <c r="O131" s="1">
        <v>17.0</v>
      </c>
      <c r="P131" s="1">
        <v>2.0</v>
      </c>
      <c r="Q131" s="1" t="b">
        <v>0</v>
      </c>
      <c r="R131" s="1">
        <v>100.0</v>
      </c>
      <c r="S131" s="1" t="s">
        <v>351</v>
      </c>
      <c r="T131" s="1" t="s">
        <v>423</v>
      </c>
      <c r="U131" s="1"/>
    </row>
    <row r="132">
      <c r="A132" s="218">
        <v>45173.92763167824</v>
      </c>
      <c r="B132" s="1" t="s">
        <v>125</v>
      </c>
      <c r="C132" s="1" t="s">
        <v>265</v>
      </c>
      <c r="D132" s="1">
        <v>0.0</v>
      </c>
      <c r="E132" s="1">
        <v>1.0</v>
      </c>
      <c r="F132" s="1" t="s">
        <v>877</v>
      </c>
      <c r="G132" s="1" t="s">
        <v>833</v>
      </c>
      <c r="H132" s="1" t="s">
        <v>60</v>
      </c>
      <c r="I132" s="1"/>
      <c r="J132" s="219">
        <v>14.5</v>
      </c>
      <c r="K132" s="219">
        <v>14.5</v>
      </c>
      <c r="L132" s="219">
        <v>580.0</v>
      </c>
      <c r="M132" s="219" t="s">
        <v>878</v>
      </c>
      <c r="N132" s="1">
        <v>7.0</v>
      </c>
      <c r="O132" s="1">
        <v>31.0</v>
      </c>
      <c r="P132" s="1">
        <v>2.0</v>
      </c>
      <c r="Q132" s="1" t="b">
        <v>0</v>
      </c>
      <c r="R132" s="1">
        <v>100.0</v>
      </c>
      <c r="S132" s="1" t="s">
        <v>352</v>
      </c>
      <c r="T132" s="1" t="s">
        <v>423</v>
      </c>
      <c r="U132" s="1"/>
    </row>
    <row r="133">
      <c r="A133" s="218">
        <v>45173.92763167824</v>
      </c>
      <c r="B133" s="1"/>
      <c r="C133" s="1"/>
      <c r="D133" s="1"/>
      <c r="E133" s="1"/>
      <c r="F133" s="1"/>
      <c r="G133" s="1"/>
      <c r="H133" s="1"/>
      <c r="I133" s="1"/>
      <c r="J133" s="219"/>
      <c r="K133" s="219"/>
      <c r="L133" s="219"/>
      <c r="M133" s="219"/>
      <c r="N133" s="1"/>
      <c r="O133" s="1"/>
      <c r="P133" s="1"/>
      <c r="Q133" s="1"/>
      <c r="R133" s="1"/>
      <c r="S133" s="1" t="e">
        <v>#N/A</v>
      </c>
      <c r="T133" s="1" t="e">
        <v>#N/A</v>
      </c>
      <c r="U133" s="1"/>
    </row>
    <row r="134">
      <c r="A134" s="218">
        <v>45173.92763167824</v>
      </c>
      <c r="B134" s="1" t="s">
        <v>61</v>
      </c>
      <c r="C134" s="1" t="s">
        <v>270</v>
      </c>
      <c r="D134" s="1">
        <v>0.0</v>
      </c>
      <c r="E134" s="1">
        <v>1.0</v>
      </c>
      <c r="F134" s="1" t="s">
        <v>847</v>
      </c>
      <c r="G134" s="1" t="s">
        <v>833</v>
      </c>
      <c r="H134" s="1" t="s">
        <v>58</v>
      </c>
      <c r="I134" s="1"/>
      <c r="J134" s="219"/>
      <c r="K134" s="219"/>
      <c r="L134" s="219"/>
      <c r="M134" s="219"/>
      <c r="N134" s="1">
        <v>17.0</v>
      </c>
      <c r="O134" s="1">
        <v>36.0</v>
      </c>
      <c r="P134" s="1">
        <v>2.0</v>
      </c>
      <c r="Q134" s="1" t="b">
        <v>0</v>
      </c>
      <c r="R134" s="1">
        <v>100.0</v>
      </c>
      <c r="S134" s="1" t="s">
        <v>355</v>
      </c>
      <c r="T134" s="1" t="s">
        <v>423</v>
      </c>
      <c r="U134" s="1"/>
    </row>
    <row r="135">
      <c r="A135" s="218">
        <v>45173.92763167824</v>
      </c>
      <c r="B135" s="1" t="s">
        <v>61</v>
      </c>
      <c r="C135" s="1" t="s">
        <v>228</v>
      </c>
      <c r="D135" s="1">
        <v>0.0</v>
      </c>
      <c r="E135" s="1">
        <v>1.0</v>
      </c>
      <c r="F135" s="1" t="s">
        <v>869</v>
      </c>
      <c r="G135" s="1" t="s">
        <v>833</v>
      </c>
      <c r="H135" s="1" t="s">
        <v>60</v>
      </c>
      <c r="I135" s="1"/>
      <c r="J135" s="219"/>
      <c r="K135" s="219"/>
      <c r="L135" s="219"/>
      <c r="M135" s="219"/>
      <c r="N135" s="1">
        <v>7.0</v>
      </c>
      <c r="O135" s="1">
        <v>56.0</v>
      </c>
      <c r="P135" s="1">
        <v>2.0</v>
      </c>
      <c r="Q135" s="1" t="b">
        <v>1</v>
      </c>
      <c r="R135" s="1">
        <v>100.0</v>
      </c>
      <c r="S135" s="1" t="s">
        <v>351</v>
      </c>
      <c r="T135" s="1" t="s">
        <v>423</v>
      </c>
      <c r="U135" s="1"/>
    </row>
    <row r="136">
      <c r="A136" s="218">
        <v>45173.92763167824</v>
      </c>
      <c r="B136" s="1" t="s">
        <v>61</v>
      </c>
      <c r="C136" s="1" t="s">
        <v>267</v>
      </c>
      <c r="D136" s="1">
        <v>1.0</v>
      </c>
      <c r="E136" s="1">
        <v>0.0</v>
      </c>
      <c r="F136" s="1" t="s">
        <v>929</v>
      </c>
      <c r="G136" s="1" t="s">
        <v>833</v>
      </c>
      <c r="H136" s="1"/>
      <c r="I136" s="1"/>
      <c r="J136" s="219"/>
      <c r="K136" s="219"/>
      <c r="L136" s="219"/>
      <c r="M136" s="219"/>
      <c r="N136" s="1">
        <v>27.0</v>
      </c>
      <c r="O136" s="1">
        <v>13.0</v>
      </c>
      <c r="P136" s="1">
        <v>2.0</v>
      </c>
      <c r="Q136" s="1" t="b">
        <v>0</v>
      </c>
      <c r="R136" s="1">
        <v>100.0</v>
      </c>
      <c r="S136" s="1" t="s">
        <v>296</v>
      </c>
      <c r="T136" s="1" t="s">
        <v>422</v>
      </c>
      <c r="U136" s="1"/>
    </row>
    <row r="137">
      <c r="A137" s="218">
        <v>45173.92763167824</v>
      </c>
      <c r="B137" s="1" t="s">
        <v>61</v>
      </c>
      <c r="C137" s="1" t="s">
        <v>266</v>
      </c>
      <c r="D137" s="1">
        <v>1.0</v>
      </c>
      <c r="E137" s="1">
        <v>0.0</v>
      </c>
      <c r="F137" s="1" t="s">
        <v>930</v>
      </c>
      <c r="G137" s="1" t="s">
        <v>833</v>
      </c>
      <c r="H137" s="1" t="s">
        <v>61</v>
      </c>
      <c r="I137" s="1"/>
      <c r="J137" s="219">
        <v>-21.5</v>
      </c>
      <c r="K137" s="219">
        <v>-24.5</v>
      </c>
      <c r="L137" s="219">
        <v>1160.0</v>
      </c>
      <c r="M137" s="219" t="s">
        <v>122</v>
      </c>
      <c r="N137" s="1">
        <v>24.0</v>
      </c>
      <c r="O137" s="1">
        <v>14.0</v>
      </c>
      <c r="P137" s="1">
        <v>2.0</v>
      </c>
      <c r="Q137" s="1" t="b">
        <v>1</v>
      </c>
      <c r="R137" s="1">
        <v>100.0</v>
      </c>
      <c r="S137" s="1" t="s">
        <v>282</v>
      </c>
      <c r="T137" s="1" t="s">
        <v>422</v>
      </c>
      <c r="U137" s="1"/>
    </row>
    <row r="138">
      <c r="A138" s="218">
        <v>45173.92763167824</v>
      </c>
      <c r="B138" s="1" t="s">
        <v>61</v>
      </c>
      <c r="C138" s="1" t="s">
        <v>273</v>
      </c>
      <c r="D138" s="1">
        <v>0.0</v>
      </c>
      <c r="E138" s="1">
        <v>1.0</v>
      </c>
      <c r="F138" s="1" t="s">
        <v>930</v>
      </c>
      <c r="G138" s="1" t="s">
        <v>833</v>
      </c>
      <c r="H138" s="1" t="s">
        <v>61</v>
      </c>
      <c r="I138" s="1"/>
      <c r="J138" s="219">
        <v>21.5</v>
      </c>
      <c r="K138" s="219">
        <v>24.5</v>
      </c>
      <c r="L138" s="219">
        <v>1160.0</v>
      </c>
      <c r="M138" s="219" t="s">
        <v>122</v>
      </c>
      <c r="N138" s="1">
        <v>14.0</v>
      </c>
      <c r="O138" s="1">
        <v>24.0</v>
      </c>
      <c r="P138" s="1">
        <v>2.0</v>
      </c>
      <c r="Q138" s="1" t="b">
        <v>0</v>
      </c>
      <c r="R138" s="1">
        <v>100.0</v>
      </c>
      <c r="S138" s="1" t="s">
        <v>353</v>
      </c>
      <c r="T138" s="1" t="s">
        <v>423</v>
      </c>
      <c r="U138" s="1"/>
    </row>
    <row r="139">
      <c r="A139" s="218">
        <v>45173.92763167824</v>
      </c>
      <c r="B139" s="1" t="s">
        <v>61</v>
      </c>
      <c r="C139" s="1" t="s">
        <v>233</v>
      </c>
      <c r="D139" s="1">
        <v>1.0</v>
      </c>
      <c r="E139" s="1">
        <v>0.0</v>
      </c>
      <c r="F139" s="1" t="s">
        <v>931</v>
      </c>
      <c r="G139" s="1" t="s">
        <v>833</v>
      </c>
      <c r="H139" s="1"/>
      <c r="I139" s="1"/>
      <c r="J139" s="219">
        <v>-26.5</v>
      </c>
      <c r="K139" s="219">
        <v>-26.5</v>
      </c>
      <c r="L139" s="219">
        <v>-4000.0</v>
      </c>
      <c r="M139" s="219" t="s">
        <v>840</v>
      </c>
      <c r="N139" s="1">
        <v>49.0</v>
      </c>
      <c r="O139" s="1">
        <v>13.0</v>
      </c>
      <c r="P139" s="1">
        <v>2.0</v>
      </c>
      <c r="Q139" s="1" t="b">
        <v>0</v>
      </c>
      <c r="R139" s="1">
        <v>100.0</v>
      </c>
      <c r="S139" s="1" t="s">
        <v>292</v>
      </c>
      <c r="T139" s="1" t="s">
        <v>422</v>
      </c>
      <c r="U139" s="1"/>
    </row>
    <row r="140">
      <c r="A140" s="218">
        <v>45173.92763167824</v>
      </c>
      <c r="B140" s="1" t="s">
        <v>61</v>
      </c>
      <c r="C140" s="1" t="s">
        <v>269</v>
      </c>
      <c r="D140" s="1">
        <v>1.0</v>
      </c>
      <c r="E140" s="1">
        <v>0.0</v>
      </c>
      <c r="F140" s="1" t="s">
        <v>907</v>
      </c>
      <c r="G140" s="1" t="s">
        <v>833</v>
      </c>
      <c r="H140" s="1" t="s">
        <v>67</v>
      </c>
      <c r="I140" s="1"/>
      <c r="J140" s="219">
        <v>21.5</v>
      </c>
      <c r="K140" s="219">
        <v>21.0</v>
      </c>
      <c r="L140" s="219">
        <v>810.0</v>
      </c>
      <c r="M140" s="219" t="s">
        <v>908</v>
      </c>
      <c r="N140" s="1">
        <v>45.0</v>
      </c>
      <c r="O140" s="1">
        <v>42.0</v>
      </c>
      <c r="P140" s="1">
        <v>2.0</v>
      </c>
      <c r="Q140" s="1" t="b">
        <v>0</v>
      </c>
      <c r="R140" s="1">
        <v>100.0</v>
      </c>
      <c r="S140" s="1" t="s">
        <v>354</v>
      </c>
      <c r="T140" s="1" t="s">
        <v>422</v>
      </c>
      <c r="U140" s="1"/>
    </row>
    <row r="141">
      <c r="A141" s="218">
        <v>45173.92763167824</v>
      </c>
      <c r="B141" s="1" t="s">
        <v>61</v>
      </c>
      <c r="C141" s="1" t="s">
        <v>272</v>
      </c>
      <c r="D141" s="1">
        <v>1.0</v>
      </c>
      <c r="E141" s="1">
        <v>0.0</v>
      </c>
      <c r="F141" s="1" t="s">
        <v>932</v>
      </c>
      <c r="G141" s="1" t="s">
        <v>833</v>
      </c>
      <c r="H141" s="1"/>
      <c r="I141" s="1"/>
      <c r="J141" s="219"/>
      <c r="K141" s="219"/>
      <c r="L141" s="219"/>
      <c r="M141" s="219"/>
      <c r="N141" s="1">
        <v>35.0</v>
      </c>
      <c r="O141" s="1">
        <v>17.0</v>
      </c>
      <c r="P141" s="1">
        <v>2.0</v>
      </c>
      <c r="Q141" s="1" t="b">
        <v>0</v>
      </c>
      <c r="R141" s="1">
        <v>100.0</v>
      </c>
      <c r="S141" s="1" t="s">
        <v>352</v>
      </c>
      <c r="T141" s="1" t="s">
        <v>423</v>
      </c>
      <c r="U141" s="1"/>
    </row>
    <row r="142">
      <c r="A142" s="218">
        <v>45173.92763167824</v>
      </c>
      <c r="B142" s="1" t="s">
        <v>61</v>
      </c>
      <c r="C142" s="1" t="s">
        <v>268</v>
      </c>
      <c r="D142" s="1">
        <v>1.0</v>
      </c>
      <c r="E142" s="1">
        <v>0.0</v>
      </c>
      <c r="F142" s="1" t="s">
        <v>912</v>
      </c>
      <c r="G142" s="1" t="s">
        <v>833</v>
      </c>
      <c r="H142" s="1" t="s">
        <v>59</v>
      </c>
      <c r="I142" s="1"/>
      <c r="J142" s="219">
        <v>-16.0</v>
      </c>
      <c r="K142" s="219">
        <v>-14.5</v>
      </c>
      <c r="L142" s="219">
        <v>-690.0</v>
      </c>
      <c r="M142" s="219" t="s">
        <v>906</v>
      </c>
      <c r="N142" s="1">
        <v>24.0</v>
      </c>
      <c r="O142" s="1">
        <v>14.0</v>
      </c>
      <c r="P142" s="1">
        <v>2.0</v>
      </c>
      <c r="Q142" s="1" t="b">
        <v>0</v>
      </c>
      <c r="R142" s="1">
        <v>100.0</v>
      </c>
      <c r="S142" s="1" t="s">
        <v>301</v>
      </c>
      <c r="T142" s="1" t="s">
        <v>422</v>
      </c>
      <c r="U142" s="1"/>
    </row>
    <row r="143">
      <c r="A143" s="218">
        <v>45180.92763413195</v>
      </c>
      <c r="B143" s="1" t="s">
        <v>35</v>
      </c>
      <c r="C143" s="1" t="s">
        <v>79</v>
      </c>
      <c r="D143" s="1">
        <v>2.0</v>
      </c>
      <c r="E143" s="1">
        <v>0.0</v>
      </c>
      <c r="F143" s="1" t="s">
        <v>933</v>
      </c>
      <c r="G143" s="218">
        <v>45183.8125</v>
      </c>
      <c r="H143" s="1"/>
      <c r="I143" s="1" t="s">
        <v>900</v>
      </c>
      <c r="J143" s="219"/>
      <c r="K143" s="219"/>
      <c r="L143" s="219"/>
      <c r="M143" s="219"/>
      <c r="N143" s="1">
        <v>86.0</v>
      </c>
      <c r="O143" s="1">
        <v>36.0</v>
      </c>
      <c r="P143" s="1">
        <v>1.0</v>
      </c>
      <c r="Q143" s="1" t="b">
        <v>0</v>
      </c>
      <c r="R143" s="1">
        <v>100.0</v>
      </c>
      <c r="S143" s="1" t="s">
        <v>301</v>
      </c>
      <c r="T143" s="1" t="s">
        <v>422</v>
      </c>
      <c r="U143" s="1"/>
    </row>
    <row r="144">
      <c r="A144" s="218">
        <v>45180.92763413195</v>
      </c>
      <c r="B144" s="1" t="s">
        <v>35</v>
      </c>
      <c r="C144" s="1" t="s">
        <v>81</v>
      </c>
      <c r="D144" s="1">
        <v>1.0</v>
      </c>
      <c r="E144" s="1">
        <v>1.0</v>
      </c>
      <c r="F144" s="1" t="s">
        <v>934</v>
      </c>
      <c r="G144" s="218">
        <v>45185.58333333333</v>
      </c>
      <c r="H144" s="1"/>
      <c r="I144" s="1" t="s">
        <v>935</v>
      </c>
      <c r="J144" s="219"/>
      <c r="K144" s="219"/>
      <c r="L144" s="219"/>
      <c r="M144" s="219"/>
      <c r="N144" s="1">
        <v>31.0</v>
      </c>
      <c r="O144" s="1">
        <v>57.0</v>
      </c>
      <c r="P144" s="1">
        <v>1.0</v>
      </c>
      <c r="Q144" s="1" t="b">
        <v>0</v>
      </c>
      <c r="R144" s="1">
        <v>100.0</v>
      </c>
      <c r="S144" s="1" t="s">
        <v>407</v>
      </c>
      <c r="T144" s="1" t="s">
        <v>423</v>
      </c>
      <c r="U144" s="1"/>
    </row>
    <row r="145">
      <c r="A145" s="218">
        <v>45180.92763413195</v>
      </c>
      <c r="B145" s="1" t="s">
        <v>35</v>
      </c>
      <c r="C145" s="1" t="s">
        <v>71</v>
      </c>
      <c r="D145" s="1">
        <v>1.0</v>
      </c>
      <c r="E145" s="1">
        <v>1.0</v>
      </c>
      <c r="F145" s="1" t="s">
        <v>936</v>
      </c>
      <c r="G145" s="218">
        <v>45185.64583333333</v>
      </c>
      <c r="H145" s="1" t="s">
        <v>62</v>
      </c>
      <c r="I145" s="1" t="s">
        <v>935</v>
      </c>
      <c r="J145" s="219">
        <v>-9.5</v>
      </c>
      <c r="K145" s="219">
        <v>-9.5</v>
      </c>
      <c r="L145" s="219">
        <v>290.0</v>
      </c>
      <c r="M145" s="219" t="s">
        <v>937</v>
      </c>
      <c r="N145" s="1">
        <v>79.0</v>
      </c>
      <c r="O145" s="1">
        <v>64.0</v>
      </c>
      <c r="P145" s="1">
        <v>1.0</v>
      </c>
      <c r="Q145" s="1" t="b">
        <v>0</v>
      </c>
      <c r="R145" s="1">
        <v>100.0</v>
      </c>
      <c r="S145" s="1" t="s">
        <v>355</v>
      </c>
      <c r="T145" s="1" t="s">
        <v>423</v>
      </c>
      <c r="U145" s="1"/>
    </row>
    <row r="146">
      <c r="A146" s="218">
        <v>45180.92763413195</v>
      </c>
      <c r="B146" s="1" t="s">
        <v>35</v>
      </c>
      <c r="C146" s="1" t="s">
        <v>63</v>
      </c>
      <c r="D146" s="1">
        <v>2.0</v>
      </c>
      <c r="E146" s="1">
        <v>0.0</v>
      </c>
      <c r="F146" s="1" t="s">
        <v>938</v>
      </c>
      <c r="G146" s="218">
        <v>45185.64583333333</v>
      </c>
      <c r="H146" s="1" t="s">
        <v>46</v>
      </c>
      <c r="I146" s="1" t="s">
        <v>86</v>
      </c>
      <c r="J146" s="219">
        <v>-26.5</v>
      </c>
      <c r="K146" s="219">
        <v>-27.5</v>
      </c>
      <c r="L146" s="219">
        <v>2400.0</v>
      </c>
      <c r="M146" s="219" t="s">
        <v>68</v>
      </c>
      <c r="N146" s="1">
        <v>93.0</v>
      </c>
      <c r="O146" s="1">
        <v>10.0</v>
      </c>
      <c r="P146" s="1">
        <v>1.0</v>
      </c>
      <c r="Q146" s="1" t="b">
        <v>1</v>
      </c>
      <c r="R146" s="1">
        <v>100.0</v>
      </c>
      <c r="S146" s="1" t="s">
        <v>292</v>
      </c>
      <c r="T146" s="1" t="s">
        <v>422</v>
      </c>
      <c r="U146" s="1"/>
    </row>
    <row r="147">
      <c r="A147" s="218">
        <v>45180.92763413195</v>
      </c>
      <c r="B147" s="1" t="s">
        <v>35</v>
      </c>
      <c r="C147" s="1" t="s">
        <v>80</v>
      </c>
      <c r="D147" s="1">
        <v>0.0</v>
      </c>
      <c r="E147" s="1">
        <v>2.0</v>
      </c>
      <c r="F147" s="1" t="s">
        <v>939</v>
      </c>
      <c r="G147" s="218">
        <v>45185.79166666667</v>
      </c>
      <c r="H147" s="1" t="s">
        <v>58</v>
      </c>
      <c r="I147" s="1" t="s">
        <v>96</v>
      </c>
      <c r="J147" s="219">
        <v>-14.5</v>
      </c>
      <c r="K147" s="219">
        <v>-10.5</v>
      </c>
      <c r="L147" s="219">
        <v>350.0</v>
      </c>
      <c r="M147" s="219" t="s">
        <v>852</v>
      </c>
      <c r="N147" s="1">
        <v>24.0</v>
      </c>
      <c r="O147" s="1">
        <v>49.0</v>
      </c>
      <c r="P147" s="1">
        <v>1.0</v>
      </c>
      <c r="Q147" s="1" t="b">
        <v>1</v>
      </c>
      <c r="R147" s="1">
        <v>100.0</v>
      </c>
      <c r="S147" s="1" t="s">
        <v>282</v>
      </c>
      <c r="T147" s="1" t="s">
        <v>422</v>
      </c>
      <c r="U147" s="1"/>
    </row>
    <row r="148">
      <c r="A148" s="218">
        <v>45180.92763413195</v>
      </c>
      <c r="B148" s="1" t="s">
        <v>35</v>
      </c>
      <c r="C148" s="1" t="s">
        <v>38</v>
      </c>
      <c r="D148" s="1">
        <v>2.0</v>
      </c>
      <c r="E148" s="1">
        <v>0.0</v>
      </c>
      <c r="F148" s="1" t="s">
        <v>940</v>
      </c>
      <c r="G148" s="218">
        <v>45185.83333333333</v>
      </c>
      <c r="H148" s="1" t="s">
        <v>60</v>
      </c>
      <c r="I148" s="1" t="s">
        <v>287</v>
      </c>
      <c r="J148" s="219">
        <v>-37.5</v>
      </c>
      <c r="K148" s="219">
        <v>-37.5</v>
      </c>
      <c r="L148" s="219">
        <v>2800.0</v>
      </c>
      <c r="M148" s="219" t="s">
        <v>871</v>
      </c>
      <c r="N148" s="1">
        <v>119.0</v>
      </c>
      <c r="O148" s="1">
        <v>37.0</v>
      </c>
      <c r="P148" s="1">
        <v>1.0</v>
      </c>
      <c r="Q148" s="1" t="b">
        <v>0</v>
      </c>
      <c r="R148" s="1">
        <v>100.0</v>
      </c>
      <c r="S148" s="1" t="s">
        <v>354</v>
      </c>
      <c r="T148" s="1" t="s">
        <v>422</v>
      </c>
      <c r="U148" s="1"/>
    </row>
    <row r="149">
      <c r="A149" s="218">
        <v>45180.92763413195</v>
      </c>
      <c r="B149" s="1" t="s">
        <v>35</v>
      </c>
      <c r="C149" s="1" t="s">
        <v>88</v>
      </c>
      <c r="D149" s="1">
        <v>1.0</v>
      </c>
      <c r="E149" s="1">
        <v>1.0</v>
      </c>
      <c r="F149" s="1" t="s">
        <v>941</v>
      </c>
      <c r="G149" s="218">
        <v>45185.83333333333</v>
      </c>
      <c r="H149" s="1" t="s">
        <v>57</v>
      </c>
      <c r="I149" s="1" t="s">
        <v>942</v>
      </c>
      <c r="J149" s="219">
        <v>-0.5</v>
      </c>
      <c r="K149" s="219">
        <v>-0.5</v>
      </c>
      <c r="L149" s="219">
        <v>-108.0</v>
      </c>
      <c r="M149" s="219" t="s">
        <v>845</v>
      </c>
      <c r="N149" s="1">
        <v>66.0</v>
      </c>
      <c r="O149" s="1">
        <v>62.0</v>
      </c>
      <c r="P149" s="1">
        <v>1.0</v>
      </c>
      <c r="Q149" s="1" t="b">
        <v>0</v>
      </c>
      <c r="R149" s="1">
        <v>100.0</v>
      </c>
      <c r="S149" s="1" t="s">
        <v>353</v>
      </c>
      <c r="T149" s="1" t="s">
        <v>423</v>
      </c>
      <c r="U149" s="1"/>
    </row>
    <row r="150">
      <c r="A150" s="218">
        <v>45180.92763413195</v>
      </c>
      <c r="B150" s="1" t="s">
        <v>35</v>
      </c>
      <c r="C150" s="1" t="s">
        <v>75</v>
      </c>
      <c r="D150" s="1">
        <v>0.0</v>
      </c>
      <c r="E150" s="1">
        <v>2.0</v>
      </c>
      <c r="F150" s="1" t="s">
        <v>943</v>
      </c>
      <c r="G150" s="218">
        <v>45185.5</v>
      </c>
      <c r="H150" s="1"/>
      <c r="I150" s="1" t="s">
        <v>935</v>
      </c>
      <c r="J150" s="219"/>
      <c r="K150" s="219"/>
      <c r="L150" s="219"/>
      <c r="M150" s="219"/>
      <c r="N150" s="1">
        <v>12.0</v>
      </c>
      <c r="O150" s="1">
        <v>84.0</v>
      </c>
      <c r="P150" s="1">
        <v>1.0</v>
      </c>
      <c r="Q150" s="1" t="b">
        <v>0</v>
      </c>
      <c r="R150" s="1">
        <v>100.0</v>
      </c>
      <c r="S150" s="1" t="s">
        <v>352</v>
      </c>
      <c r="T150" s="1" t="s">
        <v>423</v>
      </c>
      <c r="U150" s="1"/>
    </row>
    <row r="151">
      <c r="A151" s="218">
        <v>45180.92763413195</v>
      </c>
      <c r="B151" s="1" t="s">
        <v>35</v>
      </c>
      <c r="C151" s="1" t="s">
        <v>74</v>
      </c>
      <c r="D151" s="1">
        <v>2.0</v>
      </c>
      <c r="E151" s="1">
        <v>0.0</v>
      </c>
      <c r="F151" s="1" t="s">
        <v>944</v>
      </c>
      <c r="G151" s="218">
        <v>45185.5</v>
      </c>
      <c r="H151" s="1" t="s">
        <v>59</v>
      </c>
      <c r="I151" s="1" t="s">
        <v>945</v>
      </c>
      <c r="J151" s="219">
        <v>-1.5</v>
      </c>
      <c r="K151" s="219">
        <v>-4.5</v>
      </c>
      <c r="L151" s="219">
        <v>-196.0</v>
      </c>
      <c r="M151" s="219" t="s">
        <v>874</v>
      </c>
      <c r="N151" s="1">
        <v>87.0</v>
      </c>
      <c r="O151" s="1">
        <v>13.0</v>
      </c>
      <c r="P151" s="1">
        <v>1.0</v>
      </c>
      <c r="Q151" s="1" t="b">
        <v>1</v>
      </c>
      <c r="R151" s="1">
        <v>100.0</v>
      </c>
      <c r="S151" s="1" t="s">
        <v>296</v>
      </c>
      <c r="T151" s="1" t="s">
        <v>422</v>
      </c>
      <c r="U151" s="1"/>
    </row>
    <row r="152">
      <c r="A152" s="218">
        <v>45180.92763413195</v>
      </c>
      <c r="B152" s="1" t="s">
        <v>35</v>
      </c>
      <c r="C152" s="1" t="s">
        <v>78</v>
      </c>
      <c r="D152" s="1">
        <v>0.0</v>
      </c>
      <c r="E152" s="1">
        <v>2.0</v>
      </c>
      <c r="F152" s="1"/>
      <c r="G152" s="1"/>
      <c r="H152" s="1"/>
      <c r="I152" s="1"/>
      <c r="J152" s="219"/>
      <c r="K152" s="219"/>
      <c r="L152" s="219"/>
      <c r="M152" s="219"/>
      <c r="N152" s="1">
        <v>3.0</v>
      </c>
      <c r="O152" s="1">
        <v>27.0</v>
      </c>
      <c r="P152" s="1">
        <v>3.0</v>
      </c>
      <c r="Q152" s="1" t="b">
        <v>1</v>
      </c>
      <c r="R152" s="1">
        <v>100.0</v>
      </c>
      <c r="S152" s="1" t="s">
        <v>351</v>
      </c>
      <c r="T152" s="1" t="s">
        <v>423</v>
      </c>
      <c r="U152" s="1"/>
    </row>
    <row r="153">
      <c r="A153" s="218">
        <v>45180.92763413195</v>
      </c>
      <c r="B153" s="1"/>
      <c r="C153" s="1"/>
      <c r="D153" s="1"/>
      <c r="E153" s="1"/>
      <c r="F153" s="1"/>
      <c r="G153" s="1"/>
      <c r="H153" s="1"/>
      <c r="I153" s="1"/>
      <c r="J153" s="219"/>
      <c r="K153" s="219"/>
      <c r="L153" s="219"/>
      <c r="M153" s="219"/>
      <c r="N153" s="1"/>
      <c r="O153" s="1"/>
      <c r="P153" s="1"/>
      <c r="Q153" s="1"/>
      <c r="R153" s="1"/>
      <c r="S153" s="1" t="e">
        <v>#N/A</v>
      </c>
      <c r="T153" s="1" t="e">
        <v>#N/A</v>
      </c>
      <c r="U153" s="1"/>
    </row>
    <row r="154">
      <c r="A154" s="218">
        <v>45180.92763413195</v>
      </c>
      <c r="B154" s="1" t="s">
        <v>58</v>
      </c>
      <c r="C154" s="1" t="s">
        <v>118</v>
      </c>
      <c r="D154" s="1">
        <v>2.0</v>
      </c>
      <c r="E154" s="1">
        <v>0.0</v>
      </c>
      <c r="F154" s="1" t="s">
        <v>946</v>
      </c>
      <c r="G154" s="218">
        <v>45183.8125</v>
      </c>
      <c r="H154" s="1" t="s">
        <v>59</v>
      </c>
      <c r="I154" s="1" t="s">
        <v>76</v>
      </c>
      <c r="J154" s="219">
        <v>-12.5</v>
      </c>
      <c r="K154" s="219">
        <v>-14.5</v>
      </c>
      <c r="L154" s="219">
        <v>500.0</v>
      </c>
      <c r="M154" s="219" t="s">
        <v>151</v>
      </c>
      <c r="N154" s="1">
        <v>93.0</v>
      </c>
      <c r="O154" s="1">
        <v>17.0</v>
      </c>
      <c r="P154" s="1">
        <v>1.0</v>
      </c>
      <c r="Q154" s="1" t="b">
        <v>0</v>
      </c>
      <c r="R154" s="1">
        <v>100.0</v>
      </c>
      <c r="S154" s="1" t="s">
        <v>407</v>
      </c>
      <c r="T154" s="1" t="s">
        <v>423</v>
      </c>
      <c r="U154" s="1"/>
    </row>
    <row r="155">
      <c r="A155" s="218">
        <v>45180.92763413195</v>
      </c>
      <c r="B155" s="1" t="s">
        <v>58</v>
      </c>
      <c r="C155" s="1" t="s">
        <v>116</v>
      </c>
      <c r="D155" s="1">
        <v>2.0</v>
      </c>
      <c r="E155" s="1">
        <v>0.0</v>
      </c>
      <c r="F155" s="1" t="s">
        <v>947</v>
      </c>
      <c r="G155" s="218">
        <v>45185.64583333333</v>
      </c>
      <c r="H155" s="1" t="s">
        <v>67</v>
      </c>
      <c r="I155" s="1" t="s">
        <v>76</v>
      </c>
      <c r="J155" s="219">
        <v>4.5</v>
      </c>
      <c r="K155" s="219">
        <v>7.5</v>
      </c>
      <c r="L155" s="219">
        <v>235.0</v>
      </c>
      <c r="M155" s="219" t="s">
        <v>854</v>
      </c>
      <c r="N155" s="1">
        <v>38.0</v>
      </c>
      <c r="O155" s="1">
        <v>16.0</v>
      </c>
      <c r="P155" s="1">
        <v>1.0</v>
      </c>
      <c r="Q155" s="1" t="b">
        <v>1</v>
      </c>
      <c r="R155" s="1">
        <v>100.0</v>
      </c>
      <c r="S155" s="1" t="s">
        <v>282</v>
      </c>
      <c r="T155" s="1" t="s">
        <v>422</v>
      </c>
      <c r="U155" s="1"/>
    </row>
    <row r="156">
      <c r="A156" s="218">
        <v>45180.92763413195</v>
      </c>
      <c r="B156" s="1" t="s">
        <v>58</v>
      </c>
      <c r="C156" s="1" t="s">
        <v>113</v>
      </c>
      <c r="D156" s="1">
        <v>1.0</v>
      </c>
      <c r="E156" s="1">
        <v>1.0</v>
      </c>
      <c r="F156" s="1" t="s">
        <v>948</v>
      </c>
      <c r="G156" s="218">
        <v>45185.64583333333</v>
      </c>
      <c r="H156" s="1" t="s">
        <v>46</v>
      </c>
      <c r="I156" s="1" t="s">
        <v>888</v>
      </c>
      <c r="J156" s="219"/>
      <c r="K156" s="219"/>
      <c r="L156" s="219"/>
      <c r="M156" s="219"/>
      <c r="N156" s="1">
        <v>53.0</v>
      </c>
      <c r="O156" s="1">
        <v>41.0</v>
      </c>
      <c r="P156" s="1">
        <v>1.0</v>
      </c>
      <c r="Q156" s="1" t="b">
        <v>0</v>
      </c>
      <c r="R156" s="1">
        <v>100.0</v>
      </c>
      <c r="S156" s="1" t="s">
        <v>301</v>
      </c>
      <c r="T156" s="1" t="s">
        <v>422</v>
      </c>
      <c r="U156" s="1"/>
    </row>
    <row r="157">
      <c r="A157" s="218">
        <v>45180.92763413195</v>
      </c>
      <c r="B157" s="1" t="s">
        <v>58</v>
      </c>
      <c r="C157" s="1" t="s">
        <v>109</v>
      </c>
      <c r="D157" s="1">
        <v>2.0</v>
      </c>
      <c r="E157" s="1">
        <v>0.0</v>
      </c>
      <c r="F157" s="1" t="s">
        <v>949</v>
      </c>
      <c r="G157" s="218">
        <v>45185.70833333333</v>
      </c>
      <c r="H157" s="1"/>
      <c r="I157" s="1" t="s">
        <v>942</v>
      </c>
      <c r="J157" s="219"/>
      <c r="K157" s="219"/>
      <c r="L157" s="219"/>
      <c r="M157" s="219"/>
      <c r="N157" s="1">
        <v>62.0</v>
      </c>
      <c r="O157" s="1">
        <v>23.0</v>
      </c>
      <c r="P157" s="1">
        <v>1.0</v>
      </c>
      <c r="Q157" s="1" t="b">
        <v>0</v>
      </c>
      <c r="R157" s="1">
        <v>100.0</v>
      </c>
      <c r="S157" s="1" t="s">
        <v>354</v>
      </c>
      <c r="T157" s="1" t="s">
        <v>422</v>
      </c>
      <c r="U157" s="1"/>
    </row>
    <row r="158">
      <c r="A158" s="218">
        <v>45180.92763413195</v>
      </c>
      <c r="B158" s="1" t="s">
        <v>58</v>
      </c>
      <c r="C158" s="1" t="s">
        <v>117</v>
      </c>
      <c r="D158" s="1">
        <v>1.0</v>
      </c>
      <c r="E158" s="1">
        <v>1.0</v>
      </c>
      <c r="F158" s="1" t="s">
        <v>939</v>
      </c>
      <c r="G158" s="218">
        <v>45185.79166666667</v>
      </c>
      <c r="H158" s="1" t="s">
        <v>35</v>
      </c>
      <c r="I158" s="1" t="s">
        <v>96</v>
      </c>
      <c r="J158" s="219">
        <v>14.5</v>
      </c>
      <c r="K158" s="219">
        <v>10.5</v>
      </c>
      <c r="L158" s="219">
        <v>350.0</v>
      </c>
      <c r="M158" s="219" t="s">
        <v>852</v>
      </c>
      <c r="N158" s="1">
        <v>38.0</v>
      </c>
      <c r="O158" s="1">
        <v>38.0</v>
      </c>
      <c r="P158" s="1">
        <v>1.0</v>
      </c>
      <c r="Q158" s="1" t="b">
        <v>0</v>
      </c>
      <c r="R158" s="1">
        <v>100.0</v>
      </c>
      <c r="S158" s="1" t="s">
        <v>352</v>
      </c>
      <c r="T158" s="1" t="s">
        <v>423</v>
      </c>
      <c r="U158" s="1"/>
    </row>
    <row r="159">
      <c r="A159" s="218">
        <v>45180.92763413195</v>
      </c>
      <c r="B159" s="1" t="s">
        <v>58</v>
      </c>
      <c r="C159" s="1" t="s">
        <v>112</v>
      </c>
      <c r="D159" s="1">
        <v>2.0</v>
      </c>
      <c r="E159" s="1">
        <v>0.0</v>
      </c>
      <c r="F159" s="1" t="s">
        <v>950</v>
      </c>
      <c r="G159" s="218">
        <v>45185.79166666667</v>
      </c>
      <c r="H159" s="1"/>
      <c r="I159" s="1" t="s">
        <v>951</v>
      </c>
      <c r="J159" s="219"/>
      <c r="K159" s="219"/>
      <c r="L159" s="219"/>
      <c r="M159" s="219"/>
      <c r="N159" s="1">
        <v>73.0</v>
      </c>
      <c r="O159" s="1">
        <v>24.0</v>
      </c>
      <c r="P159" s="1">
        <v>1.0</v>
      </c>
      <c r="Q159" s="1" t="b">
        <v>0</v>
      </c>
      <c r="R159" s="1">
        <v>100.0</v>
      </c>
      <c r="S159" s="1" t="s">
        <v>292</v>
      </c>
      <c r="T159" s="1" t="s">
        <v>422</v>
      </c>
      <c r="U159" s="1"/>
    </row>
    <row r="160">
      <c r="A160" s="218">
        <v>45180.92763413195</v>
      </c>
      <c r="B160" s="1" t="s">
        <v>58</v>
      </c>
      <c r="C160" s="1" t="s">
        <v>119</v>
      </c>
      <c r="D160" s="1">
        <v>2.0</v>
      </c>
      <c r="E160" s="1">
        <v>0.0</v>
      </c>
      <c r="F160" s="1" t="s">
        <v>952</v>
      </c>
      <c r="G160" s="218">
        <v>45185.8125</v>
      </c>
      <c r="H160" s="1" t="s">
        <v>57</v>
      </c>
      <c r="I160" s="1" t="s">
        <v>36</v>
      </c>
      <c r="J160" s="219">
        <v>10.5</v>
      </c>
      <c r="K160" s="219">
        <v>9.5</v>
      </c>
      <c r="L160" s="219">
        <v>270.0</v>
      </c>
      <c r="M160" s="219" t="s">
        <v>937</v>
      </c>
      <c r="N160" s="1">
        <v>55.0</v>
      </c>
      <c r="O160" s="1">
        <v>16.0</v>
      </c>
      <c r="P160" s="1">
        <v>1.0</v>
      </c>
      <c r="Q160" s="1" t="b">
        <v>1</v>
      </c>
      <c r="R160" s="1">
        <v>100.0</v>
      </c>
      <c r="S160" s="1" t="s">
        <v>296</v>
      </c>
      <c r="T160" s="1" t="s">
        <v>422</v>
      </c>
      <c r="U160" s="1"/>
    </row>
    <row r="161">
      <c r="A161" s="218">
        <v>45180.92763413195</v>
      </c>
      <c r="B161" s="1" t="s">
        <v>58</v>
      </c>
      <c r="C161" s="1" t="s">
        <v>105</v>
      </c>
      <c r="D161" s="1">
        <v>0.0</v>
      </c>
      <c r="E161" s="1">
        <v>1.0</v>
      </c>
      <c r="F161" s="1" t="s">
        <v>953</v>
      </c>
      <c r="G161" s="218">
        <v>45185.91666666667</v>
      </c>
      <c r="H161" s="1" t="s">
        <v>61</v>
      </c>
      <c r="I161" s="1" t="s">
        <v>76</v>
      </c>
      <c r="J161" s="219">
        <v>19.5</v>
      </c>
      <c r="K161" s="219">
        <v>22.5</v>
      </c>
      <c r="L161" s="219">
        <v>980.0</v>
      </c>
      <c r="M161" s="219" t="s">
        <v>954</v>
      </c>
      <c r="N161" s="1">
        <v>24.0</v>
      </c>
      <c r="O161" s="1">
        <v>50.0</v>
      </c>
      <c r="P161" s="1">
        <v>1.0</v>
      </c>
      <c r="Q161" s="1" t="b">
        <v>1</v>
      </c>
      <c r="R161" s="1">
        <v>100.0</v>
      </c>
      <c r="S161" s="1" t="s">
        <v>353</v>
      </c>
      <c r="T161" s="1" t="s">
        <v>423</v>
      </c>
      <c r="U161" s="1"/>
    </row>
    <row r="162">
      <c r="A162" s="218">
        <v>45180.92763413195</v>
      </c>
      <c r="B162" s="1" t="s">
        <v>58</v>
      </c>
      <c r="C162" s="1" t="s">
        <v>102</v>
      </c>
      <c r="D162" s="1">
        <v>2.0</v>
      </c>
      <c r="E162" s="1">
        <v>0.0</v>
      </c>
      <c r="F162" s="1" t="s">
        <v>955</v>
      </c>
      <c r="G162" s="218">
        <v>45185.5</v>
      </c>
      <c r="H162" s="1" t="s">
        <v>70</v>
      </c>
      <c r="I162" s="1" t="s">
        <v>99</v>
      </c>
      <c r="J162" s="219">
        <v>-3.5</v>
      </c>
      <c r="K162" s="219">
        <v>-3.5</v>
      </c>
      <c r="L162" s="219">
        <v>-184.0</v>
      </c>
      <c r="M162" s="219" t="s">
        <v>840</v>
      </c>
      <c r="N162" s="1">
        <v>67.0</v>
      </c>
      <c r="O162" s="1">
        <v>41.0</v>
      </c>
      <c r="P162" s="1">
        <v>1.0</v>
      </c>
      <c r="Q162" s="1" t="b">
        <v>1</v>
      </c>
      <c r="R162" s="1">
        <v>100.0</v>
      </c>
      <c r="S162" s="1" t="s">
        <v>351</v>
      </c>
      <c r="T162" s="1" t="s">
        <v>423</v>
      </c>
      <c r="U162" s="1"/>
    </row>
    <row r="163">
      <c r="A163" s="218">
        <v>45180.92763413195</v>
      </c>
      <c r="B163" s="1" t="s">
        <v>58</v>
      </c>
      <c r="C163" s="1" t="s">
        <v>111</v>
      </c>
      <c r="D163" s="1">
        <v>2.0</v>
      </c>
      <c r="E163" s="1">
        <v>0.0</v>
      </c>
      <c r="F163" s="1"/>
      <c r="G163" s="1"/>
      <c r="H163" s="1"/>
      <c r="I163" s="1"/>
      <c r="J163" s="219"/>
      <c r="K163" s="219"/>
      <c r="L163" s="219"/>
      <c r="M163" s="219"/>
      <c r="N163" s="1">
        <v>52.0</v>
      </c>
      <c r="O163" s="1">
        <v>30.0</v>
      </c>
      <c r="P163" s="1">
        <v>3.0</v>
      </c>
      <c r="Q163" s="1" t="b">
        <v>0</v>
      </c>
      <c r="R163" s="1">
        <v>100.0</v>
      </c>
      <c r="S163" s="1" t="s">
        <v>355</v>
      </c>
      <c r="T163" s="1" t="s">
        <v>423</v>
      </c>
      <c r="U163" s="1"/>
    </row>
    <row r="164">
      <c r="A164" s="218">
        <v>45180.92763413195</v>
      </c>
      <c r="B164" s="1"/>
      <c r="C164" s="1"/>
      <c r="D164" s="1"/>
      <c r="E164" s="1"/>
      <c r="F164" s="1"/>
      <c r="G164" s="1"/>
      <c r="H164" s="1"/>
      <c r="I164" s="1"/>
      <c r="J164" s="219"/>
      <c r="K164" s="219"/>
      <c r="L164" s="219"/>
      <c r="M164" s="219"/>
      <c r="N164" s="1"/>
      <c r="O164" s="1"/>
      <c r="P164" s="1"/>
      <c r="Q164" s="1"/>
      <c r="R164" s="1"/>
      <c r="S164" s="1" t="e">
        <v>#N/A</v>
      </c>
      <c r="T164" s="1" t="e">
        <v>#N/A</v>
      </c>
      <c r="U164" s="1"/>
    </row>
    <row r="165">
      <c r="A165" s="218">
        <v>45180.92763413195</v>
      </c>
      <c r="B165" s="1" t="s">
        <v>56</v>
      </c>
      <c r="C165" s="1" t="s">
        <v>123</v>
      </c>
      <c r="D165" s="1">
        <v>1.0</v>
      </c>
      <c r="E165" s="1">
        <v>1.0</v>
      </c>
      <c r="F165" s="1" t="s">
        <v>956</v>
      </c>
      <c r="G165" s="218">
        <v>45184.79166666667</v>
      </c>
      <c r="H165" s="1" t="s">
        <v>70</v>
      </c>
      <c r="I165" s="1" t="s">
        <v>76</v>
      </c>
      <c r="J165" s="219">
        <v>14.5</v>
      </c>
      <c r="K165" s="219">
        <v>9.5</v>
      </c>
      <c r="L165" s="219">
        <v>300.0</v>
      </c>
      <c r="M165" s="219" t="s">
        <v>852</v>
      </c>
      <c r="N165" s="1">
        <v>70.0</v>
      </c>
      <c r="O165" s="1">
        <v>17.0</v>
      </c>
      <c r="P165" s="1">
        <v>1.0</v>
      </c>
      <c r="Q165" s="1" t="b">
        <v>0</v>
      </c>
      <c r="R165" s="1">
        <v>100.0</v>
      </c>
      <c r="S165" s="1" t="s">
        <v>351</v>
      </c>
      <c r="T165" s="1" t="s">
        <v>423</v>
      </c>
      <c r="U165" s="1"/>
    </row>
    <row r="166">
      <c r="A166" s="218">
        <v>45180.92763413195</v>
      </c>
      <c r="B166" s="1" t="s">
        <v>56</v>
      </c>
      <c r="C166" s="1" t="s">
        <v>128</v>
      </c>
      <c r="D166" s="1">
        <v>3.0</v>
      </c>
      <c r="E166" s="1">
        <v>0.0</v>
      </c>
      <c r="F166" s="1" t="s">
        <v>957</v>
      </c>
      <c r="G166" s="218">
        <v>45185.60416666667</v>
      </c>
      <c r="H166" s="1" t="s">
        <v>125</v>
      </c>
      <c r="I166" s="1" t="s">
        <v>958</v>
      </c>
      <c r="J166" s="219">
        <v>-30.5</v>
      </c>
      <c r="K166" s="219">
        <v>-34.5</v>
      </c>
      <c r="L166" s="219">
        <v>1400.0</v>
      </c>
      <c r="M166" s="219" t="s">
        <v>68</v>
      </c>
      <c r="N166" s="1">
        <v>143.0</v>
      </c>
      <c r="O166" s="1">
        <v>30.0</v>
      </c>
      <c r="P166" s="1">
        <v>1.0</v>
      </c>
      <c r="Q166" s="1" t="b">
        <v>1</v>
      </c>
      <c r="R166" s="1">
        <v>100.0</v>
      </c>
      <c r="S166" s="1" t="s">
        <v>354</v>
      </c>
      <c r="T166" s="1" t="s">
        <v>422</v>
      </c>
      <c r="U166" s="1"/>
    </row>
    <row r="167">
      <c r="A167" s="218">
        <v>45180.92763413195</v>
      </c>
      <c r="B167" s="1" t="s">
        <v>56</v>
      </c>
      <c r="C167" s="1" t="s">
        <v>120</v>
      </c>
      <c r="D167" s="1">
        <v>1.0</v>
      </c>
      <c r="E167" s="1">
        <v>1.0</v>
      </c>
      <c r="F167" s="1" t="s">
        <v>959</v>
      </c>
      <c r="G167" s="218">
        <v>45185.79166666667</v>
      </c>
      <c r="H167" s="1" t="s">
        <v>56</v>
      </c>
      <c r="I167" s="1" t="s">
        <v>935</v>
      </c>
      <c r="J167" s="219">
        <v>-8.5</v>
      </c>
      <c r="K167" s="219">
        <v>-8.5</v>
      </c>
      <c r="L167" s="219">
        <v>260.0</v>
      </c>
      <c r="M167" s="219" t="s">
        <v>203</v>
      </c>
      <c r="N167" s="1">
        <v>99.0</v>
      </c>
      <c r="O167" s="1">
        <v>33.0</v>
      </c>
      <c r="P167" s="1">
        <v>1.0</v>
      </c>
      <c r="Q167" s="1" t="b">
        <v>1</v>
      </c>
      <c r="R167" s="1">
        <v>100.0</v>
      </c>
      <c r="S167" s="1" t="s">
        <v>352</v>
      </c>
      <c r="T167" s="1" t="s">
        <v>423</v>
      </c>
      <c r="U167" s="1"/>
    </row>
    <row r="168">
      <c r="A168" s="218">
        <v>45180.92763413195</v>
      </c>
      <c r="B168" s="1" t="s">
        <v>56</v>
      </c>
      <c r="C168" s="1" t="s">
        <v>129</v>
      </c>
      <c r="D168" s="1">
        <v>1.0</v>
      </c>
      <c r="E168" s="1">
        <v>2.0</v>
      </c>
      <c r="F168" s="1" t="s">
        <v>959</v>
      </c>
      <c r="G168" s="218">
        <v>45185.79166666667</v>
      </c>
      <c r="H168" s="1" t="s">
        <v>56</v>
      </c>
      <c r="I168" s="1" t="s">
        <v>935</v>
      </c>
      <c r="J168" s="219"/>
      <c r="K168" s="219"/>
      <c r="L168" s="219"/>
      <c r="M168" s="219"/>
      <c r="N168" s="1">
        <v>104.0</v>
      </c>
      <c r="O168" s="1">
        <v>101.0</v>
      </c>
      <c r="P168" s="1">
        <v>1.0</v>
      </c>
      <c r="Q168" s="1" t="b">
        <v>0</v>
      </c>
      <c r="R168" s="1">
        <v>100.0</v>
      </c>
      <c r="S168" s="1" t="s">
        <v>353</v>
      </c>
      <c r="T168" s="1" t="s">
        <v>423</v>
      </c>
      <c r="U168" s="1"/>
    </row>
    <row r="169">
      <c r="A169" s="218">
        <v>45180.92763413195</v>
      </c>
      <c r="B169" s="1" t="s">
        <v>56</v>
      </c>
      <c r="C169" s="1" t="s">
        <v>127</v>
      </c>
      <c r="D169" s="1">
        <v>1.0</v>
      </c>
      <c r="E169" s="1">
        <v>1.0</v>
      </c>
      <c r="F169" s="1" t="s">
        <v>960</v>
      </c>
      <c r="G169" s="218">
        <v>45185.79166666667</v>
      </c>
      <c r="H169" s="1" t="s">
        <v>61</v>
      </c>
      <c r="I169" s="1" t="s">
        <v>76</v>
      </c>
      <c r="J169" s="219">
        <v>7.5</v>
      </c>
      <c r="K169" s="219">
        <v>6.5</v>
      </c>
      <c r="L169" s="219">
        <v>-260.0</v>
      </c>
      <c r="M169" s="219" t="s">
        <v>203</v>
      </c>
      <c r="N169" s="1">
        <v>60.0</v>
      </c>
      <c r="O169" s="1">
        <v>31.0</v>
      </c>
      <c r="P169" s="1">
        <v>1.0</v>
      </c>
      <c r="Q169" s="1" t="b">
        <v>0</v>
      </c>
      <c r="R169" s="1">
        <v>100.0</v>
      </c>
      <c r="S169" s="1" t="s">
        <v>292</v>
      </c>
      <c r="T169" s="1" t="s">
        <v>422</v>
      </c>
      <c r="U169" s="1"/>
    </row>
    <row r="170">
      <c r="A170" s="218">
        <v>45180.92763413195</v>
      </c>
      <c r="B170" s="1" t="s">
        <v>56</v>
      </c>
      <c r="C170" s="1" t="s">
        <v>130</v>
      </c>
      <c r="D170" s="1">
        <v>2.0</v>
      </c>
      <c r="E170" s="1">
        <v>0.0</v>
      </c>
      <c r="F170" s="1" t="s">
        <v>961</v>
      </c>
      <c r="G170" s="218">
        <v>45185.8125</v>
      </c>
      <c r="H170" s="1" t="s">
        <v>67</v>
      </c>
      <c r="I170" s="1" t="s">
        <v>90</v>
      </c>
      <c r="J170" s="219">
        <v>3.5</v>
      </c>
      <c r="K170" s="219">
        <v>-3.0</v>
      </c>
      <c r="L170" s="219">
        <v>-150.0</v>
      </c>
      <c r="M170" s="219" t="s">
        <v>954</v>
      </c>
      <c r="N170" s="1">
        <v>113.0</v>
      </c>
      <c r="O170" s="1">
        <v>7.0</v>
      </c>
      <c r="P170" s="1">
        <v>1.0</v>
      </c>
      <c r="Q170" s="1" t="b">
        <v>0</v>
      </c>
      <c r="R170" s="1">
        <v>100.0</v>
      </c>
      <c r="S170" s="1" t="s">
        <v>301</v>
      </c>
      <c r="T170" s="1" t="s">
        <v>422</v>
      </c>
      <c r="U170" s="1"/>
    </row>
    <row r="171">
      <c r="A171" s="218">
        <v>45180.92763413195</v>
      </c>
      <c r="B171" s="1" t="s">
        <v>56</v>
      </c>
      <c r="C171" s="1" t="s">
        <v>133</v>
      </c>
      <c r="D171" s="1">
        <v>1.0</v>
      </c>
      <c r="E171" s="1">
        <v>1.0</v>
      </c>
      <c r="F171" s="1" t="s">
        <v>962</v>
      </c>
      <c r="G171" s="218">
        <v>45185.83333333333</v>
      </c>
      <c r="H171" s="1" t="s">
        <v>70</v>
      </c>
      <c r="I171" s="1" t="s">
        <v>900</v>
      </c>
      <c r="J171" s="219">
        <v>24.5</v>
      </c>
      <c r="K171" s="219">
        <v>24.5</v>
      </c>
      <c r="L171" s="219">
        <v>1200.0</v>
      </c>
      <c r="M171" s="219" t="s">
        <v>73</v>
      </c>
      <c r="N171" s="1">
        <v>52.0</v>
      </c>
      <c r="O171" s="1">
        <v>37.0</v>
      </c>
      <c r="P171" s="1">
        <v>1.0</v>
      </c>
      <c r="Q171" s="1" t="b">
        <v>0</v>
      </c>
      <c r="R171" s="1">
        <v>100.0</v>
      </c>
      <c r="S171" s="1" t="s">
        <v>407</v>
      </c>
      <c r="T171" s="1" t="s">
        <v>423</v>
      </c>
      <c r="U171" s="1"/>
    </row>
    <row r="172">
      <c r="A172" s="218">
        <v>45180.92763413195</v>
      </c>
      <c r="B172" s="1" t="s">
        <v>56</v>
      </c>
      <c r="C172" s="1" t="s">
        <v>126</v>
      </c>
      <c r="D172" s="1">
        <v>1.0</v>
      </c>
      <c r="E172" s="1">
        <v>1.0</v>
      </c>
      <c r="F172" s="1" t="s">
        <v>963</v>
      </c>
      <c r="G172" s="218">
        <v>45185.85416666667</v>
      </c>
      <c r="H172" s="1"/>
      <c r="I172" s="1" t="s">
        <v>935</v>
      </c>
      <c r="J172" s="219"/>
      <c r="K172" s="219"/>
      <c r="L172" s="219"/>
      <c r="M172" s="219"/>
      <c r="N172" s="1">
        <v>55.0</v>
      </c>
      <c r="O172" s="1">
        <v>51.0</v>
      </c>
      <c r="P172" s="1">
        <v>1.0</v>
      </c>
      <c r="Q172" s="1" t="b">
        <v>0</v>
      </c>
      <c r="R172" s="1">
        <v>100.0</v>
      </c>
      <c r="S172" s="1" t="s">
        <v>355</v>
      </c>
      <c r="T172" s="1" t="s">
        <v>423</v>
      </c>
      <c r="U172" s="1"/>
    </row>
    <row r="173">
      <c r="A173" s="218">
        <v>45180.92763413195</v>
      </c>
      <c r="B173" s="1" t="s">
        <v>56</v>
      </c>
      <c r="C173" s="1" t="s">
        <v>124</v>
      </c>
      <c r="D173" s="1">
        <v>1.0</v>
      </c>
      <c r="E173" s="1">
        <v>1.0</v>
      </c>
      <c r="F173" s="1" t="s">
        <v>964</v>
      </c>
      <c r="G173" s="218">
        <v>45185.5</v>
      </c>
      <c r="H173" s="1" t="s">
        <v>57</v>
      </c>
      <c r="I173" s="1" t="s">
        <v>40</v>
      </c>
      <c r="J173" s="219">
        <v>-3.5</v>
      </c>
      <c r="K173" s="219">
        <v>-2.5</v>
      </c>
      <c r="L173" s="219">
        <v>-137.0</v>
      </c>
      <c r="M173" s="219" t="s">
        <v>867</v>
      </c>
      <c r="N173" s="1">
        <v>43.0</v>
      </c>
      <c r="O173" s="1">
        <v>29.0</v>
      </c>
      <c r="P173" s="1">
        <v>1.0</v>
      </c>
      <c r="Q173" s="1" t="b">
        <v>0</v>
      </c>
      <c r="R173" s="1">
        <v>100.0</v>
      </c>
      <c r="S173" s="1" t="s">
        <v>296</v>
      </c>
      <c r="T173" s="1" t="s">
        <v>422</v>
      </c>
      <c r="U173" s="1"/>
    </row>
    <row r="174">
      <c r="A174" s="218">
        <v>45180.92763413195</v>
      </c>
      <c r="B174" s="1" t="s">
        <v>56</v>
      </c>
      <c r="C174" s="1" t="s">
        <v>135</v>
      </c>
      <c r="D174" s="1">
        <v>2.0</v>
      </c>
      <c r="E174" s="1">
        <v>0.0</v>
      </c>
      <c r="F174" s="1" t="s">
        <v>965</v>
      </c>
      <c r="G174" s="218">
        <v>45185.5</v>
      </c>
      <c r="H174" s="1" t="s">
        <v>46</v>
      </c>
      <c r="I174" s="1" t="s">
        <v>92</v>
      </c>
      <c r="J174" s="219">
        <v>-13.5</v>
      </c>
      <c r="K174" s="219">
        <v>-14.5</v>
      </c>
      <c r="L174" s="219">
        <v>-600.0</v>
      </c>
      <c r="M174" s="219" t="s">
        <v>854</v>
      </c>
      <c r="N174" s="1">
        <v>101.0</v>
      </c>
      <c r="O174" s="1">
        <v>22.0</v>
      </c>
      <c r="P174" s="1">
        <v>1.0</v>
      </c>
      <c r="Q174" s="1" t="b">
        <v>1</v>
      </c>
      <c r="R174" s="1">
        <v>100.0</v>
      </c>
      <c r="S174" s="1" t="s">
        <v>282</v>
      </c>
      <c r="T174" s="1" t="s">
        <v>422</v>
      </c>
      <c r="U174" s="1"/>
    </row>
    <row r="175">
      <c r="A175" s="218">
        <v>45180.92763413195</v>
      </c>
      <c r="B175" s="1"/>
      <c r="C175" s="1"/>
      <c r="D175" s="1"/>
      <c r="E175" s="1"/>
      <c r="F175" s="1"/>
      <c r="G175" s="1"/>
      <c r="H175" s="1"/>
      <c r="I175" s="1"/>
      <c r="J175" s="219"/>
      <c r="K175" s="219"/>
      <c r="L175" s="219"/>
      <c r="M175" s="219"/>
      <c r="N175" s="1"/>
      <c r="O175" s="1"/>
      <c r="P175" s="1"/>
      <c r="Q175" s="1"/>
      <c r="R175" s="1"/>
      <c r="S175" s="1" t="e">
        <v>#N/A</v>
      </c>
      <c r="T175" s="1" t="e">
        <v>#N/A</v>
      </c>
      <c r="U175" s="1"/>
    </row>
    <row r="176">
      <c r="A176" s="218">
        <v>45180.92763413195</v>
      </c>
      <c r="B176" s="1" t="s">
        <v>60</v>
      </c>
      <c r="C176" s="1" t="s">
        <v>176</v>
      </c>
      <c r="D176" s="1">
        <v>1.0</v>
      </c>
      <c r="E176" s="1">
        <v>2.0</v>
      </c>
      <c r="F176" s="1" t="s">
        <v>966</v>
      </c>
      <c r="G176" s="218">
        <v>45185.58333333333</v>
      </c>
      <c r="H176" s="1" t="s">
        <v>59</v>
      </c>
      <c r="I176" s="1" t="s">
        <v>935</v>
      </c>
      <c r="J176" s="219"/>
      <c r="K176" s="219"/>
      <c r="L176" s="219"/>
      <c r="M176" s="219"/>
      <c r="N176" s="1">
        <v>83.0</v>
      </c>
      <c r="O176" s="1">
        <v>130.0</v>
      </c>
      <c r="P176" s="1">
        <v>1.0</v>
      </c>
      <c r="Q176" s="1" t="b">
        <v>1</v>
      </c>
      <c r="R176" s="1">
        <v>100.0</v>
      </c>
      <c r="S176" s="1" t="s">
        <v>351</v>
      </c>
      <c r="T176" s="1" t="s">
        <v>423</v>
      </c>
      <c r="U176" s="1"/>
    </row>
    <row r="177">
      <c r="A177" s="218">
        <v>45180.92763413195</v>
      </c>
      <c r="B177" s="1" t="s">
        <v>60</v>
      </c>
      <c r="C177" s="1" t="s">
        <v>177</v>
      </c>
      <c r="D177" s="1">
        <v>0.0</v>
      </c>
      <c r="E177" s="1">
        <v>2.0</v>
      </c>
      <c r="F177" s="1" t="s">
        <v>967</v>
      </c>
      <c r="G177" s="218">
        <v>45185.58333333333</v>
      </c>
      <c r="H177" s="1"/>
      <c r="I177" s="1" t="s">
        <v>935</v>
      </c>
      <c r="J177" s="219"/>
      <c r="K177" s="219"/>
      <c r="L177" s="219"/>
      <c r="M177" s="219"/>
      <c r="N177" s="1">
        <v>17.0</v>
      </c>
      <c r="O177" s="1">
        <v>89.0</v>
      </c>
      <c r="P177" s="1">
        <v>1.0</v>
      </c>
      <c r="Q177" s="1" t="b">
        <v>0</v>
      </c>
      <c r="R177" s="1">
        <v>100.0</v>
      </c>
      <c r="S177" s="1" t="s">
        <v>352</v>
      </c>
      <c r="T177" s="1" t="s">
        <v>423</v>
      </c>
      <c r="U177" s="1"/>
    </row>
    <row r="178">
      <c r="A178" s="218">
        <v>45180.92763413195</v>
      </c>
      <c r="B178" s="1" t="s">
        <v>60</v>
      </c>
      <c r="C178" s="1" t="s">
        <v>179</v>
      </c>
      <c r="D178" s="1">
        <v>2.0</v>
      </c>
      <c r="E178" s="1">
        <v>0.0</v>
      </c>
      <c r="F178" s="1" t="s">
        <v>968</v>
      </c>
      <c r="G178" s="218">
        <v>45185.64583333333</v>
      </c>
      <c r="H178" s="1" t="s">
        <v>57</v>
      </c>
      <c r="I178" s="1" t="s">
        <v>36</v>
      </c>
      <c r="J178" s="219">
        <v>-24.5</v>
      </c>
      <c r="K178" s="219">
        <v>-27.5</v>
      </c>
      <c r="L178" s="219">
        <v>-3500.0</v>
      </c>
      <c r="M178" s="219" t="s">
        <v>969</v>
      </c>
      <c r="N178" s="1">
        <v>101.0</v>
      </c>
      <c r="O178" s="1">
        <v>11.0</v>
      </c>
      <c r="P178" s="1">
        <v>1.0</v>
      </c>
      <c r="Q178" s="1" t="b">
        <v>0</v>
      </c>
      <c r="R178" s="1">
        <v>100.0</v>
      </c>
      <c r="S178" s="1" t="s">
        <v>296</v>
      </c>
      <c r="T178" s="1" t="s">
        <v>422</v>
      </c>
      <c r="U178" s="1"/>
    </row>
    <row r="179">
      <c r="A179" s="218">
        <v>45180.92763413195</v>
      </c>
      <c r="B179" s="1" t="s">
        <v>60</v>
      </c>
      <c r="C179" s="1" t="s">
        <v>137</v>
      </c>
      <c r="D179" s="1">
        <v>1.0</v>
      </c>
      <c r="E179" s="1">
        <v>1.0</v>
      </c>
      <c r="F179" s="1" t="s">
        <v>970</v>
      </c>
      <c r="G179" s="218">
        <v>45185.64583333333</v>
      </c>
      <c r="H179" s="1" t="s">
        <v>69</v>
      </c>
      <c r="I179" s="1" t="s">
        <v>82</v>
      </c>
      <c r="J179" s="219">
        <v>-29.5</v>
      </c>
      <c r="K179" s="219">
        <v>-31.5</v>
      </c>
      <c r="L179" s="219">
        <v>-4500.0</v>
      </c>
      <c r="M179" s="219" t="s">
        <v>971</v>
      </c>
      <c r="N179" s="1">
        <v>80.0</v>
      </c>
      <c r="O179" s="1">
        <v>41.0</v>
      </c>
      <c r="P179" s="1">
        <v>1.0</v>
      </c>
      <c r="Q179" s="1" t="b">
        <v>1</v>
      </c>
      <c r="R179" s="1">
        <v>100.0</v>
      </c>
      <c r="S179" s="1" t="s">
        <v>292</v>
      </c>
      <c r="T179" s="1" t="s">
        <v>422</v>
      </c>
      <c r="U179" s="1"/>
    </row>
    <row r="180">
      <c r="A180" s="218">
        <v>45180.92763413195</v>
      </c>
      <c r="B180" s="1" t="s">
        <v>60</v>
      </c>
      <c r="C180" s="1" t="s">
        <v>178</v>
      </c>
      <c r="D180" s="1">
        <v>2.0</v>
      </c>
      <c r="E180" s="1">
        <v>0.0</v>
      </c>
      <c r="F180" s="1" t="s">
        <v>972</v>
      </c>
      <c r="G180" s="218">
        <v>45185.70833333333</v>
      </c>
      <c r="H180" s="1" t="s">
        <v>46</v>
      </c>
      <c r="I180" s="1" t="s">
        <v>958</v>
      </c>
      <c r="J180" s="219">
        <v>10.5</v>
      </c>
      <c r="K180" s="219">
        <v>16.0</v>
      </c>
      <c r="L180" s="219">
        <v>-850.0</v>
      </c>
      <c r="M180" s="219" t="s">
        <v>235</v>
      </c>
      <c r="N180" s="1">
        <v>76.0</v>
      </c>
      <c r="O180" s="1">
        <v>21.0</v>
      </c>
      <c r="P180" s="1">
        <v>1.0</v>
      </c>
      <c r="Q180" s="1" t="b">
        <v>1</v>
      </c>
      <c r="R180" s="1">
        <v>100.0</v>
      </c>
      <c r="S180" s="1" t="s">
        <v>282</v>
      </c>
      <c r="T180" s="1" t="s">
        <v>422</v>
      </c>
      <c r="U180" s="1"/>
    </row>
    <row r="181">
      <c r="A181" s="218">
        <v>45180.92763413195</v>
      </c>
      <c r="B181" s="1" t="s">
        <v>60</v>
      </c>
      <c r="C181" s="1" t="s">
        <v>175</v>
      </c>
      <c r="D181" s="1">
        <v>1.0</v>
      </c>
      <c r="E181" s="1">
        <v>1.0</v>
      </c>
      <c r="F181" s="1" t="s">
        <v>973</v>
      </c>
      <c r="G181" s="218">
        <v>45185.79166666667</v>
      </c>
      <c r="H181" s="1" t="s">
        <v>61</v>
      </c>
      <c r="I181" s="1" t="s">
        <v>935</v>
      </c>
      <c r="J181" s="219"/>
      <c r="K181" s="219"/>
      <c r="L181" s="219"/>
      <c r="M181" s="219"/>
      <c r="N181" s="1">
        <v>69.0</v>
      </c>
      <c r="O181" s="1">
        <v>51.0</v>
      </c>
      <c r="P181" s="1">
        <v>1.0</v>
      </c>
      <c r="Q181" s="1" t="b">
        <v>1</v>
      </c>
      <c r="R181" s="1">
        <v>100.0</v>
      </c>
      <c r="S181" s="1" t="s">
        <v>355</v>
      </c>
      <c r="T181" s="1" t="s">
        <v>423</v>
      </c>
      <c r="U181" s="1"/>
    </row>
    <row r="182">
      <c r="A182" s="218">
        <v>45180.92763413195</v>
      </c>
      <c r="B182" s="1" t="s">
        <v>60</v>
      </c>
      <c r="C182" s="1" t="s">
        <v>139</v>
      </c>
      <c r="D182" s="1">
        <v>1.0</v>
      </c>
      <c r="E182" s="1">
        <v>1.0</v>
      </c>
      <c r="F182" s="1" t="s">
        <v>974</v>
      </c>
      <c r="G182" s="218">
        <v>45185.79166666667</v>
      </c>
      <c r="H182" s="1"/>
      <c r="I182" s="1" t="s">
        <v>935</v>
      </c>
      <c r="J182" s="219"/>
      <c r="K182" s="219"/>
      <c r="L182" s="219"/>
      <c r="M182" s="219"/>
      <c r="N182" s="1">
        <v>49.0</v>
      </c>
      <c r="O182" s="1">
        <v>42.0</v>
      </c>
      <c r="P182" s="1">
        <v>1.0</v>
      </c>
      <c r="Q182" s="1" t="b">
        <v>0</v>
      </c>
      <c r="R182" s="1">
        <v>100.0</v>
      </c>
      <c r="S182" s="1" t="s">
        <v>407</v>
      </c>
      <c r="T182" s="1" t="s">
        <v>423</v>
      </c>
      <c r="U182" s="1"/>
    </row>
    <row r="183">
      <c r="A183" s="218">
        <v>45180.92763413195</v>
      </c>
      <c r="B183" s="1" t="s">
        <v>60</v>
      </c>
      <c r="C183" s="1" t="s">
        <v>173</v>
      </c>
      <c r="D183" s="1">
        <v>1.0</v>
      </c>
      <c r="E183" s="1">
        <v>2.0</v>
      </c>
      <c r="F183" s="1" t="s">
        <v>940</v>
      </c>
      <c r="G183" s="218">
        <v>45185.83333333333</v>
      </c>
      <c r="H183" s="1" t="s">
        <v>35</v>
      </c>
      <c r="I183" s="1" t="s">
        <v>287</v>
      </c>
      <c r="J183" s="219">
        <v>37.5</v>
      </c>
      <c r="K183" s="219">
        <v>37.5</v>
      </c>
      <c r="L183" s="219">
        <v>2800.0</v>
      </c>
      <c r="M183" s="219" t="s">
        <v>871</v>
      </c>
      <c r="N183" s="1">
        <v>83.0</v>
      </c>
      <c r="O183" s="1">
        <v>92.0</v>
      </c>
      <c r="P183" s="1">
        <v>1.0</v>
      </c>
      <c r="Q183" s="1" t="b">
        <v>1</v>
      </c>
      <c r="R183" s="1">
        <v>100.0</v>
      </c>
      <c r="S183" s="1" t="s">
        <v>353</v>
      </c>
      <c r="T183" s="1" t="s">
        <v>423</v>
      </c>
      <c r="U183" s="1"/>
    </row>
    <row r="184">
      <c r="A184" s="218">
        <v>45180.92763413195</v>
      </c>
      <c r="B184" s="1" t="s">
        <v>60</v>
      </c>
      <c r="C184" s="1" t="s">
        <v>174</v>
      </c>
      <c r="D184" s="1">
        <v>1.0</v>
      </c>
      <c r="E184" s="1">
        <v>1.0</v>
      </c>
      <c r="F184" s="1" t="s">
        <v>975</v>
      </c>
      <c r="G184" s="218">
        <v>45185.9375</v>
      </c>
      <c r="H184" s="1" t="s">
        <v>62</v>
      </c>
      <c r="I184" s="1" t="s">
        <v>96</v>
      </c>
      <c r="J184" s="219">
        <v>-2.5</v>
      </c>
      <c r="K184" s="219">
        <v>2.5</v>
      </c>
      <c r="L184" s="219">
        <v>-150.0</v>
      </c>
      <c r="M184" s="219" t="s">
        <v>937</v>
      </c>
      <c r="N184" s="1">
        <v>39.0</v>
      </c>
      <c r="O184" s="1">
        <v>48.0</v>
      </c>
      <c r="P184" s="1">
        <v>1.0</v>
      </c>
      <c r="Q184" s="1" t="b">
        <v>1</v>
      </c>
      <c r="R184" s="1">
        <v>100.0</v>
      </c>
      <c r="S184" s="1" t="s">
        <v>354</v>
      </c>
      <c r="T184" s="1" t="s">
        <v>422</v>
      </c>
      <c r="U184" s="1"/>
    </row>
    <row r="185">
      <c r="A185" s="218">
        <v>45180.92763413195</v>
      </c>
      <c r="B185" s="1" t="s">
        <v>60</v>
      </c>
      <c r="C185" s="1" t="s">
        <v>164</v>
      </c>
      <c r="D185" s="1">
        <v>2.0</v>
      </c>
      <c r="E185" s="1">
        <v>0.0</v>
      </c>
      <c r="F185" s="1" t="s">
        <v>976</v>
      </c>
      <c r="G185" s="218">
        <v>45185.5</v>
      </c>
      <c r="H185" s="1" t="s">
        <v>70</v>
      </c>
      <c r="I185" s="1" t="s">
        <v>888</v>
      </c>
      <c r="J185" s="219">
        <v>-10.5</v>
      </c>
      <c r="K185" s="219">
        <v>-10.5</v>
      </c>
      <c r="L185" s="219">
        <v>300.0</v>
      </c>
      <c r="M185" s="219" t="s">
        <v>114</v>
      </c>
      <c r="N185" s="1">
        <v>95.0</v>
      </c>
      <c r="O185" s="1">
        <v>34.0</v>
      </c>
      <c r="P185" s="1">
        <v>1.0</v>
      </c>
      <c r="Q185" s="1" t="b">
        <v>0</v>
      </c>
      <c r="R185" s="1">
        <v>100.0</v>
      </c>
      <c r="S185" s="1" t="s">
        <v>301</v>
      </c>
      <c r="T185" s="1" t="s">
        <v>422</v>
      </c>
      <c r="U185" s="1"/>
    </row>
    <row r="186">
      <c r="A186" s="218">
        <v>45180.92763413195</v>
      </c>
      <c r="B186" s="1"/>
      <c r="C186" s="1"/>
      <c r="D186" s="1"/>
      <c r="E186" s="1"/>
      <c r="F186" s="1"/>
      <c r="G186" s="1"/>
      <c r="H186" s="1"/>
      <c r="I186" s="1"/>
      <c r="J186" s="219"/>
      <c r="K186" s="219"/>
      <c r="L186" s="219"/>
      <c r="M186" s="219"/>
      <c r="N186" s="1"/>
      <c r="O186" s="1"/>
      <c r="P186" s="1"/>
      <c r="Q186" s="1"/>
      <c r="R186" s="1"/>
      <c r="S186" s="1" t="e">
        <v>#N/A</v>
      </c>
      <c r="T186" s="1" t="e">
        <v>#N/A</v>
      </c>
      <c r="U186" s="1"/>
    </row>
    <row r="187">
      <c r="A187" s="218">
        <v>45180.92763413195</v>
      </c>
      <c r="B187" s="1" t="s">
        <v>46</v>
      </c>
      <c r="C187" s="1" t="s">
        <v>187</v>
      </c>
      <c r="D187" s="1">
        <v>2.0</v>
      </c>
      <c r="E187" s="1">
        <v>0.0</v>
      </c>
      <c r="F187" s="1" t="s">
        <v>977</v>
      </c>
      <c r="G187" s="218">
        <v>45185.64583333333</v>
      </c>
      <c r="H187" s="1" t="s">
        <v>125</v>
      </c>
      <c r="I187" s="1" t="s">
        <v>900</v>
      </c>
      <c r="J187" s="219">
        <v>-19.5</v>
      </c>
      <c r="K187" s="219">
        <v>-18.5</v>
      </c>
      <c r="L187" s="219">
        <v>810.0</v>
      </c>
      <c r="M187" s="219" t="s">
        <v>906</v>
      </c>
      <c r="N187" s="1">
        <v>70.0</v>
      </c>
      <c r="O187" s="1">
        <v>14.0</v>
      </c>
      <c r="P187" s="1">
        <v>1.0</v>
      </c>
      <c r="Q187" s="1" t="b">
        <v>0</v>
      </c>
      <c r="R187" s="1">
        <v>100.0</v>
      </c>
      <c r="S187" s="1" t="s">
        <v>301</v>
      </c>
      <c r="T187" s="1" t="s">
        <v>422</v>
      </c>
      <c r="U187" s="1"/>
    </row>
    <row r="188">
      <c r="A188" s="218">
        <v>45180.92763413195</v>
      </c>
      <c r="B188" s="1" t="s">
        <v>46</v>
      </c>
      <c r="C188" s="1" t="s">
        <v>184</v>
      </c>
      <c r="D188" s="1">
        <v>1.0</v>
      </c>
      <c r="E188" s="1">
        <v>1.0</v>
      </c>
      <c r="F188" s="1" t="s">
        <v>938</v>
      </c>
      <c r="G188" s="218">
        <v>45185.64583333333</v>
      </c>
      <c r="H188" s="1" t="s">
        <v>35</v>
      </c>
      <c r="I188" s="1" t="s">
        <v>86</v>
      </c>
      <c r="J188" s="219">
        <v>26.5</v>
      </c>
      <c r="K188" s="219">
        <v>27.5</v>
      </c>
      <c r="L188" s="219">
        <v>2400.0</v>
      </c>
      <c r="M188" s="219" t="s">
        <v>68</v>
      </c>
      <c r="N188" s="1">
        <v>64.0</v>
      </c>
      <c r="O188" s="1">
        <v>52.0</v>
      </c>
      <c r="P188" s="1">
        <v>1.0</v>
      </c>
      <c r="Q188" s="1" t="b">
        <v>0</v>
      </c>
      <c r="R188" s="1">
        <v>100.0</v>
      </c>
      <c r="S188" s="1" t="s">
        <v>292</v>
      </c>
      <c r="T188" s="1" t="s">
        <v>422</v>
      </c>
      <c r="U188" s="1"/>
    </row>
    <row r="189">
      <c r="A189" s="218">
        <v>45180.92763413195</v>
      </c>
      <c r="B189" s="1" t="s">
        <v>46</v>
      </c>
      <c r="C189" s="1" t="s">
        <v>185</v>
      </c>
      <c r="D189" s="1">
        <v>2.0</v>
      </c>
      <c r="E189" s="1">
        <v>0.0</v>
      </c>
      <c r="F189" s="1" t="s">
        <v>948</v>
      </c>
      <c r="G189" s="218">
        <v>45185.64583333333</v>
      </c>
      <c r="H189" s="1" t="s">
        <v>58</v>
      </c>
      <c r="I189" s="1" t="s">
        <v>888</v>
      </c>
      <c r="J189" s="219"/>
      <c r="K189" s="219"/>
      <c r="L189" s="219"/>
      <c r="M189" s="219"/>
      <c r="N189" s="1">
        <v>60.0</v>
      </c>
      <c r="O189" s="1">
        <v>14.0</v>
      </c>
      <c r="P189" s="1">
        <v>1.0</v>
      </c>
      <c r="Q189" s="1" t="b">
        <v>1</v>
      </c>
      <c r="R189" s="1">
        <v>100.0</v>
      </c>
      <c r="S189" s="1" t="s">
        <v>351</v>
      </c>
      <c r="T189" s="1" t="s">
        <v>423</v>
      </c>
      <c r="U189" s="1"/>
    </row>
    <row r="190">
      <c r="A190" s="218">
        <v>45180.92763413195</v>
      </c>
      <c r="B190" s="1" t="s">
        <v>46</v>
      </c>
      <c r="C190" s="1" t="s">
        <v>182</v>
      </c>
      <c r="D190" s="1">
        <v>1.0</v>
      </c>
      <c r="E190" s="1">
        <v>1.0</v>
      </c>
      <c r="F190" s="1" t="s">
        <v>978</v>
      </c>
      <c r="G190" s="218">
        <v>45185.66666666667</v>
      </c>
      <c r="H190" s="1" t="s">
        <v>70</v>
      </c>
      <c r="I190" s="1" t="s">
        <v>40</v>
      </c>
      <c r="J190" s="219">
        <v>-11.5</v>
      </c>
      <c r="K190" s="219">
        <v>-12.5</v>
      </c>
      <c r="L190" s="219">
        <v>-520.0</v>
      </c>
      <c r="M190" s="219" t="s">
        <v>73</v>
      </c>
      <c r="N190" s="1">
        <v>57.0</v>
      </c>
      <c r="O190" s="1">
        <v>54.0</v>
      </c>
      <c r="P190" s="1">
        <v>1.0</v>
      </c>
      <c r="Q190" s="1" t="b">
        <v>1</v>
      </c>
      <c r="R190" s="1">
        <v>100.0</v>
      </c>
      <c r="S190" s="1" t="s">
        <v>407</v>
      </c>
      <c r="T190" s="1" t="s">
        <v>423</v>
      </c>
      <c r="U190" s="1"/>
    </row>
    <row r="191">
      <c r="A191" s="218">
        <v>45180.92763413195</v>
      </c>
      <c r="B191" s="1" t="s">
        <v>46</v>
      </c>
      <c r="C191" s="1" t="s">
        <v>180</v>
      </c>
      <c r="D191" s="1">
        <v>2.0</v>
      </c>
      <c r="E191" s="1">
        <v>0.0</v>
      </c>
      <c r="F191" s="1" t="s">
        <v>972</v>
      </c>
      <c r="G191" s="218">
        <v>45185.70833333333</v>
      </c>
      <c r="H191" s="1" t="s">
        <v>60</v>
      </c>
      <c r="I191" s="1" t="s">
        <v>958</v>
      </c>
      <c r="J191" s="219">
        <v>-10.5</v>
      </c>
      <c r="K191" s="219">
        <v>-16.0</v>
      </c>
      <c r="L191" s="219">
        <v>-850.0</v>
      </c>
      <c r="M191" s="219" t="s">
        <v>235</v>
      </c>
      <c r="N191" s="1">
        <v>99.0</v>
      </c>
      <c r="O191" s="1">
        <v>29.0</v>
      </c>
      <c r="P191" s="1">
        <v>1.0</v>
      </c>
      <c r="Q191" s="1" t="b">
        <v>0</v>
      </c>
      <c r="R191" s="1">
        <v>100.0</v>
      </c>
      <c r="S191" s="1" t="s">
        <v>354</v>
      </c>
      <c r="T191" s="1" t="s">
        <v>422</v>
      </c>
      <c r="U191" s="1"/>
    </row>
    <row r="192">
      <c r="A192" s="218">
        <v>45180.92763413195</v>
      </c>
      <c r="B192" s="1" t="s">
        <v>46</v>
      </c>
      <c r="C192" s="1" t="s">
        <v>188</v>
      </c>
      <c r="D192" s="1">
        <v>0.0</v>
      </c>
      <c r="E192" s="1">
        <v>2.0</v>
      </c>
      <c r="F192" s="1" t="s">
        <v>979</v>
      </c>
      <c r="G192" s="218">
        <v>45185.79166666667</v>
      </c>
      <c r="H192" s="1"/>
      <c r="I192" s="1" t="s">
        <v>935</v>
      </c>
      <c r="J192" s="219"/>
      <c r="K192" s="219"/>
      <c r="L192" s="219"/>
      <c r="M192" s="219"/>
      <c r="N192" s="1">
        <v>63.0</v>
      </c>
      <c r="O192" s="1">
        <v>73.0</v>
      </c>
      <c r="P192" s="1">
        <v>1.0</v>
      </c>
      <c r="Q192" s="1" t="b">
        <v>0</v>
      </c>
      <c r="R192" s="1">
        <v>100.0</v>
      </c>
      <c r="S192" s="1" t="s">
        <v>296</v>
      </c>
      <c r="T192" s="1" t="s">
        <v>422</v>
      </c>
      <c r="U192" s="1"/>
    </row>
    <row r="193">
      <c r="A193" s="218">
        <v>45180.92763413195</v>
      </c>
      <c r="B193" s="1" t="s">
        <v>46</v>
      </c>
      <c r="C193" s="1" t="s">
        <v>181</v>
      </c>
      <c r="D193" s="1">
        <v>1.0</v>
      </c>
      <c r="E193" s="1">
        <v>1.0</v>
      </c>
      <c r="F193" s="1" t="s">
        <v>980</v>
      </c>
      <c r="G193" s="218">
        <v>45185.79166666667</v>
      </c>
      <c r="H193" s="1" t="s">
        <v>125</v>
      </c>
      <c r="I193" s="1" t="s">
        <v>981</v>
      </c>
      <c r="J193" s="219">
        <v>-1.5</v>
      </c>
      <c r="K193" s="219">
        <v>-1.5</v>
      </c>
      <c r="L193" s="219">
        <v>106.0</v>
      </c>
      <c r="M193" s="219" t="s">
        <v>854</v>
      </c>
      <c r="N193" s="1">
        <v>61.0</v>
      </c>
      <c r="O193" s="1">
        <v>72.0</v>
      </c>
      <c r="P193" s="1">
        <v>1.0</v>
      </c>
      <c r="Q193" s="1" t="b">
        <v>0</v>
      </c>
      <c r="R193" s="1">
        <v>100.0</v>
      </c>
      <c r="S193" s="1" t="s">
        <v>355</v>
      </c>
      <c r="T193" s="1" t="s">
        <v>423</v>
      </c>
      <c r="U193" s="1"/>
    </row>
    <row r="194">
      <c r="A194" s="218">
        <v>45180.92763413195</v>
      </c>
      <c r="B194" s="1" t="s">
        <v>46</v>
      </c>
      <c r="C194" s="1" t="s">
        <v>189</v>
      </c>
      <c r="D194" s="1">
        <v>1.0</v>
      </c>
      <c r="E194" s="1">
        <v>1.0</v>
      </c>
      <c r="F194" s="1" t="s">
        <v>982</v>
      </c>
      <c r="G194" s="218">
        <v>45185.8125</v>
      </c>
      <c r="H194" s="1" t="s">
        <v>70</v>
      </c>
      <c r="I194" s="1" t="s">
        <v>40</v>
      </c>
      <c r="J194" s="219">
        <v>24.5</v>
      </c>
      <c r="K194" s="219">
        <v>25.5</v>
      </c>
      <c r="L194" s="219">
        <v>1280.0</v>
      </c>
      <c r="M194" s="219" t="s">
        <v>874</v>
      </c>
      <c r="N194" s="1">
        <v>45.0</v>
      </c>
      <c r="O194" s="1">
        <v>45.0</v>
      </c>
      <c r="P194" s="1">
        <v>1.0</v>
      </c>
      <c r="Q194" s="1" t="b">
        <v>1</v>
      </c>
      <c r="R194" s="1">
        <v>100.0</v>
      </c>
      <c r="S194" s="1" t="s">
        <v>352</v>
      </c>
      <c r="T194" s="1" t="s">
        <v>423</v>
      </c>
      <c r="U194" s="1"/>
    </row>
    <row r="195">
      <c r="A195" s="218">
        <v>45180.92763413195</v>
      </c>
      <c r="B195" s="1" t="s">
        <v>46</v>
      </c>
      <c r="C195" s="1" t="s">
        <v>183</v>
      </c>
      <c r="D195" s="1">
        <v>2.0</v>
      </c>
      <c r="E195" s="1">
        <v>0.0</v>
      </c>
      <c r="F195" s="1" t="s">
        <v>983</v>
      </c>
      <c r="G195" s="218">
        <v>45185.83333333333</v>
      </c>
      <c r="H195" s="1" t="s">
        <v>125</v>
      </c>
      <c r="I195" s="1" t="s">
        <v>984</v>
      </c>
      <c r="J195" s="219">
        <v>26.5</v>
      </c>
      <c r="K195" s="219">
        <v>28.5</v>
      </c>
      <c r="L195" s="219">
        <v>1400.0</v>
      </c>
      <c r="M195" s="219" t="s">
        <v>854</v>
      </c>
      <c r="N195" s="1">
        <v>66.0</v>
      </c>
      <c r="O195" s="1">
        <v>50.0</v>
      </c>
      <c r="P195" s="1">
        <v>1.0</v>
      </c>
      <c r="Q195" s="1" t="b">
        <v>0</v>
      </c>
      <c r="R195" s="1">
        <v>100.0</v>
      </c>
      <c r="S195" s="1" t="s">
        <v>353</v>
      </c>
      <c r="T195" s="1" t="s">
        <v>423</v>
      </c>
      <c r="U195" s="1"/>
    </row>
    <row r="196">
      <c r="A196" s="218">
        <v>45180.92763413195</v>
      </c>
      <c r="B196" s="1" t="s">
        <v>46</v>
      </c>
      <c r="C196" s="1" t="s">
        <v>186</v>
      </c>
      <c r="D196" s="1">
        <v>1.0</v>
      </c>
      <c r="E196" s="1">
        <v>1.0</v>
      </c>
      <c r="F196" s="1" t="s">
        <v>965</v>
      </c>
      <c r="G196" s="218">
        <v>45185.5</v>
      </c>
      <c r="H196" s="1" t="s">
        <v>56</v>
      </c>
      <c r="I196" s="1" t="s">
        <v>92</v>
      </c>
      <c r="J196" s="219">
        <v>13.5</v>
      </c>
      <c r="K196" s="219">
        <v>14.5</v>
      </c>
      <c r="L196" s="219">
        <v>-600.0</v>
      </c>
      <c r="M196" s="219" t="s">
        <v>854</v>
      </c>
      <c r="N196" s="1">
        <v>53.0</v>
      </c>
      <c r="O196" s="1">
        <v>62.0</v>
      </c>
      <c r="P196" s="1">
        <v>1.0</v>
      </c>
      <c r="Q196" s="1" t="b">
        <v>0</v>
      </c>
      <c r="R196" s="1">
        <v>100.0</v>
      </c>
      <c r="S196" s="1" t="s">
        <v>282</v>
      </c>
      <c r="T196" s="1" t="s">
        <v>422</v>
      </c>
      <c r="U196" s="1"/>
    </row>
    <row r="197">
      <c r="A197" s="218">
        <v>45180.92763413195</v>
      </c>
      <c r="B197" s="1"/>
      <c r="C197" s="1"/>
      <c r="D197" s="1"/>
      <c r="E197" s="1"/>
      <c r="F197" s="1"/>
      <c r="G197" s="1"/>
      <c r="H197" s="1"/>
      <c r="I197" s="1"/>
      <c r="J197" s="219"/>
      <c r="K197" s="219"/>
      <c r="L197" s="219"/>
      <c r="M197" s="219"/>
      <c r="N197" s="1"/>
      <c r="O197" s="1"/>
      <c r="P197" s="1"/>
      <c r="Q197" s="1"/>
      <c r="R197" s="1"/>
      <c r="S197" s="1" t="e">
        <v>#N/A</v>
      </c>
      <c r="T197" s="1" t="e">
        <v>#N/A</v>
      </c>
      <c r="U197" s="1"/>
    </row>
    <row r="198">
      <c r="A198" s="218">
        <v>45180.92763413195</v>
      </c>
      <c r="B198" s="1" t="s">
        <v>70</v>
      </c>
      <c r="C198" s="1" t="s">
        <v>198</v>
      </c>
      <c r="D198" s="1">
        <v>1.0</v>
      </c>
      <c r="E198" s="1">
        <v>1.0</v>
      </c>
      <c r="F198" s="1" t="s">
        <v>956</v>
      </c>
      <c r="G198" s="218">
        <v>45184.79166666667</v>
      </c>
      <c r="H198" s="1" t="s">
        <v>56</v>
      </c>
      <c r="I198" s="1" t="s">
        <v>76</v>
      </c>
      <c r="J198" s="219">
        <v>-14.5</v>
      </c>
      <c r="K198" s="219">
        <v>-9.5</v>
      </c>
      <c r="L198" s="219">
        <v>300.0</v>
      </c>
      <c r="M198" s="219" t="s">
        <v>852</v>
      </c>
      <c r="N198" s="1">
        <v>34.0</v>
      </c>
      <c r="O198" s="1">
        <v>30.0</v>
      </c>
      <c r="P198" s="1">
        <v>1.0</v>
      </c>
      <c r="Q198" s="1" t="b">
        <v>1</v>
      </c>
      <c r="R198" s="1">
        <v>100.0</v>
      </c>
      <c r="S198" s="1" t="s">
        <v>407</v>
      </c>
      <c r="T198" s="1" t="s">
        <v>423</v>
      </c>
      <c r="U198" s="1"/>
    </row>
    <row r="199">
      <c r="A199" s="218">
        <v>45180.92763413195</v>
      </c>
      <c r="B199" s="1" t="s">
        <v>70</v>
      </c>
      <c r="C199" s="1" t="s">
        <v>190</v>
      </c>
      <c r="D199" s="1">
        <v>2.0</v>
      </c>
      <c r="E199" s="1">
        <v>1.0</v>
      </c>
      <c r="F199" s="1" t="s">
        <v>985</v>
      </c>
      <c r="G199" s="218">
        <v>45185.64583333333</v>
      </c>
      <c r="H199" s="1" t="s">
        <v>62</v>
      </c>
      <c r="I199" s="1" t="s">
        <v>96</v>
      </c>
      <c r="J199" s="219">
        <v>20.5</v>
      </c>
      <c r="K199" s="219">
        <v>24.5</v>
      </c>
      <c r="L199" s="219">
        <v>1280.0</v>
      </c>
      <c r="M199" s="219" t="s">
        <v>854</v>
      </c>
      <c r="N199" s="1">
        <v>66.0</v>
      </c>
      <c r="O199" s="1">
        <v>76.0</v>
      </c>
      <c r="P199" s="1">
        <v>1.0</v>
      </c>
      <c r="Q199" s="1" t="b">
        <v>1</v>
      </c>
      <c r="R199" s="1">
        <v>100.0</v>
      </c>
      <c r="S199" s="1" t="s">
        <v>353</v>
      </c>
      <c r="T199" s="1" t="s">
        <v>423</v>
      </c>
      <c r="U199" s="1"/>
    </row>
    <row r="200">
      <c r="A200" s="218">
        <v>45180.92763413195</v>
      </c>
      <c r="B200" s="1" t="s">
        <v>70</v>
      </c>
      <c r="C200" s="1" t="s">
        <v>197</v>
      </c>
      <c r="D200" s="1">
        <v>1.0</v>
      </c>
      <c r="E200" s="1">
        <v>1.0</v>
      </c>
      <c r="F200" s="1" t="s">
        <v>978</v>
      </c>
      <c r="G200" s="218">
        <v>45185.66666666667</v>
      </c>
      <c r="H200" s="1" t="s">
        <v>46</v>
      </c>
      <c r="I200" s="1" t="s">
        <v>40</v>
      </c>
      <c r="J200" s="219"/>
      <c r="K200" s="219"/>
      <c r="L200" s="219"/>
      <c r="M200" s="219"/>
      <c r="N200" s="1">
        <v>53.0</v>
      </c>
      <c r="O200" s="1">
        <v>80.0</v>
      </c>
      <c r="P200" s="1">
        <v>1.0</v>
      </c>
      <c r="Q200" s="1" t="b">
        <v>0</v>
      </c>
      <c r="R200" s="1">
        <v>100.0</v>
      </c>
      <c r="S200" s="1" t="s">
        <v>355</v>
      </c>
      <c r="T200" s="1" t="s">
        <v>423</v>
      </c>
      <c r="U200" s="1"/>
    </row>
    <row r="201">
      <c r="A201" s="218">
        <v>45180.92763413195</v>
      </c>
      <c r="B201" s="1" t="s">
        <v>70</v>
      </c>
      <c r="C201" s="1" t="s">
        <v>196</v>
      </c>
      <c r="D201" s="1">
        <v>2.0</v>
      </c>
      <c r="E201" s="1">
        <v>0.0</v>
      </c>
      <c r="F201" s="1" t="s">
        <v>982</v>
      </c>
      <c r="G201" s="218">
        <v>45185.8125</v>
      </c>
      <c r="H201" s="1" t="s">
        <v>46</v>
      </c>
      <c r="I201" s="1" t="s">
        <v>40</v>
      </c>
      <c r="J201" s="219">
        <v>-24.5</v>
      </c>
      <c r="K201" s="219">
        <v>-25.5</v>
      </c>
      <c r="L201" s="219">
        <v>1280.0</v>
      </c>
      <c r="M201" s="219" t="s">
        <v>874</v>
      </c>
      <c r="N201" s="1">
        <v>72.0</v>
      </c>
      <c r="O201" s="1">
        <v>31.0</v>
      </c>
      <c r="P201" s="1">
        <v>1.0</v>
      </c>
      <c r="Q201" s="1" t="b">
        <v>0</v>
      </c>
      <c r="R201" s="1">
        <v>100.0</v>
      </c>
      <c r="S201" s="1" t="s">
        <v>292</v>
      </c>
      <c r="T201" s="1" t="s">
        <v>422</v>
      </c>
      <c r="U201" s="1"/>
    </row>
    <row r="202">
      <c r="A202" s="218">
        <v>45180.92763413195</v>
      </c>
      <c r="B202" s="1" t="s">
        <v>70</v>
      </c>
      <c r="C202" s="1" t="s">
        <v>191</v>
      </c>
      <c r="D202" s="1">
        <v>1.0</v>
      </c>
      <c r="E202" s="1">
        <v>1.0</v>
      </c>
      <c r="F202" s="1" t="s">
        <v>962</v>
      </c>
      <c r="G202" s="218">
        <v>45185.83333333333</v>
      </c>
      <c r="H202" s="1" t="s">
        <v>56</v>
      </c>
      <c r="I202" s="1" t="s">
        <v>900</v>
      </c>
      <c r="J202" s="219">
        <v>-24.5</v>
      </c>
      <c r="K202" s="219">
        <v>-24.5</v>
      </c>
      <c r="L202" s="219">
        <v>1200.0</v>
      </c>
      <c r="M202" s="219" t="s">
        <v>73</v>
      </c>
      <c r="N202" s="1">
        <v>73.0</v>
      </c>
      <c r="O202" s="1">
        <v>45.0</v>
      </c>
      <c r="P202" s="1">
        <v>1.0</v>
      </c>
      <c r="Q202" s="1" t="b">
        <v>1</v>
      </c>
      <c r="R202" s="1">
        <v>100.0</v>
      </c>
      <c r="S202" s="1" t="s">
        <v>301</v>
      </c>
      <c r="T202" s="1" t="s">
        <v>422</v>
      </c>
      <c r="U202" s="1"/>
    </row>
    <row r="203">
      <c r="A203" s="218">
        <v>45180.92763413195</v>
      </c>
      <c r="B203" s="1" t="s">
        <v>70</v>
      </c>
      <c r="C203" s="1" t="s">
        <v>193</v>
      </c>
      <c r="D203" s="1">
        <v>1.0</v>
      </c>
      <c r="E203" s="1">
        <v>1.0</v>
      </c>
      <c r="F203" s="1" t="s">
        <v>986</v>
      </c>
      <c r="G203" s="218">
        <v>45185.83333333333</v>
      </c>
      <c r="H203" s="1"/>
      <c r="I203" s="1" t="s">
        <v>942</v>
      </c>
      <c r="J203" s="219"/>
      <c r="K203" s="219"/>
      <c r="L203" s="219"/>
      <c r="M203" s="219"/>
      <c r="N203" s="1">
        <v>47.0</v>
      </c>
      <c r="O203" s="1">
        <v>80.0</v>
      </c>
      <c r="P203" s="1">
        <v>1.0</v>
      </c>
      <c r="Q203" s="1" t="b">
        <v>0</v>
      </c>
      <c r="R203" s="1">
        <v>100.0</v>
      </c>
      <c r="S203" s="1" t="s">
        <v>354</v>
      </c>
      <c r="T203" s="1" t="s">
        <v>422</v>
      </c>
      <c r="U203" s="1"/>
    </row>
    <row r="204">
      <c r="A204" s="218">
        <v>45180.92763413195</v>
      </c>
      <c r="B204" s="1" t="s">
        <v>70</v>
      </c>
      <c r="C204" s="1" t="s">
        <v>192</v>
      </c>
      <c r="D204" s="1">
        <v>2.0</v>
      </c>
      <c r="E204" s="1">
        <v>0.0</v>
      </c>
      <c r="F204" s="1" t="s">
        <v>987</v>
      </c>
      <c r="G204" s="218">
        <v>45185.9375</v>
      </c>
      <c r="H204" s="1" t="s">
        <v>125</v>
      </c>
      <c r="I204" s="1" t="s">
        <v>99</v>
      </c>
      <c r="J204" s="219">
        <v>-26.5</v>
      </c>
      <c r="K204" s="219">
        <v>-27.5</v>
      </c>
      <c r="L204" s="219">
        <v>-4000.0</v>
      </c>
      <c r="M204" s="219" t="s">
        <v>954</v>
      </c>
      <c r="N204" s="1">
        <v>82.0</v>
      </c>
      <c r="O204" s="1">
        <v>40.0</v>
      </c>
      <c r="P204" s="1">
        <v>1.0</v>
      </c>
      <c r="Q204" s="1" t="b">
        <v>1</v>
      </c>
      <c r="R204" s="1">
        <v>100.0</v>
      </c>
      <c r="S204" s="1" t="s">
        <v>296</v>
      </c>
      <c r="T204" s="1" t="s">
        <v>422</v>
      </c>
      <c r="U204" s="1"/>
    </row>
    <row r="205">
      <c r="A205" s="218">
        <v>45180.92763413195</v>
      </c>
      <c r="B205" s="1" t="s">
        <v>70</v>
      </c>
      <c r="C205" s="1" t="s">
        <v>194</v>
      </c>
      <c r="D205" s="1">
        <v>1.0</v>
      </c>
      <c r="E205" s="1">
        <v>2.0</v>
      </c>
      <c r="F205" s="1" t="s">
        <v>988</v>
      </c>
      <c r="G205" s="218">
        <v>45185.95833333333</v>
      </c>
      <c r="H205" s="1" t="s">
        <v>67</v>
      </c>
      <c r="I205" s="1" t="s">
        <v>287</v>
      </c>
      <c r="J205" s="219">
        <v>16.5</v>
      </c>
      <c r="K205" s="219">
        <v>17.5</v>
      </c>
      <c r="L205" s="219">
        <v>640.0</v>
      </c>
      <c r="M205" s="219" t="s">
        <v>104</v>
      </c>
      <c r="N205" s="1">
        <v>49.0</v>
      </c>
      <c r="O205" s="1">
        <v>69.0</v>
      </c>
      <c r="P205" s="1">
        <v>1.0</v>
      </c>
      <c r="Q205" s="1" t="b">
        <v>1</v>
      </c>
      <c r="R205" s="1">
        <v>100.0</v>
      </c>
      <c r="S205" s="1" t="s">
        <v>351</v>
      </c>
      <c r="T205" s="1" t="s">
        <v>423</v>
      </c>
      <c r="U205" s="1"/>
    </row>
    <row r="206">
      <c r="A206" s="218">
        <v>45180.92763413195</v>
      </c>
      <c r="B206" s="1" t="s">
        <v>70</v>
      </c>
      <c r="C206" s="1" t="s">
        <v>195</v>
      </c>
      <c r="D206" s="1">
        <v>1.0</v>
      </c>
      <c r="E206" s="1">
        <v>1.0</v>
      </c>
      <c r="F206" s="1" t="s">
        <v>976</v>
      </c>
      <c r="G206" s="218">
        <v>45185.5</v>
      </c>
      <c r="H206" s="1" t="s">
        <v>60</v>
      </c>
      <c r="I206" s="1" t="s">
        <v>888</v>
      </c>
      <c r="J206" s="219">
        <v>10.5</v>
      </c>
      <c r="K206" s="219">
        <v>10.5</v>
      </c>
      <c r="L206" s="219">
        <v>300.0</v>
      </c>
      <c r="M206" s="219" t="s">
        <v>114</v>
      </c>
      <c r="N206" s="1">
        <v>44.0</v>
      </c>
      <c r="O206" s="1">
        <v>30.0</v>
      </c>
      <c r="P206" s="1">
        <v>1.0</v>
      </c>
      <c r="Q206" s="1" t="b">
        <v>1</v>
      </c>
      <c r="R206" s="1">
        <v>100.0</v>
      </c>
      <c r="S206" s="1" t="s">
        <v>282</v>
      </c>
      <c r="T206" s="1" t="s">
        <v>422</v>
      </c>
      <c r="U206" s="1"/>
    </row>
    <row r="207">
      <c r="A207" s="218">
        <v>45180.92763413195</v>
      </c>
      <c r="B207" s="1" t="s">
        <v>70</v>
      </c>
      <c r="C207" s="1" t="s">
        <v>199</v>
      </c>
      <c r="D207" s="1">
        <v>0.0</v>
      </c>
      <c r="E207" s="1">
        <v>2.0</v>
      </c>
      <c r="F207" s="1" t="s">
        <v>955</v>
      </c>
      <c r="G207" s="218">
        <v>45185.5</v>
      </c>
      <c r="H207" s="1" t="s">
        <v>58</v>
      </c>
      <c r="I207" s="1" t="s">
        <v>99</v>
      </c>
      <c r="J207" s="219">
        <v>3.5</v>
      </c>
      <c r="K207" s="219">
        <v>3.5</v>
      </c>
      <c r="L207" s="219">
        <v>-184.0</v>
      </c>
      <c r="M207" s="219" t="s">
        <v>840</v>
      </c>
      <c r="N207" s="1">
        <v>54.0</v>
      </c>
      <c r="O207" s="1">
        <v>78.0</v>
      </c>
      <c r="P207" s="1">
        <v>1.0</v>
      </c>
      <c r="Q207" s="1" t="b">
        <v>0</v>
      </c>
      <c r="R207" s="1">
        <v>100.0</v>
      </c>
      <c r="S207" s="1" t="s">
        <v>352</v>
      </c>
      <c r="T207" s="1" t="s">
        <v>423</v>
      </c>
      <c r="U207" s="1"/>
    </row>
    <row r="208">
      <c r="A208" s="218">
        <v>45180.92763413195</v>
      </c>
      <c r="B208" s="1"/>
      <c r="C208" s="1"/>
      <c r="D208" s="1"/>
      <c r="E208" s="1"/>
      <c r="F208" s="1"/>
      <c r="G208" s="1"/>
      <c r="H208" s="1"/>
      <c r="I208" s="1"/>
      <c r="J208" s="219"/>
      <c r="K208" s="219"/>
      <c r="L208" s="219"/>
      <c r="M208" s="219"/>
      <c r="N208" s="1"/>
      <c r="O208" s="1"/>
      <c r="P208" s="1"/>
      <c r="Q208" s="1"/>
      <c r="R208" s="1"/>
      <c r="S208" s="1" t="e">
        <v>#N/A</v>
      </c>
      <c r="T208" s="1" t="e">
        <v>#N/A</v>
      </c>
      <c r="U208" s="1"/>
    </row>
    <row r="209">
      <c r="A209" s="218">
        <v>45180.92763413195</v>
      </c>
      <c r="B209" s="1" t="s">
        <v>57</v>
      </c>
      <c r="C209" s="1" t="s">
        <v>207</v>
      </c>
      <c r="D209" s="1">
        <v>1.0</v>
      </c>
      <c r="E209" s="1">
        <v>1.0</v>
      </c>
      <c r="F209" s="1" t="s">
        <v>968</v>
      </c>
      <c r="G209" s="218">
        <v>45185.64583333333</v>
      </c>
      <c r="H209" s="1" t="s">
        <v>60</v>
      </c>
      <c r="I209" s="1" t="s">
        <v>36</v>
      </c>
      <c r="J209" s="219">
        <v>24.5</v>
      </c>
      <c r="K209" s="219">
        <v>27.5</v>
      </c>
      <c r="L209" s="219">
        <v>-3500.0</v>
      </c>
      <c r="M209" s="219" t="s">
        <v>969</v>
      </c>
      <c r="N209" s="1">
        <v>52.0</v>
      </c>
      <c r="O209" s="1">
        <v>50.0</v>
      </c>
      <c r="P209" s="1">
        <v>1.0</v>
      </c>
      <c r="Q209" s="1" t="b">
        <v>1</v>
      </c>
      <c r="R209" s="1">
        <v>100.0</v>
      </c>
      <c r="S209" s="1" t="s">
        <v>407</v>
      </c>
      <c r="T209" s="1" t="s">
        <v>423</v>
      </c>
      <c r="U209" s="1"/>
    </row>
    <row r="210">
      <c r="A210" s="218">
        <v>45180.92763413195</v>
      </c>
      <c r="B210" s="1" t="s">
        <v>57</v>
      </c>
      <c r="C210" s="1" t="s">
        <v>200</v>
      </c>
      <c r="D210" s="1">
        <v>2.0</v>
      </c>
      <c r="E210" s="1">
        <v>0.0</v>
      </c>
      <c r="F210" s="1" t="s">
        <v>989</v>
      </c>
      <c r="G210" s="218">
        <v>45185.66666666667</v>
      </c>
      <c r="H210" s="1" t="s">
        <v>62</v>
      </c>
      <c r="I210" s="1" t="s">
        <v>92</v>
      </c>
      <c r="J210" s="219">
        <v>-27.5</v>
      </c>
      <c r="K210" s="219">
        <v>-27.5</v>
      </c>
      <c r="L210" s="219">
        <v>1280.0</v>
      </c>
      <c r="M210" s="219" t="s">
        <v>990</v>
      </c>
      <c r="N210" s="1">
        <v>58.0</v>
      </c>
      <c r="O210" s="1">
        <v>10.0</v>
      </c>
      <c r="P210" s="1">
        <v>1.0</v>
      </c>
      <c r="Q210" s="1" t="b">
        <v>0</v>
      </c>
      <c r="R210" s="1">
        <v>100.0</v>
      </c>
      <c r="S210" s="1" t="s">
        <v>282</v>
      </c>
      <c r="T210" s="1" t="s">
        <v>422</v>
      </c>
      <c r="U210" s="1"/>
    </row>
    <row r="211">
      <c r="A211" s="218">
        <v>45180.92763413195</v>
      </c>
      <c r="B211" s="1" t="s">
        <v>57</v>
      </c>
      <c r="C211" s="1" t="s">
        <v>202</v>
      </c>
      <c r="D211" s="1">
        <v>1.0</v>
      </c>
      <c r="E211" s="1">
        <v>1.0</v>
      </c>
      <c r="F211" s="1" t="s">
        <v>991</v>
      </c>
      <c r="G211" s="218">
        <v>45185.79166666667</v>
      </c>
      <c r="H211" s="1"/>
      <c r="I211" s="1" t="s">
        <v>99</v>
      </c>
      <c r="J211" s="219">
        <v>3.5</v>
      </c>
      <c r="K211" s="219">
        <v>3.5</v>
      </c>
      <c r="L211" s="219">
        <v>-194.0</v>
      </c>
      <c r="M211" s="219" t="s">
        <v>104</v>
      </c>
      <c r="N211" s="1">
        <v>51.0</v>
      </c>
      <c r="O211" s="1">
        <v>49.0</v>
      </c>
      <c r="P211" s="1">
        <v>1.0</v>
      </c>
      <c r="Q211" s="1" t="b">
        <v>0</v>
      </c>
      <c r="R211" s="1">
        <v>100.0</v>
      </c>
      <c r="S211" s="1" t="s">
        <v>353</v>
      </c>
      <c r="T211" s="1" t="s">
        <v>423</v>
      </c>
      <c r="U211" s="1"/>
    </row>
    <row r="212">
      <c r="A212" s="218">
        <v>45180.92763413195</v>
      </c>
      <c r="B212" s="1" t="s">
        <v>57</v>
      </c>
      <c r="C212" s="1" t="s">
        <v>206</v>
      </c>
      <c r="D212" s="1">
        <v>1.0</v>
      </c>
      <c r="E212" s="1">
        <v>1.0</v>
      </c>
      <c r="F212" s="1" t="s">
        <v>992</v>
      </c>
      <c r="G212" s="218">
        <v>45185.79166666667</v>
      </c>
      <c r="H212" s="1"/>
      <c r="I212" s="1" t="s">
        <v>935</v>
      </c>
      <c r="J212" s="219"/>
      <c r="K212" s="219"/>
      <c r="L212" s="219"/>
      <c r="M212" s="219"/>
      <c r="N212" s="1">
        <v>43.0</v>
      </c>
      <c r="O212" s="1">
        <v>43.0</v>
      </c>
      <c r="P212" s="1">
        <v>1.0</v>
      </c>
      <c r="Q212" s="1" t="b">
        <v>0</v>
      </c>
      <c r="R212" s="1">
        <v>100.0</v>
      </c>
      <c r="S212" s="1" t="s">
        <v>355</v>
      </c>
      <c r="T212" s="1" t="s">
        <v>423</v>
      </c>
      <c r="U212" s="1"/>
    </row>
    <row r="213">
      <c r="A213" s="218">
        <v>45180.92763413195</v>
      </c>
      <c r="B213" s="1" t="s">
        <v>57</v>
      </c>
      <c r="C213" s="1" t="s">
        <v>213</v>
      </c>
      <c r="D213" s="1">
        <v>2.0</v>
      </c>
      <c r="E213" s="1">
        <v>0.0</v>
      </c>
      <c r="F213" s="1" t="s">
        <v>952</v>
      </c>
      <c r="G213" s="218">
        <v>45185.8125</v>
      </c>
      <c r="H213" s="1" t="s">
        <v>58</v>
      </c>
      <c r="I213" s="1" t="s">
        <v>36</v>
      </c>
      <c r="J213" s="219">
        <v>-10.5</v>
      </c>
      <c r="K213" s="219">
        <v>-9.5</v>
      </c>
      <c r="L213" s="219">
        <v>270.0</v>
      </c>
      <c r="M213" s="219" t="s">
        <v>937</v>
      </c>
      <c r="N213" s="1">
        <v>84.0</v>
      </c>
      <c r="O213" s="1">
        <v>19.0</v>
      </c>
      <c r="P213" s="1">
        <v>1.0</v>
      </c>
      <c r="Q213" s="1" t="b">
        <v>0</v>
      </c>
      <c r="R213" s="1">
        <v>100.0</v>
      </c>
      <c r="S213" s="1" t="s">
        <v>292</v>
      </c>
      <c r="T213" s="1" t="s">
        <v>422</v>
      </c>
      <c r="U213" s="1"/>
    </row>
    <row r="214">
      <c r="A214" s="218">
        <v>45180.92763413195</v>
      </c>
      <c r="B214" s="1" t="s">
        <v>57</v>
      </c>
      <c r="C214" s="1" t="s">
        <v>201</v>
      </c>
      <c r="D214" s="1">
        <v>1.0</v>
      </c>
      <c r="E214" s="1">
        <v>2.0</v>
      </c>
      <c r="F214" s="1" t="s">
        <v>941</v>
      </c>
      <c r="G214" s="218">
        <v>45185.83333333333</v>
      </c>
      <c r="H214" s="1" t="s">
        <v>35</v>
      </c>
      <c r="I214" s="1" t="s">
        <v>942</v>
      </c>
      <c r="J214" s="219">
        <v>0.5</v>
      </c>
      <c r="K214" s="219">
        <v>0.5</v>
      </c>
      <c r="L214" s="219">
        <v>-108.0</v>
      </c>
      <c r="M214" s="219" t="s">
        <v>845</v>
      </c>
      <c r="N214" s="1">
        <v>105.0</v>
      </c>
      <c r="O214" s="1">
        <v>95.0</v>
      </c>
      <c r="P214" s="1">
        <v>1.0</v>
      </c>
      <c r="Q214" s="1" t="b">
        <v>1</v>
      </c>
      <c r="R214" s="1">
        <v>100.0</v>
      </c>
      <c r="S214" s="1" t="s">
        <v>351</v>
      </c>
      <c r="T214" s="1" t="s">
        <v>423</v>
      </c>
      <c r="U214" s="1"/>
    </row>
    <row r="215">
      <c r="A215" s="218">
        <v>45180.92763413195</v>
      </c>
      <c r="B215" s="1" t="s">
        <v>57</v>
      </c>
      <c r="C215" s="1" t="s">
        <v>210</v>
      </c>
      <c r="D215" s="1">
        <v>1.0</v>
      </c>
      <c r="E215" s="1">
        <v>1.0</v>
      </c>
      <c r="F215" s="1" t="s">
        <v>993</v>
      </c>
      <c r="G215" s="218">
        <v>45185.83333333333</v>
      </c>
      <c r="H215" s="1" t="s">
        <v>67</v>
      </c>
      <c r="I215" s="1" t="s">
        <v>92</v>
      </c>
      <c r="J215" s="219">
        <v>7.0</v>
      </c>
      <c r="K215" s="219">
        <v>7.5</v>
      </c>
      <c r="L215" s="219">
        <v>-320.0</v>
      </c>
      <c r="M215" s="219" t="s">
        <v>994</v>
      </c>
      <c r="N215" s="1">
        <v>58.0</v>
      </c>
      <c r="O215" s="1">
        <v>57.0</v>
      </c>
      <c r="P215" s="1">
        <v>1.0</v>
      </c>
      <c r="Q215" s="1" t="b">
        <v>1</v>
      </c>
      <c r="R215" s="1">
        <v>100.0</v>
      </c>
      <c r="S215" s="1" t="s">
        <v>296</v>
      </c>
      <c r="T215" s="1" t="s">
        <v>422</v>
      </c>
      <c r="U215" s="1"/>
    </row>
    <row r="216">
      <c r="A216" s="218">
        <v>45180.92763413195</v>
      </c>
      <c r="B216" s="1" t="s">
        <v>57</v>
      </c>
      <c r="C216" s="1" t="s">
        <v>214</v>
      </c>
      <c r="D216" s="1">
        <v>2.0</v>
      </c>
      <c r="E216" s="1">
        <v>1.0</v>
      </c>
      <c r="F216" s="1" t="s">
        <v>964</v>
      </c>
      <c r="G216" s="218">
        <v>45185.5</v>
      </c>
      <c r="H216" s="1" t="s">
        <v>56</v>
      </c>
      <c r="I216" s="1" t="s">
        <v>40</v>
      </c>
      <c r="J216" s="219">
        <v>3.5</v>
      </c>
      <c r="K216" s="219">
        <v>2.5</v>
      </c>
      <c r="L216" s="219">
        <v>-137.0</v>
      </c>
      <c r="M216" s="219" t="s">
        <v>867</v>
      </c>
      <c r="N216" s="1">
        <v>57.0</v>
      </c>
      <c r="O216" s="1">
        <v>40.0</v>
      </c>
      <c r="P216" s="1">
        <v>1.0</v>
      </c>
      <c r="Q216" s="1" t="b">
        <v>1</v>
      </c>
      <c r="R216" s="1">
        <v>100.0</v>
      </c>
      <c r="S216" s="1" t="s">
        <v>352</v>
      </c>
      <c r="T216" s="1" t="s">
        <v>423</v>
      </c>
      <c r="U216" s="1"/>
    </row>
    <row r="217">
      <c r="A217" s="218">
        <v>45180.92763413195</v>
      </c>
      <c r="B217" s="1" t="s">
        <v>57</v>
      </c>
      <c r="C217" s="1" t="s">
        <v>208</v>
      </c>
      <c r="D217" s="1">
        <v>2.0</v>
      </c>
      <c r="E217" s="1">
        <v>0.0</v>
      </c>
      <c r="F217" s="1" t="s">
        <v>995</v>
      </c>
      <c r="G217" s="218">
        <v>45185.5</v>
      </c>
      <c r="H217" s="1" t="s">
        <v>61</v>
      </c>
      <c r="I217" s="1" t="s">
        <v>36</v>
      </c>
      <c r="J217" s="219">
        <v>-14.5</v>
      </c>
      <c r="K217" s="219">
        <v>-14.5</v>
      </c>
      <c r="L217" s="219">
        <v>-630.0</v>
      </c>
      <c r="M217" s="219" t="s">
        <v>971</v>
      </c>
      <c r="N217" s="1">
        <v>73.0</v>
      </c>
      <c r="O217" s="1">
        <v>37.0</v>
      </c>
      <c r="P217" s="1">
        <v>1.0</v>
      </c>
      <c r="Q217" s="1" t="b">
        <v>1</v>
      </c>
      <c r="R217" s="1">
        <v>100.0</v>
      </c>
      <c r="S217" s="1" t="s">
        <v>301</v>
      </c>
      <c r="T217" s="1" t="s">
        <v>422</v>
      </c>
      <c r="U217" s="1"/>
    </row>
    <row r="218">
      <c r="A218" s="218">
        <v>45180.92763413195</v>
      </c>
      <c r="B218" s="1" t="s">
        <v>57</v>
      </c>
      <c r="C218" s="1" t="s">
        <v>204</v>
      </c>
      <c r="D218" s="1">
        <v>3.0</v>
      </c>
      <c r="E218" s="1">
        <v>0.0</v>
      </c>
      <c r="F218" s="1"/>
      <c r="G218" s="1"/>
      <c r="H218" s="1"/>
      <c r="I218" s="1"/>
      <c r="J218" s="219"/>
      <c r="K218" s="219"/>
      <c r="L218" s="219"/>
      <c r="M218" s="219"/>
      <c r="N218" s="1">
        <v>178.0</v>
      </c>
      <c r="O218" s="1">
        <v>52.0</v>
      </c>
      <c r="P218" s="1">
        <v>3.0</v>
      </c>
      <c r="Q218" s="1" t="b">
        <v>1</v>
      </c>
      <c r="R218" s="1">
        <v>100.0</v>
      </c>
      <c r="S218" s="1" t="s">
        <v>354</v>
      </c>
      <c r="T218" s="1" t="s">
        <v>422</v>
      </c>
      <c r="U218" s="1"/>
    </row>
    <row r="219">
      <c r="A219" s="218">
        <v>45180.92763413195</v>
      </c>
      <c r="B219" s="1"/>
      <c r="C219" s="1"/>
      <c r="D219" s="1"/>
      <c r="E219" s="1"/>
      <c r="F219" s="1"/>
      <c r="G219" s="1"/>
      <c r="H219" s="1"/>
      <c r="I219" s="1"/>
      <c r="J219" s="219"/>
      <c r="K219" s="219"/>
      <c r="L219" s="219"/>
      <c r="M219" s="219"/>
      <c r="N219" s="1"/>
      <c r="O219" s="1"/>
      <c r="P219" s="1"/>
      <c r="Q219" s="1"/>
      <c r="R219" s="1"/>
      <c r="S219" s="1" t="e">
        <v>#N/A</v>
      </c>
      <c r="T219" s="1" t="e">
        <v>#N/A</v>
      </c>
      <c r="U219" s="1"/>
    </row>
    <row r="220">
      <c r="A220" s="218">
        <v>45180.92763413195</v>
      </c>
      <c r="B220" s="1" t="s">
        <v>67</v>
      </c>
      <c r="C220" s="1" t="s">
        <v>216</v>
      </c>
      <c r="D220" s="1">
        <v>2.0</v>
      </c>
      <c r="E220" s="1">
        <v>0.0</v>
      </c>
      <c r="F220" s="1" t="s">
        <v>947</v>
      </c>
      <c r="G220" s="218">
        <v>45185.64583333333</v>
      </c>
      <c r="H220" s="1" t="s">
        <v>58</v>
      </c>
      <c r="I220" s="1" t="s">
        <v>76</v>
      </c>
      <c r="J220" s="219">
        <v>-4.5</v>
      </c>
      <c r="K220" s="219">
        <v>-7.5</v>
      </c>
      <c r="L220" s="219">
        <v>235.0</v>
      </c>
      <c r="M220" s="219" t="s">
        <v>854</v>
      </c>
      <c r="N220" s="1">
        <v>71.0</v>
      </c>
      <c r="O220" s="1">
        <v>51.0</v>
      </c>
      <c r="P220" s="1">
        <v>1.0</v>
      </c>
      <c r="Q220" s="1" t="b">
        <v>0</v>
      </c>
      <c r="R220" s="1">
        <v>100.0</v>
      </c>
      <c r="S220" s="1" t="s">
        <v>301</v>
      </c>
      <c r="T220" s="1" t="s">
        <v>422</v>
      </c>
      <c r="U220" s="1"/>
    </row>
    <row r="221">
      <c r="A221" s="218">
        <v>45180.92763413195</v>
      </c>
      <c r="B221" s="1" t="s">
        <v>67</v>
      </c>
      <c r="C221" s="1" t="s">
        <v>220</v>
      </c>
      <c r="D221" s="1">
        <v>2.0</v>
      </c>
      <c r="E221" s="1">
        <v>1.0</v>
      </c>
      <c r="F221" s="1" t="s">
        <v>996</v>
      </c>
      <c r="G221" s="218">
        <v>45185.64583333333</v>
      </c>
      <c r="H221" s="1" t="s">
        <v>59</v>
      </c>
      <c r="I221" s="1"/>
      <c r="J221" s="219"/>
      <c r="K221" s="219"/>
      <c r="L221" s="219"/>
      <c r="M221" s="219"/>
      <c r="N221" s="1">
        <v>77.0</v>
      </c>
      <c r="O221" s="1">
        <v>73.0</v>
      </c>
      <c r="P221" s="1">
        <v>1.0</v>
      </c>
      <c r="Q221" s="1" t="b">
        <v>0</v>
      </c>
      <c r="R221" s="1">
        <v>100.0</v>
      </c>
      <c r="S221" s="1" t="s">
        <v>351</v>
      </c>
      <c r="T221" s="1" t="s">
        <v>423</v>
      </c>
      <c r="U221" s="1"/>
    </row>
    <row r="222">
      <c r="A222" s="218">
        <v>45180.92763413195</v>
      </c>
      <c r="B222" s="1" t="s">
        <v>67</v>
      </c>
      <c r="C222" s="1" t="s">
        <v>218</v>
      </c>
      <c r="D222" s="1">
        <v>2.0</v>
      </c>
      <c r="E222" s="1">
        <v>0.0</v>
      </c>
      <c r="F222" s="1" t="s">
        <v>997</v>
      </c>
      <c r="G222" s="218">
        <v>45185.66666666667</v>
      </c>
      <c r="H222" s="1" t="s">
        <v>125</v>
      </c>
      <c r="I222" s="1" t="s">
        <v>945</v>
      </c>
      <c r="J222" s="219">
        <v>30.5</v>
      </c>
      <c r="K222" s="219">
        <v>36.5</v>
      </c>
      <c r="L222" s="219">
        <v>2000.0</v>
      </c>
      <c r="M222" s="219" t="s">
        <v>73</v>
      </c>
      <c r="N222" s="1">
        <v>41.0</v>
      </c>
      <c r="O222" s="1">
        <v>27.0</v>
      </c>
      <c r="P222" s="1">
        <v>1.0</v>
      </c>
      <c r="Q222" s="1" t="b">
        <v>0</v>
      </c>
      <c r="R222" s="1">
        <v>100.0</v>
      </c>
      <c r="S222" s="1" t="s">
        <v>353</v>
      </c>
      <c r="T222" s="1" t="s">
        <v>423</v>
      </c>
      <c r="U222" s="1"/>
    </row>
    <row r="223">
      <c r="A223" s="218">
        <v>45180.92763413195</v>
      </c>
      <c r="B223" s="1" t="s">
        <v>67</v>
      </c>
      <c r="C223" s="1" t="s">
        <v>205</v>
      </c>
      <c r="D223" s="1">
        <v>1.0</v>
      </c>
      <c r="E223" s="1">
        <v>1.0</v>
      </c>
      <c r="F223" s="1" t="s">
        <v>998</v>
      </c>
      <c r="G223" s="218">
        <v>45185.79166666667</v>
      </c>
      <c r="H223" s="1" t="s">
        <v>61</v>
      </c>
      <c r="I223" s="1" t="s">
        <v>935</v>
      </c>
      <c r="J223" s="219">
        <v>8.5</v>
      </c>
      <c r="K223" s="219">
        <v>7.5</v>
      </c>
      <c r="L223" s="219">
        <v>225.0</v>
      </c>
      <c r="M223" s="219" t="s">
        <v>854</v>
      </c>
      <c r="N223" s="1">
        <v>52.0</v>
      </c>
      <c r="O223" s="1">
        <v>54.0</v>
      </c>
      <c r="P223" s="1">
        <v>1.0</v>
      </c>
      <c r="Q223" s="1" t="b">
        <v>0</v>
      </c>
      <c r="R223" s="1">
        <v>100.0</v>
      </c>
      <c r="S223" s="1" t="s">
        <v>355</v>
      </c>
      <c r="T223" s="1" t="s">
        <v>423</v>
      </c>
      <c r="U223" s="1"/>
    </row>
    <row r="224">
      <c r="A224" s="218">
        <v>45180.92763413195</v>
      </c>
      <c r="B224" s="1" t="s">
        <v>67</v>
      </c>
      <c r="C224" s="1" t="s">
        <v>221</v>
      </c>
      <c r="D224" s="1">
        <v>0.0</v>
      </c>
      <c r="E224" s="1">
        <v>2.0</v>
      </c>
      <c r="F224" s="1" t="s">
        <v>999</v>
      </c>
      <c r="G224" s="218">
        <v>45185.79166666667</v>
      </c>
      <c r="H224" s="1" t="s">
        <v>69</v>
      </c>
      <c r="I224" s="1" t="s">
        <v>935</v>
      </c>
      <c r="J224" s="219">
        <v>2.5</v>
      </c>
      <c r="K224" s="219">
        <v>4.5</v>
      </c>
      <c r="L224" s="219">
        <v>168.0</v>
      </c>
      <c r="M224" s="219" t="s">
        <v>47</v>
      </c>
      <c r="N224" s="1">
        <v>60.0</v>
      </c>
      <c r="O224" s="1">
        <v>104.0</v>
      </c>
      <c r="P224" s="1">
        <v>1.0</v>
      </c>
      <c r="Q224" s="1" t="b">
        <v>0</v>
      </c>
      <c r="R224" s="1">
        <v>100.0</v>
      </c>
      <c r="S224" s="1" t="s">
        <v>407</v>
      </c>
      <c r="T224" s="1" t="s">
        <v>423</v>
      </c>
      <c r="U224" s="1"/>
    </row>
    <row r="225">
      <c r="A225" s="218">
        <v>45180.92763413195</v>
      </c>
      <c r="B225" s="1" t="s">
        <v>67</v>
      </c>
      <c r="C225" s="1" t="s">
        <v>226</v>
      </c>
      <c r="D225" s="1">
        <v>1.0</v>
      </c>
      <c r="E225" s="1">
        <v>1.0</v>
      </c>
      <c r="F225" s="1" t="s">
        <v>1000</v>
      </c>
      <c r="G225" s="218">
        <v>45185.8125</v>
      </c>
      <c r="H225" s="1" t="s">
        <v>59</v>
      </c>
      <c r="I225" s="1" t="s">
        <v>888</v>
      </c>
      <c r="J225" s="219">
        <v>40.5</v>
      </c>
      <c r="K225" s="219">
        <v>40.5</v>
      </c>
      <c r="L225" s="219">
        <v>8000.0</v>
      </c>
      <c r="M225" s="219" t="s">
        <v>845</v>
      </c>
      <c r="N225" s="1">
        <v>62.0</v>
      </c>
      <c r="O225" s="1">
        <v>49.0</v>
      </c>
      <c r="P225" s="1">
        <v>1.0</v>
      </c>
      <c r="Q225" s="1" t="b">
        <v>1</v>
      </c>
      <c r="R225" s="1">
        <v>100.0</v>
      </c>
      <c r="S225" s="1" t="s">
        <v>352</v>
      </c>
      <c r="T225" s="1" t="s">
        <v>423</v>
      </c>
      <c r="U225" s="1"/>
    </row>
    <row r="226">
      <c r="A226" s="218">
        <v>45180.92763413195</v>
      </c>
      <c r="B226" s="1" t="s">
        <v>67</v>
      </c>
      <c r="C226" s="1" t="s">
        <v>225</v>
      </c>
      <c r="D226" s="1">
        <v>2.0</v>
      </c>
      <c r="E226" s="1">
        <v>0.0</v>
      </c>
      <c r="F226" s="1" t="s">
        <v>1001</v>
      </c>
      <c r="G226" s="218">
        <v>45185.8125</v>
      </c>
      <c r="H226" s="1" t="s">
        <v>59</v>
      </c>
      <c r="I226" s="1" t="s">
        <v>945</v>
      </c>
      <c r="J226" s="219">
        <v>-23.5</v>
      </c>
      <c r="K226" s="219">
        <v>-19.5</v>
      </c>
      <c r="L226" s="219">
        <v>720.0</v>
      </c>
      <c r="M226" s="219" t="s">
        <v>908</v>
      </c>
      <c r="N226" s="1">
        <v>110.0</v>
      </c>
      <c r="O226" s="1">
        <v>27.0</v>
      </c>
      <c r="P226" s="1">
        <v>1.0</v>
      </c>
      <c r="Q226" s="1" t="b">
        <v>0</v>
      </c>
      <c r="R226" s="1">
        <v>100.0</v>
      </c>
      <c r="S226" s="1" t="s">
        <v>292</v>
      </c>
      <c r="T226" s="1" t="s">
        <v>422</v>
      </c>
      <c r="U226" s="1"/>
    </row>
    <row r="227">
      <c r="A227" s="218">
        <v>45180.92763413195</v>
      </c>
      <c r="B227" s="1" t="s">
        <v>67</v>
      </c>
      <c r="C227" s="1" t="s">
        <v>222</v>
      </c>
      <c r="D227" s="1">
        <v>1.0</v>
      </c>
      <c r="E227" s="1">
        <v>1.0</v>
      </c>
      <c r="F227" s="1" t="s">
        <v>961</v>
      </c>
      <c r="G227" s="218">
        <v>45185.8125</v>
      </c>
      <c r="H227" s="1" t="s">
        <v>56</v>
      </c>
      <c r="I227" s="1" t="s">
        <v>90</v>
      </c>
      <c r="J227" s="219">
        <v>-3.5</v>
      </c>
      <c r="K227" s="219">
        <v>3.0</v>
      </c>
      <c r="L227" s="219">
        <v>-150.0</v>
      </c>
      <c r="M227" s="219" t="s">
        <v>954</v>
      </c>
      <c r="N227" s="1">
        <v>59.0</v>
      </c>
      <c r="O227" s="1">
        <v>56.0</v>
      </c>
      <c r="P227" s="1">
        <v>1.0</v>
      </c>
      <c r="Q227" s="1" t="b">
        <v>1</v>
      </c>
      <c r="R227" s="1">
        <v>100.0</v>
      </c>
      <c r="S227" s="1" t="s">
        <v>282</v>
      </c>
      <c r="T227" s="1" t="s">
        <v>422</v>
      </c>
      <c r="U227" s="1"/>
    </row>
    <row r="228">
      <c r="A228" s="218">
        <v>45180.92763413195</v>
      </c>
      <c r="B228" s="1" t="s">
        <v>67</v>
      </c>
      <c r="C228" s="1" t="s">
        <v>223</v>
      </c>
      <c r="D228" s="1">
        <v>1.0</v>
      </c>
      <c r="E228" s="1">
        <v>1.0</v>
      </c>
      <c r="F228" s="1" t="s">
        <v>993</v>
      </c>
      <c r="G228" s="218">
        <v>45185.83333333333</v>
      </c>
      <c r="H228" s="1" t="s">
        <v>57</v>
      </c>
      <c r="I228" s="1" t="s">
        <v>92</v>
      </c>
      <c r="J228" s="219">
        <v>-7.0</v>
      </c>
      <c r="K228" s="219">
        <v>-7.5</v>
      </c>
      <c r="L228" s="219">
        <v>-320.0</v>
      </c>
      <c r="M228" s="219" t="s">
        <v>994</v>
      </c>
      <c r="N228" s="1">
        <v>83.0</v>
      </c>
      <c r="O228" s="1">
        <v>51.0</v>
      </c>
      <c r="P228" s="1">
        <v>1.0</v>
      </c>
      <c r="Q228" s="1" t="b">
        <v>0</v>
      </c>
      <c r="R228" s="1">
        <v>100.0</v>
      </c>
      <c r="S228" s="1" t="s">
        <v>296</v>
      </c>
      <c r="T228" s="1" t="s">
        <v>422</v>
      </c>
      <c r="U228" s="1"/>
    </row>
    <row r="229">
      <c r="A229" s="218">
        <v>45180.92763413195</v>
      </c>
      <c r="B229" s="1" t="s">
        <v>67</v>
      </c>
      <c r="C229" s="1" t="s">
        <v>217</v>
      </c>
      <c r="D229" s="1">
        <v>1.0</v>
      </c>
      <c r="E229" s="1">
        <v>1.0</v>
      </c>
      <c r="F229" s="1" t="s">
        <v>988</v>
      </c>
      <c r="G229" s="218">
        <v>45185.95833333333</v>
      </c>
      <c r="H229" s="1" t="s">
        <v>70</v>
      </c>
      <c r="I229" s="1" t="s">
        <v>287</v>
      </c>
      <c r="J229" s="219">
        <v>-16.5</v>
      </c>
      <c r="K229" s="219">
        <v>-17.5</v>
      </c>
      <c r="L229" s="219">
        <v>640.0</v>
      </c>
      <c r="M229" s="219" t="s">
        <v>104</v>
      </c>
      <c r="N229" s="1">
        <v>62.0</v>
      </c>
      <c r="O229" s="1">
        <v>34.0</v>
      </c>
      <c r="P229" s="1">
        <v>1.0</v>
      </c>
      <c r="Q229" s="1" t="b">
        <v>0</v>
      </c>
      <c r="R229" s="1">
        <v>100.0</v>
      </c>
      <c r="S229" s="1" t="s">
        <v>354</v>
      </c>
      <c r="T229" s="1" t="s">
        <v>422</v>
      </c>
      <c r="U229" s="1"/>
    </row>
    <row r="230">
      <c r="A230" s="218">
        <v>45180.92763413195</v>
      </c>
      <c r="B230" s="1"/>
      <c r="C230" s="1"/>
      <c r="D230" s="1"/>
      <c r="E230" s="1"/>
      <c r="F230" s="1"/>
      <c r="G230" s="1"/>
      <c r="H230" s="1"/>
      <c r="I230" s="1"/>
      <c r="J230" s="219"/>
      <c r="K230" s="219"/>
      <c r="L230" s="219"/>
      <c r="M230" s="219"/>
      <c r="N230" s="1"/>
      <c r="O230" s="1"/>
      <c r="P230" s="1"/>
      <c r="Q230" s="1"/>
      <c r="R230" s="1"/>
      <c r="S230" s="1" t="e">
        <v>#N/A</v>
      </c>
      <c r="T230" s="1" t="e">
        <v>#N/A</v>
      </c>
      <c r="U230" s="1"/>
    </row>
    <row r="231">
      <c r="A231" s="218">
        <v>45180.92763413195</v>
      </c>
      <c r="B231" s="1" t="s">
        <v>59</v>
      </c>
      <c r="C231" s="1" t="s">
        <v>234</v>
      </c>
      <c r="D231" s="1">
        <v>1.0</v>
      </c>
      <c r="E231" s="1">
        <v>1.0</v>
      </c>
      <c r="F231" s="1" t="s">
        <v>946</v>
      </c>
      <c r="G231" s="218">
        <v>45183.8125</v>
      </c>
      <c r="H231" s="1" t="s">
        <v>58</v>
      </c>
      <c r="I231" s="1" t="s">
        <v>76</v>
      </c>
      <c r="J231" s="219">
        <v>12.5</v>
      </c>
      <c r="K231" s="219">
        <v>14.5</v>
      </c>
      <c r="L231" s="219">
        <v>500.0</v>
      </c>
      <c r="M231" s="219" t="s">
        <v>151</v>
      </c>
      <c r="N231" s="1">
        <v>27.0</v>
      </c>
      <c r="O231" s="1">
        <v>42.0</v>
      </c>
      <c r="P231" s="1">
        <v>1.0</v>
      </c>
      <c r="Q231" s="1" t="b">
        <v>1</v>
      </c>
      <c r="R231" s="1">
        <v>100.0</v>
      </c>
      <c r="S231" s="1" t="s">
        <v>407</v>
      </c>
      <c r="T231" s="1" t="s">
        <v>423</v>
      </c>
      <c r="U231" s="1"/>
    </row>
    <row r="232">
      <c r="A232" s="218">
        <v>45180.92763413195</v>
      </c>
      <c r="B232" s="1" t="s">
        <v>59</v>
      </c>
      <c r="C232" s="1" t="s">
        <v>238</v>
      </c>
      <c r="D232" s="1">
        <v>1.0</v>
      </c>
      <c r="E232" s="1">
        <v>1.0</v>
      </c>
      <c r="F232" s="1" t="s">
        <v>966</v>
      </c>
      <c r="G232" s="218">
        <v>45185.58333333333</v>
      </c>
      <c r="H232" s="1" t="s">
        <v>60</v>
      </c>
      <c r="I232" s="1" t="s">
        <v>935</v>
      </c>
      <c r="J232" s="219"/>
      <c r="K232" s="219"/>
      <c r="L232" s="219"/>
      <c r="M232" s="219"/>
      <c r="N232" s="1">
        <v>39.0</v>
      </c>
      <c r="O232" s="1">
        <v>48.0</v>
      </c>
      <c r="P232" s="1">
        <v>1.0</v>
      </c>
      <c r="Q232" s="1" t="b">
        <v>0</v>
      </c>
      <c r="R232" s="1">
        <v>100.0</v>
      </c>
      <c r="S232" s="1" t="s">
        <v>352</v>
      </c>
      <c r="T232" s="1" t="s">
        <v>423</v>
      </c>
      <c r="U232" s="1"/>
    </row>
    <row r="233">
      <c r="A233" s="218">
        <v>45180.92763413195</v>
      </c>
      <c r="B233" s="1" t="s">
        <v>59</v>
      </c>
      <c r="C233" s="1" t="s">
        <v>231</v>
      </c>
      <c r="D233" s="1">
        <v>2.0</v>
      </c>
      <c r="E233" s="1">
        <v>0.0</v>
      </c>
      <c r="F233" s="1" t="s">
        <v>1002</v>
      </c>
      <c r="G233" s="218">
        <v>45185.58333333333</v>
      </c>
      <c r="H233" s="1"/>
      <c r="I233" s="1" t="s">
        <v>287</v>
      </c>
      <c r="J233" s="219"/>
      <c r="K233" s="219"/>
      <c r="L233" s="219"/>
      <c r="M233" s="219"/>
      <c r="N233" s="1">
        <v>44.0</v>
      </c>
      <c r="O233" s="1">
        <v>24.0</v>
      </c>
      <c r="P233" s="1">
        <v>1.0</v>
      </c>
      <c r="Q233" s="1" t="b">
        <v>0</v>
      </c>
      <c r="R233" s="1">
        <v>100.0</v>
      </c>
      <c r="S233" s="1" t="s">
        <v>354</v>
      </c>
      <c r="T233" s="1" t="s">
        <v>422</v>
      </c>
      <c r="U233" s="1"/>
    </row>
    <row r="234">
      <c r="A234" s="218">
        <v>45180.92763413195</v>
      </c>
      <c r="B234" s="1" t="s">
        <v>59</v>
      </c>
      <c r="C234" s="1" t="s">
        <v>236</v>
      </c>
      <c r="D234" s="1">
        <v>0.0</v>
      </c>
      <c r="E234" s="1">
        <v>2.0</v>
      </c>
      <c r="F234" s="1" t="s">
        <v>996</v>
      </c>
      <c r="G234" s="218">
        <v>45185.64583333333</v>
      </c>
      <c r="H234" s="1" t="s">
        <v>67</v>
      </c>
      <c r="I234" s="1" t="s">
        <v>99</v>
      </c>
      <c r="J234" s="219">
        <v>-10.5</v>
      </c>
      <c r="K234" s="219">
        <v>-8.5</v>
      </c>
      <c r="L234" s="219">
        <v>285.0</v>
      </c>
      <c r="M234" s="219" t="s">
        <v>843</v>
      </c>
      <c r="N234" s="1">
        <v>28.0</v>
      </c>
      <c r="O234" s="1">
        <v>59.0</v>
      </c>
      <c r="P234" s="1">
        <v>1.0</v>
      </c>
      <c r="Q234" s="1" t="b">
        <v>1</v>
      </c>
      <c r="R234" s="1">
        <v>100.0</v>
      </c>
      <c r="S234" s="1" t="s">
        <v>351</v>
      </c>
      <c r="T234" s="1" t="s">
        <v>423</v>
      </c>
      <c r="U234" s="1"/>
    </row>
    <row r="235">
      <c r="A235" s="218">
        <v>45180.92763413195</v>
      </c>
      <c r="B235" s="1" t="s">
        <v>59</v>
      </c>
      <c r="C235" s="1" t="s">
        <v>232</v>
      </c>
      <c r="D235" s="1">
        <v>2.0</v>
      </c>
      <c r="E235" s="1">
        <v>0.0</v>
      </c>
      <c r="F235" s="1" t="s">
        <v>1003</v>
      </c>
      <c r="G235" s="218">
        <v>45185.75</v>
      </c>
      <c r="H235" s="1" t="s">
        <v>69</v>
      </c>
      <c r="I235" s="1" t="s">
        <v>935</v>
      </c>
      <c r="J235" s="219">
        <v>-7.5</v>
      </c>
      <c r="K235" s="219">
        <v>-7.5</v>
      </c>
      <c r="L235" s="219">
        <v>-315.0</v>
      </c>
      <c r="M235" s="219" t="s">
        <v>68</v>
      </c>
      <c r="N235" s="1">
        <v>77.0</v>
      </c>
      <c r="O235" s="1">
        <v>49.0</v>
      </c>
      <c r="P235" s="1">
        <v>1.0</v>
      </c>
      <c r="Q235" s="1" t="b">
        <v>1</v>
      </c>
      <c r="R235" s="1">
        <v>100.0</v>
      </c>
      <c r="S235" s="1" t="s">
        <v>355</v>
      </c>
      <c r="T235" s="1" t="s">
        <v>423</v>
      </c>
      <c r="U235" s="1"/>
    </row>
    <row r="236">
      <c r="A236" s="218">
        <v>45180.92763413195</v>
      </c>
      <c r="B236" s="1" t="s">
        <v>59</v>
      </c>
      <c r="C236" s="1" t="s">
        <v>229</v>
      </c>
      <c r="D236" s="1">
        <v>1.0</v>
      </c>
      <c r="E236" s="1">
        <v>1.0</v>
      </c>
      <c r="F236" s="1" t="s">
        <v>1001</v>
      </c>
      <c r="G236" s="218">
        <v>45185.8125</v>
      </c>
      <c r="H236" s="1" t="s">
        <v>67</v>
      </c>
      <c r="I236" s="1" t="s">
        <v>945</v>
      </c>
      <c r="J236" s="219">
        <v>23.5</v>
      </c>
      <c r="K236" s="219">
        <v>19.5</v>
      </c>
      <c r="L236" s="219">
        <v>720.0</v>
      </c>
      <c r="M236" s="219" t="s">
        <v>908</v>
      </c>
      <c r="N236" s="1">
        <v>82.0</v>
      </c>
      <c r="O236" s="1">
        <v>52.0</v>
      </c>
      <c r="P236" s="1">
        <v>1.0</v>
      </c>
      <c r="Q236" s="1" t="b">
        <v>1</v>
      </c>
      <c r="R236" s="1">
        <v>100.0</v>
      </c>
      <c r="S236" s="1" t="s">
        <v>301</v>
      </c>
      <c r="T236" s="1" t="s">
        <v>422</v>
      </c>
      <c r="U236" s="1"/>
    </row>
    <row r="237">
      <c r="A237" s="218">
        <v>45180.92763413195</v>
      </c>
      <c r="B237" s="1" t="s">
        <v>59</v>
      </c>
      <c r="C237" s="1" t="s">
        <v>209</v>
      </c>
      <c r="D237" s="1">
        <v>2.0</v>
      </c>
      <c r="E237" s="1">
        <v>0.0</v>
      </c>
      <c r="F237" s="1" t="s">
        <v>1000</v>
      </c>
      <c r="G237" s="218">
        <v>45185.8125</v>
      </c>
      <c r="H237" s="1" t="s">
        <v>67</v>
      </c>
      <c r="I237" s="1" t="s">
        <v>888</v>
      </c>
      <c r="J237" s="219">
        <v>-40.5</v>
      </c>
      <c r="K237" s="219">
        <v>-40.5</v>
      </c>
      <c r="L237" s="219">
        <v>8000.0</v>
      </c>
      <c r="M237" s="219" t="s">
        <v>845</v>
      </c>
      <c r="N237" s="1">
        <v>65.0</v>
      </c>
      <c r="O237" s="1">
        <v>10.0</v>
      </c>
      <c r="P237" s="1">
        <v>1.0</v>
      </c>
      <c r="Q237" s="1" t="b">
        <v>0</v>
      </c>
      <c r="R237" s="1">
        <v>100.0</v>
      </c>
      <c r="S237" s="1" t="s">
        <v>282</v>
      </c>
      <c r="T237" s="1" t="s">
        <v>422</v>
      </c>
      <c r="U237" s="1"/>
    </row>
    <row r="238">
      <c r="A238" s="218">
        <v>45180.92763413195</v>
      </c>
      <c r="B238" s="1" t="s">
        <v>59</v>
      </c>
      <c r="C238" s="1" t="s">
        <v>227</v>
      </c>
      <c r="D238" s="1">
        <v>0.0</v>
      </c>
      <c r="E238" s="1">
        <v>2.0</v>
      </c>
      <c r="F238" s="1" t="s">
        <v>1004</v>
      </c>
      <c r="G238" s="218">
        <v>45185.5</v>
      </c>
      <c r="H238" s="1"/>
      <c r="I238" s="1" t="s">
        <v>96</v>
      </c>
      <c r="J238" s="219"/>
      <c r="K238" s="219"/>
      <c r="L238" s="219"/>
      <c r="M238" s="219"/>
      <c r="N238" s="1">
        <v>35.0</v>
      </c>
      <c r="O238" s="1">
        <v>74.0</v>
      </c>
      <c r="P238" s="1">
        <v>1.0</v>
      </c>
      <c r="Q238" s="1" t="b">
        <v>0</v>
      </c>
      <c r="R238" s="1">
        <v>100.0</v>
      </c>
      <c r="S238" s="1" t="s">
        <v>353</v>
      </c>
      <c r="T238" s="1" t="s">
        <v>423</v>
      </c>
      <c r="U238" s="1"/>
    </row>
    <row r="239">
      <c r="A239" s="218">
        <v>45180.92763413195</v>
      </c>
      <c r="B239" s="1" t="s">
        <v>59</v>
      </c>
      <c r="C239" s="1" t="s">
        <v>237</v>
      </c>
      <c r="D239" s="1">
        <v>2.0</v>
      </c>
      <c r="E239" s="1">
        <v>0.0</v>
      </c>
      <c r="F239" s="1" t="s">
        <v>944</v>
      </c>
      <c r="G239" s="218">
        <v>45185.5</v>
      </c>
      <c r="H239" s="1" t="s">
        <v>35</v>
      </c>
      <c r="I239" s="1" t="s">
        <v>945</v>
      </c>
      <c r="J239" s="219">
        <v>1.5</v>
      </c>
      <c r="K239" s="219">
        <v>4.5</v>
      </c>
      <c r="L239" s="219">
        <v>-196.0</v>
      </c>
      <c r="M239" s="219" t="s">
        <v>874</v>
      </c>
      <c r="N239" s="1">
        <v>58.0</v>
      </c>
      <c r="O239" s="1">
        <v>29.0</v>
      </c>
      <c r="P239" s="1">
        <v>1.0</v>
      </c>
      <c r="Q239" s="1" t="b">
        <v>0</v>
      </c>
      <c r="R239" s="1">
        <v>100.0</v>
      </c>
      <c r="S239" s="1" t="s">
        <v>292</v>
      </c>
      <c r="T239" s="1" t="s">
        <v>422</v>
      </c>
      <c r="U239" s="1"/>
    </row>
    <row r="240">
      <c r="A240" s="218">
        <v>45180.92763413195</v>
      </c>
      <c r="B240" s="1" t="s">
        <v>59</v>
      </c>
      <c r="C240" s="1" t="s">
        <v>230</v>
      </c>
      <c r="D240" s="1">
        <v>0.0</v>
      </c>
      <c r="E240" s="1">
        <v>2.0</v>
      </c>
      <c r="F240" s="1" t="s">
        <v>1005</v>
      </c>
      <c r="G240" s="218">
        <v>45185.5</v>
      </c>
      <c r="H240" s="1"/>
      <c r="I240" s="1" t="s">
        <v>935</v>
      </c>
      <c r="J240" s="219"/>
      <c r="K240" s="219"/>
      <c r="L240" s="219"/>
      <c r="M240" s="219"/>
      <c r="N240" s="1">
        <v>44.0</v>
      </c>
      <c r="O240" s="1">
        <v>62.0</v>
      </c>
      <c r="P240" s="1">
        <v>1.0</v>
      </c>
      <c r="Q240" s="1" t="b">
        <v>0</v>
      </c>
      <c r="R240" s="1">
        <v>100.0</v>
      </c>
      <c r="S240" s="1" t="s">
        <v>296</v>
      </c>
      <c r="T240" s="1" t="s">
        <v>422</v>
      </c>
      <c r="U240" s="1"/>
    </row>
    <row r="241">
      <c r="A241" s="218">
        <v>45180.92763413195</v>
      </c>
      <c r="B241" s="1"/>
      <c r="C241" s="1"/>
      <c r="D241" s="1"/>
      <c r="E241" s="1"/>
      <c r="F241" s="1"/>
      <c r="G241" s="1"/>
      <c r="H241" s="1"/>
      <c r="I241" s="1"/>
      <c r="J241" s="219"/>
      <c r="K241" s="219"/>
      <c r="L241" s="219"/>
      <c r="M241" s="219"/>
      <c r="N241" s="1"/>
      <c r="O241" s="1"/>
      <c r="P241" s="1"/>
      <c r="Q241" s="1"/>
      <c r="R241" s="1"/>
      <c r="S241" s="1" t="e">
        <v>#N/A</v>
      </c>
      <c r="T241" s="1" t="e">
        <v>#N/A</v>
      </c>
      <c r="U241" s="1"/>
    </row>
    <row r="242">
      <c r="A242" s="218">
        <v>45180.92763413195</v>
      </c>
      <c r="B242" s="1" t="s">
        <v>62</v>
      </c>
      <c r="C242" s="1" t="s">
        <v>244</v>
      </c>
      <c r="D242" s="1">
        <v>2.0</v>
      </c>
      <c r="E242" s="1">
        <v>0.0</v>
      </c>
      <c r="F242" s="1" t="s">
        <v>1006</v>
      </c>
      <c r="G242" s="218">
        <v>45184.79166666667</v>
      </c>
      <c r="H242" s="1"/>
      <c r="I242" s="1" t="s">
        <v>96</v>
      </c>
      <c r="J242" s="219">
        <v>-19.5</v>
      </c>
      <c r="K242" s="219">
        <v>-14.5</v>
      </c>
      <c r="L242" s="219">
        <v>480.0</v>
      </c>
      <c r="M242" s="219" t="s">
        <v>874</v>
      </c>
      <c r="N242" s="1">
        <v>76.0</v>
      </c>
      <c r="O242" s="1">
        <v>26.0</v>
      </c>
      <c r="P242" s="1">
        <v>1.0</v>
      </c>
      <c r="Q242" s="1" t="b">
        <v>0</v>
      </c>
      <c r="R242" s="1">
        <v>100.0</v>
      </c>
      <c r="S242" s="1" t="s">
        <v>282</v>
      </c>
      <c r="T242" s="1" t="s">
        <v>422</v>
      </c>
      <c r="U242" s="1"/>
    </row>
    <row r="243">
      <c r="A243" s="218">
        <v>45180.92763413195</v>
      </c>
      <c r="B243" s="1" t="s">
        <v>62</v>
      </c>
      <c r="C243" s="1" t="s">
        <v>246</v>
      </c>
      <c r="D243" s="1">
        <v>0.0</v>
      </c>
      <c r="E243" s="1">
        <v>2.0</v>
      </c>
      <c r="F243" s="1" t="s">
        <v>936</v>
      </c>
      <c r="G243" s="218">
        <v>45185.64583333333</v>
      </c>
      <c r="H243" s="1" t="s">
        <v>35</v>
      </c>
      <c r="I243" s="1" t="s">
        <v>935</v>
      </c>
      <c r="J243" s="219">
        <v>9.5</v>
      </c>
      <c r="K243" s="219">
        <v>9.5</v>
      </c>
      <c r="L243" s="219">
        <v>290.0</v>
      </c>
      <c r="M243" s="219" t="s">
        <v>937</v>
      </c>
      <c r="N243" s="1">
        <v>16.0</v>
      </c>
      <c r="O243" s="1">
        <v>61.0</v>
      </c>
      <c r="P243" s="1">
        <v>1.0</v>
      </c>
      <c r="Q243" s="1" t="b">
        <v>1</v>
      </c>
      <c r="R243" s="1">
        <v>100.0</v>
      </c>
      <c r="S243" s="1" t="s">
        <v>407</v>
      </c>
      <c r="T243" s="1" t="s">
        <v>423</v>
      </c>
      <c r="U243" s="1"/>
    </row>
    <row r="244">
      <c r="A244" s="218">
        <v>45180.92763413195</v>
      </c>
      <c r="B244" s="1" t="s">
        <v>62</v>
      </c>
      <c r="C244" s="1" t="s">
        <v>247</v>
      </c>
      <c r="D244" s="1">
        <v>2.0</v>
      </c>
      <c r="E244" s="1">
        <v>0.0</v>
      </c>
      <c r="F244" s="1" t="s">
        <v>985</v>
      </c>
      <c r="G244" s="218">
        <v>45185.64583333333</v>
      </c>
      <c r="H244" s="1" t="s">
        <v>70</v>
      </c>
      <c r="I244" s="1" t="s">
        <v>96</v>
      </c>
      <c r="J244" s="219">
        <v>-20.5</v>
      </c>
      <c r="K244" s="219">
        <v>-24.5</v>
      </c>
      <c r="L244" s="219">
        <v>1280.0</v>
      </c>
      <c r="M244" s="219" t="s">
        <v>854</v>
      </c>
      <c r="N244" s="1">
        <v>97.0</v>
      </c>
      <c r="O244" s="1">
        <v>24.0</v>
      </c>
      <c r="P244" s="1">
        <v>1.0</v>
      </c>
      <c r="Q244" s="1" t="b">
        <v>0</v>
      </c>
      <c r="R244" s="1">
        <v>100.0</v>
      </c>
      <c r="S244" s="1" t="s">
        <v>354</v>
      </c>
      <c r="T244" s="1" t="s">
        <v>422</v>
      </c>
      <c r="U244" s="1"/>
    </row>
    <row r="245">
      <c r="A245" s="218">
        <v>45180.92763413195</v>
      </c>
      <c r="B245" s="1" t="s">
        <v>62</v>
      </c>
      <c r="C245" s="1" t="s">
        <v>215</v>
      </c>
      <c r="D245" s="1">
        <v>2.0</v>
      </c>
      <c r="E245" s="1">
        <v>0.0</v>
      </c>
      <c r="F245" s="1" t="s">
        <v>989</v>
      </c>
      <c r="G245" s="218">
        <v>45185.66666666667</v>
      </c>
      <c r="H245" s="1" t="s">
        <v>57</v>
      </c>
      <c r="I245" s="1" t="s">
        <v>92</v>
      </c>
      <c r="J245" s="219">
        <v>27.5</v>
      </c>
      <c r="K245" s="219">
        <v>27.5</v>
      </c>
      <c r="L245" s="219">
        <v>1280.0</v>
      </c>
      <c r="M245" s="219" t="s">
        <v>990</v>
      </c>
      <c r="N245" s="1">
        <v>93.0</v>
      </c>
      <c r="O245" s="1">
        <v>46.0</v>
      </c>
      <c r="P245" s="1">
        <v>1.0</v>
      </c>
      <c r="Q245" s="1" t="b">
        <v>1</v>
      </c>
      <c r="R245" s="1">
        <v>100.0</v>
      </c>
      <c r="S245" s="1" t="s">
        <v>351</v>
      </c>
      <c r="T245" s="1" t="s">
        <v>423</v>
      </c>
      <c r="U245" s="1"/>
    </row>
    <row r="246">
      <c r="A246" s="218">
        <v>45180.92763413195</v>
      </c>
      <c r="B246" s="1" t="s">
        <v>62</v>
      </c>
      <c r="C246" s="1" t="s">
        <v>240</v>
      </c>
      <c r="D246" s="1">
        <v>1.0</v>
      </c>
      <c r="E246" s="1">
        <v>1.0</v>
      </c>
      <c r="F246" s="1" t="s">
        <v>1007</v>
      </c>
      <c r="G246" s="218">
        <v>45185.79166666667</v>
      </c>
      <c r="H246" s="1" t="s">
        <v>62</v>
      </c>
      <c r="I246" s="1"/>
      <c r="J246" s="219"/>
      <c r="K246" s="219"/>
      <c r="L246" s="219"/>
      <c r="M246" s="219"/>
      <c r="N246" s="1">
        <v>44.0</v>
      </c>
      <c r="O246" s="1">
        <v>66.0</v>
      </c>
      <c r="P246" s="1">
        <v>1.0</v>
      </c>
      <c r="Q246" s="1" t="b">
        <v>0</v>
      </c>
      <c r="R246" s="1">
        <v>100.0</v>
      </c>
      <c r="S246" s="1" t="s">
        <v>352</v>
      </c>
      <c r="T246" s="1" t="s">
        <v>423</v>
      </c>
      <c r="U246" s="1"/>
    </row>
    <row r="247">
      <c r="A247" s="218">
        <v>45180.92763413195</v>
      </c>
      <c r="B247" s="1" t="s">
        <v>62</v>
      </c>
      <c r="C247" s="1" t="s">
        <v>242</v>
      </c>
      <c r="D247" s="1">
        <v>2.0</v>
      </c>
      <c r="E247" s="1">
        <v>0.0</v>
      </c>
      <c r="F247" s="1" t="s">
        <v>1007</v>
      </c>
      <c r="G247" s="218">
        <v>45185.79166666667</v>
      </c>
      <c r="H247" s="1" t="s">
        <v>62</v>
      </c>
      <c r="I247" s="1" t="s">
        <v>935</v>
      </c>
      <c r="J247" s="219">
        <v>-16.5</v>
      </c>
      <c r="K247" s="219">
        <v>-14.5</v>
      </c>
      <c r="L247" s="219">
        <v>460.0</v>
      </c>
      <c r="M247" s="219" t="s">
        <v>906</v>
      </c>
      <c r="N247" s="1">
        <v>93.0</v>
      </c>
      <c r="O247" s="1">
        <v>34.0</v>
      </c>
      <c r="P247" s="1">
        <v>1.0</v>
      </c>
      <c r="Q247" s="1" t="b">
        <v>1</v>
      </c>
      <c r="R247" s="1">
        <v>100.0</v>
      </c>
      <c r="S247" s="1" t="s">
        <v>296</v>
      </c>
      <c r="T247" s="1" t="s">
        <v>422</v>
      </c>
      <c r="U247" s="1"/>
    </row>
    <row r="248">
      <c r="A248" s="218">
        <v>45180.92763413195</v>
      </c>
      <c r="B248" s="1" t="s">
        <v>62</v>
      </c>
      <c r="C248" s="1" t="s">
        <v>241</v>
      </c>
      <c r="D248" s="1">
        <v>2.0</v>
      </c>
      <c r="E248" s="1">
        <v>0.0</v>
      </c>
      <c r="F248" s="1" t="s">
        <v>975</v>
      </c>
      <c r="G248" s="218">
        <v>45185.9375</v>
      </c>
      <c r="H248" s="1" t="s">
        <v>60</v>
      </c>
      <c r="I248" s="1" t="s">
        <v>96</v>
      </c>
      <c r="J248" s="219">
        <v>2.5</v>
      </c>
      <c r="K248" s="219">
        <v>-2.5</v>
      </c>
      <c r="L248" s="219">
        <v>-150.0</v>
      </c>
      <c r="M248" s="219" t="s">
        <v>937</v>
      </c>
      <c r="N248" s="1">
        <v>73.0</v>
      </c>
      <c r="O248" s="1">
        <v>66.0</v>
      </c>
      <c r="P248" s="1">
        <v>1.0</v>
      </c>
      <c r="Q248" s="1" t="b">
        <v>0</v>
      </c>
      <c r="R248" s="1">
        <v>100.0</v>
      </c>
      <c r="S248" s="1" t="s">
        <v>353</v>
      </c>
      <c r="T248" s="1" t="s">
        <v>423</v>
      </c>
      <c r="U248" s="1"/>
    </row>
    <row r="249">
      <c r="A249" s="218">
        <v>45180.92763413195</v>
      </c>
      <c r="B249" s="1" t="s">
        <v>62</v>
      </c>
      <c r="C249" s="1" t="s">
        <v>245</v>
      </c>
      <c r="D249" s="1">
        <v>2.0</v>
      </c>
      <c r="E249" s="1">
        <v>0.0</v>
      </c>
      <c r="F249" s="1" t="s">
        <v>1008</v>
      </c>
      <c r="G249" s="218">
        <v>45185.5</v>
      </c>
      <c r="H249" s="1" t="s">
        <v>69</v>
      </c>
      <c r="I249" s="1" t="s">
        <v>888</v>
      </c>
      <c r="J249" s="219">
        <v>16.5</v>
      </c>
      <c r="K249" s="219">
        <v>19.5</v>
      </c>
      <c r="L249" s="219">
        <v>720.0</v>
      </c>
      <c r="M249" s="219" t="s">
        <v>994</v>
      </c>
      <c r="N249" s="1">
        <v>83.0</v>
      </c>
      <c r="O249" s="1">
        <v>35.0</v>
      </c>
      <c r="P249" s="1">
        <v>1.0</v>
      </c>
      <c r="Q249" s="1" t="b">
        <v>0</v>
      </c>
      <c r="R249" s="1">
        <v>100.0</v>
      </c>
      <c r="S249" s="1" t="s">
        <v>355</v>
      </c>
      <c r="T249" s="1" t="s">
        <v>423</v>
      </c>
      <c r="U249" s="1"/>
    </row>
    <row r="250">
      <c r="A250" s="218">
        <v>45180.92763413195</v>
      </c>
      <c r="B250" s="1" t="s">
        <v>62</v>
      </c>
      <c r="C250" s="1" t="s">
        <v>249</v>
      </c>
      <c r="D250" s="1">
        <v>2.0</v>
      </c>
      <c r="E250" s="1">
        <v>0.0</v>
      </c>
      <c r="F250" s="1" t="s">
        <v>1009</v>
      </c>
      <c r="G250" s="218">
        <v>45185.5</v>
      </c>
      <c r="H250" s="1" t="s">
        <v>69</v>
      </c>
      <c r="I250" s="1" t="s">
        <v>76</v>
      </c>
      <c r="J250" s="219">
        <v>7.5</v>
      </c>
      <c r="K250" s="219">
        <v>9.5</v>
      </c>
      <c r="L250" s="219">
        <v>-375.0</v>
      </c>
      <c r="M250" s="219" t="s">
        <v>114</v>
      </c>
      <c r="N250" s="1">
        <v>79.0</v>
      </c>
      <c r="O250" s="1">
        <v>31.0</v>
      </c>
      <c r="P250" s="1">
        <v>1.0</v>
      </c>
      <c r="Q250" s="1" t="b">
        <v>0</v>
      </c>
      <c r="R250" s="1">
        <v>100.0</v>
      </c>
      <c r="S250" s="1" t="s">
        <v>292</v>
      </c>
      <c r="T250" s="1" t="s">
        <v>422</v>
      </c>
      <c r="U250" s="1"/>
    </row>
    <row r="251">
      <c r="A251" s="218">
        <v>45180.92763413195</v>
      </c>
      <c r="B251" s="1" t="s">
        <v>62</v>
      </c>
      <c r="C251" s="1" t="s">
        <v>248</v>
      </c>
      <c r="D251" s="1">
        <v>1.0</v>
      </c>
      <c r="E251" s="1">
        <v>1.0</v>
      </c>
      <c r="F251" s="1" t="s">
        <v>1010</v>
      </c>
      <c r="G251" s="218">
        <v>45185.5</v>
      </c>
      <c r="H251" s="1" t="s">
        <v>125</v>
      </c>
      <c r="I251" s="1" t="s">
        <v>82</v>
      </c>
      <c r="J251" s="219">
        <v>28.0</v>
      </c>
      <c r="K251" s="219">
        <v>26.5</v>
      </c>
      <c r="L251" s="219">
        <v>-8000.0</v>
      </c>
      <c r="M251" s="219" t="s">
        <v>854</v>
      </c>
      <c r="N251" s="1">
        <v>55.0</v>
      </c>
      <c r="O251" s="1">
        <v>55.0</v>
      </c>
      <c r="P251" s="1">
        <v>1.0</v>
      </c>
      <c r="Q251" s="1" t="b">
        <v>1</v>
      </c>
      <c r="R251" s="1">
        <v>100.0</v>
      </c>
      <c r="S251" s="1" t="s">
        <v>301</v>
      </c>
      <c r="T251" s="1" t="s">
        <v>422</v>
      </c>
      <c r="U251" s="1"/>
    </row>
    <row r="252">
      <c r="A252" s="218">
        <v>45180.92763413195</v>
      </c>
      <c r="B252" s="1"/>
      <c r="C252" s="1"/>
      <c r="D252" s="1"/>
      <c r="E252" s="1"/>
      <c r="F252" s="1"/>
      <c r="G252" s="1"/>
      <c r="H252" s="1"/>
      <c r="I252" s="1"/>
      <c r="J252" s="219"/>
      <c r="K252" s="219"/>
      <c r="L252" s="219"/>
      <c r="M252" s="219"/>
      <c r="N252" s="1"/>
      <c r="O252" s="1"/>
      <c r="P252" s="1"/>
      <c r="Q252" s="1"/>
      <c r="R252" s="1"/>
      <c r="S252" s="1" t="e">
        <v>#N/A</v>
      </c>
      <c r="T252" s="1" t="e">
        <v>#N/A</v>
      </c>
      <c r="U252" s="1"/>
    </row>
    <row r="253">
      <c r="A253" s="218">
        <v>45180.92763413195</v>
      </c>
      <c r="B253" s="1" t="s">
        <v>69</v>
      </c>
      <c r="C253" s="1" t="s">
        <v>243</v>
      </c>
      <c r="D253" s="1">
        <v>2.0</v>
      </c>
      <c r="E253" s="1">
        <v>0.0</v>
      </c>
      <c r="F253" s="1" t="s">
        <v>1011</v>
      </c>
      <c r="G253" s="218">
        <v>45184.83333333333</v>
      </c>
      <c r="H253" s="1" t="s">
        <v>61</v>
      </c>
      <c r="I253" s="1" t="s">
        <v>99</v>
      </c>
      <c r="J253" s="219">
        <v>-9.5</v>
      </c>
      <c r="K253" s="219">
        <v>-9.5</v>
      </c>
      <c r="L253" s="219">
        <v>270.0</v>
      </c>
      <c r="M253" s="219" t="s">
        <v>906</v>
      </c>
      <c r="N253" s="1">
        <v>55.0</v>
      </c>
      <c r="O253" s="1">
        <v>10.0</v>
      </c>
      <c r="P253" s="1">
        <v>1.0</v>
      </c>
      <c r="Q253" s="1" t="b">
        <v>1</v>
      </c>
      <c r="R253" s="1">
        <v>100.0</v>
      </c>
      <c r="S253" s="1" t="s">
        <v>353</v>
      </c>
      <c r="T253" s="1" t="s">
        <v>423</v>
      </c>
      <c r="U253" s="1"/>
    </row>
    <row r="254">
      <c r="A254" s="218">
        <v>45180.92763413195</v>
      </c>
      <c r="B254" s="1" t="s">
        <v>69</v>
      </c>
      <c r="C254" s="1" t="s">
        <v>253</v>
      </c>
      <c r="D254" s="1">
        <v>1.0</v>
      </c>
      <c r="E254" s="1">
        <v>1.0</v>
      </c>
      <c r="F254" s="1" t="s">
        <v>970</v>
      </c>
      <c r="G254" s="218">
        <v>45185.64583333333</v>
      </c>
      <c r="H254" s="1" t="s">
        <v>60</v>
      </c>
      <c r="I254" s="1" t="s">
        <v>82</v>
      </c>
      <c r="J254" s="219">
        <v>29.5</v>
      </c>
      <c r="K254" s="219">
        <v>31.5</v>
      </c>
      <c r="L254" s="219">
        <v>-4500.0</v>
      </c>
      <c r="M254" s="219" t="s">
        <v>971</v>
      </c>
      <c r="N254" s="1">
        <v>62.0</v>
      </c>
      <c r="O254" s="1">
        <v>65.0</v>
      </c>
      <c r="P254" s="1">
        <v>1.0</v>
      </c>
      <c r="Q254" s="1" t="b">
        <v>0</v>
      </c>
      <c r="R254" s="1">
        <v>100.0</v>
      </c>
      <c r="S254" s="1" t="s">
        <v>407</v>
      </c>
      <c r="T254" s="1" t="s">
        <v>423</v>
      </c>
      <c r="U254" s="1"/>
    </row>
    <row r="255">
      <c r="A255" s="218">
        <v>45180.92763413195</v>
      </c>
      <c r="B255" s="1" t="s">
        <v>69</v>
      </c>
      <c r="C255" s="1" t="s">
        <v>251</v>
      </c>
      <c r="D255" s="1">
        <v>1.0</v>
      </c>
      <c r="E255" s="1">
        <v>1.0</v>
      </c>
      <c r="F255" s="1" t="s">
        <v>1012</v>
      </c>
      <c r="G255" s="218">
        <v>45185.66666666667</v>
      </c>
      <c r="H255" s="1"/>
      <c r="I255" s="1"/>
      <c r="J255" s="219"/>
      <c r="K255" s="219"/>
      <c r="L255" s="219"/>
      <c r="M255" s="219"/>
      <c r="N255" s="1">
        <v>68.0</v>
      </c>
      <c r="O255" s="1">
        <v>35.0</v>
      </c>
      <c r="P255" s="1">
        <v>1.0</v>
      </c>
      <c r="Q255" s="1" t="b">
        <v>0</v>
      </c>
      <c r="R255" s="1">
        <v>100.0</v>
      </c>
      <c r="S255" s="1" t="s">
        <v>354</v>
      </c>
      <c r="T255" s="1" t="s">
        <v>422</v>
      </c>
      <c r="U255" s="1"/>
    </row>
    <row r="256">
      <c r="A256" s="218">
        <v>45180.92763413195</v>
      </c>
      <c r="B256" s="1" t="s">
        <v>69</v>
      </c>
      <c r="C256" s="1" t="s">
        <v>252</v>
      </c>
      <c r="D256" s="1">
        <v>1.0</v>
      </c>
      <c r="E256" s="1">
        <v>1.0</v>
      </c>
      <c r="F256" s="1" t="s">
        <v>1003</v>
      </c>
      <c r="G256" s="218">
        <v>45185.75</v>
      </c>
      <c r="H256" s="1" t="s">
        <v>59</v>
      </c>
      <c r="I256" s="1" t="s">
        <v>935</v>
      </c>
      <c r="J256" s="219">
        <v>7.5</v>
      </c>
      <c r="K256" s="219">
        <v>7.5</v>
      </c>
      <c r="L256" s="219">
        <v>-315.0</v>
      </c>
      <c r="M256" s="219" t="s">
        <v>68</v>
      </c>
      <c r="N256" s="1">
        <v>44.0</v>
      </c>
      <c r="O256" s="1">
        <v>41.0</v>
      </c>
      <c r="P256" s="1">
        <v>1.0</v>
      </c>
      <c r="Q256" s="1" t="b">
        <v>0</v>
      </c>
      <c r="R256" s="1">
        <v>100.0</v>
      </c>
      <c r="S256" s="1" t="s">
        <v>352</v>
      </c>
      <c r="T256" s="1" t="s">
        <v>423</v>
      </c>
      <c r="U256" s="1"/>
    </row>
    <row r="257">
      <c r="A257" s="218">
        <v>45180.92763413195</v>
      </c>
      <c r="B257" s="1" t="s">
        <v>69</v>
      </c>
      <c r="C257" s="1" t="s">
        <v>257</v>
      </c>
      <c r="D257" s="1">
        <v>2.0</v>
      </c>
      <c r="E257" s="1">
        <v>0.0</v>
      </c>
      <c r="F257" s="1" t="s">
        <v>1013</v>
      </c>
      <c r="G257" s="218">
        <v>45185.77083333333</v>
      </c>
      <c r="H257" s="1"/>
      <c r="I257" s="1" t="s">
        <v>935</v>
      </c>
      <c r="J257" s="219"/>
      <c r="K257" s="219"/>
      <c r="L257" s="219"/>
      <c r="M257" s="219"/>
      <c r="N257" s="1">
        <v>74.0</v>
      </c>
      <c r="O257" s="1">
        <v>22.0</v>
      </c>
      <c r="P257" s="1">
        <v>1.0</v>
      </c>
      <c r="Q257" s="1" t="b">
        <v>0</v>
      </c>
      <c r="R257" s="1">
        <v>100.0</v>
      </c>
      <c r="S257" s="1" t="s">
        <v>296</v>
      </c>
      <c r="T257" s="1" t="s">
        <v>422</v>
      </c>
      <c r="U257" s="1"/>
    </row>
    <row r="258">
      <c r="A258" s="218">
        <v>45180.92763413195</v>
      </c>
      <c r="B258" s="1" t="s">
        <v>69</v>
      </c>
      <c r="C258" s="1" t="s">
        <v>250</v>
      </c>
      <c r="D258" s="1">
        <v>2.0</v>
      </c>
      <c r="E258" s="1">
        <v>1.0</v>
      </c>
      <c r="F258" s="1" t="s">
        <v>999</v>
      </c>
      <c r="G258" s="218">
        <v>45185.79166666667</v>
      </c>
      <c r="H258" s="1" t="s">
        <v>67</v>
      </c>
      <c r="I258" s="1" t="s">
        <v>935</v>
      </c>
      <c r="J258" s="219">
        <v>-2.5</v>
      </c>
      <c r="K258" s="219">
        <v>-4.5</v>
      </c>
      <c r="L258" s="219">
        <v>168.0</v>
      </c>
      <c r="M258" s="219" t="s">
        <v>47</v>
      </c>
      <c r="N258" s="1">
        <v>87.0</v>
      </c>
      <c r="O258" s="1">
        <v>76.0</v>
      </c>
      <c r="P258" s="1">
        <v>1.0</v>
      </c>
      <c r="Q258" s="1" t="b">
        <v>1</v>
      </c>
      <c r="R258" s="1">
        <v>100.0</v>
      </c>
      <c r="S258" s="1" t="s">
        <v>351</v>
      </c>
      <c r="T258" s="1" t="s">
        <v>423</v>
      </c>
      <c r="U258" s="1"/>
    </row>
    <row r="259">
      <c r="A259" s="218">
        <v>45180.92763413195</v>
      </c>
      <c r="B259" s="1" t="s">
        <v>69</v>
      </c>
      <c r="C259" s="1" t="s">
        <v>254</v>
      </c>
      <c r="D259" s="1">
        <v>0.0</v>
      </c>
      <c r="E259" s="1">
        <v>2.0</v>
      </c>
      <c r="F259" s="1" t="s">
        <v>1014</v>
      </c>
      <c r="G259" s="218">
        <v>45185.79166666667</v>
      </c>
      <c r="H259" s="1"/>
      <c r="I259" s="1" t="s">
        <v>935</v>
      </c>
      <c r="J259" s="219"/>
      <c r="K259" s="219"/>
      <c r="L259" s="219"/>
      <c r="M259" s="219"/>
      <c r="N259" s="1">
        <v>3.0</v>
      </c>
      <c r="O259" s="1">
        <v>110.0</v>
      </c>
      <c r="P259" s="1">
        <v>1.0</v>
      </c>
      <c r="Q259" s="1" t="b">
        <v>0</v>
      </c>
      <c r="R259" s="1">
        <v>100.0</v>
      </c>
      <c r="S259" s="1" t="s">
        <v>355</v>
      </c>
      <c r="T259" s="1" t="s">
        <v>423</v>
      </c>
      <c r="U259" s="1"/>
    </row>
    <row r="260">
      <c r="A260" s="218">
        <v>45180.92763413195</v>
      </c>
      <c r="B260" s="1" t="s">
        <v>69</v>
      </c>
      <c r="C260" s="1" t="s">
        <v>256</v>
      </c>
      <c r="D260" s="1">
        <v>1.0</v>
      </c>
      <c r="E260" s="1">
        <v>1.0</v>
      </c>
      <c r="F260" s="1" t="s">
        <v>1015</v>
      </c>
      <c r="G260" s="218">
        <v>45185.8125</v>
      </c>
      <c r="H260" s="1"/>
      <c r="I260" s="1"/>
      <c r="J260" s="219">
        <v>-1.0</v>
      </c>
      <c r="K260" s="219">
        <v>-1.5</v>
      </c>
      <c r="L260" s="219">
        <v>-125.0</v>
      </c>
      <c r="M260" s="219" t="s">
        <v>937</v>
      </c>
      <c r="N260" s="1">
        <v>66.0</v>
      </c>
      <c r="O260" s="1">
        <v>34.0</v>
      </c>
      <c r="P260" s="1">
        <v>1.0</v>
      </c>
      <c r="Q260" s="1" t="b">
        <v>0</v>
      </c>
      <c r="R260" s="1">
        <v>100.0</v>
      </c>
      <c r="S260" s="1" t="s">
        <v>301</v>
      </c>
      <c r="T260" s="1" t="s">
        <v>422</v>
      </c>
      <c r="U260" s="1"/>
    </row>
    <row r="261">
      <c r="A261" s="218">
        <v>45180.92763413195</v>
      </c>
      <c r="B261" s="1" t="s">
        <v>69</v>
      </c>
      <c r="C261" s="1" t="s">
        <v>219</v>
      </c>
      <c r="D261" s="1">
        <v>1.0</v>
      </c>
      <c r="E261" s="1">
        <v>1.0</v>
      </c>
      <c r="F261" s="1" t="s">
        <v>1009</v>
      </c>
      <c r="G261" s="218">
        <v>45185.5</v>
      </c>
      <c r="H261" s="1" t="s">
        <v>62</v>
      </c>
      <c r="I261" s="1" t="s">
        <v>76</v>
      </c>
      <c r="J261" s="219">
        <v>-7.5</v>
      </c>
      <c r="K261" s="219">
        <v>-9.5</v>
      </c>
      <c r="L261" s="219">
        <v>-375.0</v>
      </c>
      <c r="M261" s="219" t="s">
        <v>114</v>
      </c>
      <c r="N261" s="1">
        <v>96.0</v>
      </c>
      <c r="O261" s="1">
        <v>55.0</v>
      </c>
      <c r="P261" s="1">
        <v>1.0</v>
      </c>
      <c r="Q261" s="1" t="b">
        <v>1</v>
      </c>
      <c r="R261" s="1">
        <v>100.0</v>
      </c>
      <c r="S261" s="1" t="s">
        <v>292</v>
      </c>
      <c r="T261" s="1" t="s">
        <v>422</v>
      </c>
      <c r="U261" s="1"/>
    </row>
    <row r="262">
      <c r="A262" s="218">
        <v>45180.92763413195</v>
      </c>
      <c r="B262" s="1" t="s">
        <v>69</v>
      </c>
      <c r="C262" s="1" t="s">
        <v>255</v>
      </c>
      <c r="D262" s="1">
        <v>1.0</v>
      </c>
      <c r="E262" s="1">
        <v>1.0</v>
      </c>
      <c r="F262" s="1" t="s">
        <v>1008</v>
      </c>
      <c r="G262" s="218">
        <v>45185.5</v>
      </c>
      <c r="H262" s="1" t="s">
        <v>62</v>
      </c>
      <c r="I262" s="1" t="s">
        <v>888</v>
      </c>
      <c r="J262" s="219">
        <v>-16.5</v>
      </c>
      <c r="K262" s="219">
        <v>-19.5</v>
      </c>
      <c r="L262" s="219">
        <v>720.0</v>
      </c>
      <c r="M262" s="219" t="s">
        <v>994</v>
      </c>
      <c r="N262" s="1">
        <v>60.0</v>
      </c>
      <c r="O262" s="1">
        <v>48.0</v>
      </c>
      <c r="P262" s="1">
        <v>1.0</v>
      </c>
      <c r="Q262" s="1" t="b">
        <v>1</v>
      </c>
      <c r="R262" s="1">
        <v>100.0</v>
      </c>
      <c r="S262" s="1" t="s">
        <v>282</v>
      </c>
      <c r="T262" s="1" t="s">
        <v>422</v>
      </c>
      <c r="U262" s="1"/>
    </row>
    <row r="263">
      <c r="A263" s="218">
        <v>45180.92763413195</v>
      </c>
      <c r="B263" s="1"/>
      <c r="C263" s="1"/>
      <c r="D263" s="1"/>
      <c r="E263" s="1"/>
      <c r="F263" s="1"/>
      <c r="G263" s="1"/>
      <c r="H263" s="1"/>
      <c r="I263" s="1"/>
      <c r="J263" s="219"/>
      <c r="K263" s="219"/>
      <c r="L263" s="219"/>
      <c r="M263" s="219"/>
      <c r="N263" s="1"/>
      <c r="O263" s="1"/>
      <c r="P263" s="1"/>
      <c r="Q263" s="1"/>
      <c r="R263" s="1"/>
      <c r="S263" s="1" t="e">
        <v>#N/A</v>
      </c>
      <c r="T263" s="1" t="e">
        <v>#N/A</v>
      </c>
      <c r="U263" s="1"/>
    </row>
    <row r="264">
      <c r="A264" s="218">
        <v>45180.92763413195</v>
      </c>
      <c r="B264" s="1" t="s">
        <v>125</v>
      </c>
      <c r="C264" s="1" t="s">
        <v>265</v>
      </c>
      <c r="D264" s="1">
        <v>1.0</v>
      </c>
      <c r="E264" s="1">
        <v>1.0</v>
      </c>
      <c r="F264" s="1" t="s">
        <v>957</v>
      </c>
      <c r="G264" s="218">
        <v>45185.60416666667</v>
      </c>
      <c r="H264" s="1" t="s">
        <v>56</v>
      </c>
      <c r="I264" s="1" t="s">
        <v>958</v>
      </c>
      <c r="J264" s="219">
        <v>30.5</v>
      </c>
      <c r="K264" s="219">
        <v>34.5</v>
      </c>
      <c r="L264" s="219">
        <v>1400.0</v>
      </c>
      <c r="M264" s="219" t="s">
        <v>68</v>
      </c>
      <c r="N264" s="1">
        <v>52.0</v>
      </c>
      <c r="O264" s="1">
        <v>73.0</v>
      </c>
      <c r="P264" s="1">
        <v>1.0</v>
      </c>
      <c r="Q264" s="1" t="b">
        <v>0</v>
      </c>
      <c r="R264" s="1">
        <v>100.0</v>
      </c>
      <c r="S264" s="1" t="s">
        <v>352</v>
      </c>
      <c r="T264" s="1" t="s">
        <v>423</v>
      </c>
      <c r="U264" s="1"/>
    </row>
    <row r="265">
      <c r="A265" s="218">
        <v>45180.92763413195</v>
      </c>
      <c r="B265" s="1" t="s">
        <v>125</v>
      </c>
      <c r="C265" s="1" t="s">
        <v>261</v>
      </c>
      <c r="D265" s="1">
        <v>1.0</v>
      </c>
      <c r="E265" s="1">
        <v>1.0</v>
      </c>
      <c r="F265" s="1" t="s">
        <v>977</v>
      </c>
      <c r="G265" s="218">
        <v>45185.64583333333</v>
      </c>
      <c r="H265" s="1" t="s">
        <v>46</v>
      </c>
      <c r="I265" s="1" t="s">
        <v>900</v>
      </c>
      <c r="J265" s="219">
        <v>19.5</v>
      </c>
      <c r="K265" s="219">
        <v>18.5</v>
      </c>
      <c r="L265" s="219">
        <v>810.0</v>
      </c>
      <c r="M265" s="219" t="s">
        <v>906</v>
      </c>
      <c r="N265" s="1">
        <v>45.0</v>
      </c>
      <c r="O265" s="1">
        <v>31.0</v>
      </c>
      <c r="P265" s="1">
        <v>1.0</v>
      </c>
      <c r="Q265" s="1" t="b">
        <v>1</v>
      </c>
      <c r="R265" s="1">
        <v>100.0</v>
      </c>
      <c r="S265" s="1" t="s">
        <v>282</v>
      </c>
      <c r="T265" s="1" t="s">
        <v>422</v>
      </c>
      <c r="U265" s="1"/>
    </row>
    <row r="266">
      <c r="A266" s="218">
        <v>45180.92763413195</v>
      </c>
      <c r="B266" s="1" t="s">
        <v>125</v>
      </c>
      <c r="C266" s="1" t="s">
        <v>264</v>
      </c>
      <c r="D266" s="1">
        <v>1.0</v>
      </c>
      <c r="E266" s="1">
        <v>1.0</v>
      </c>
      <c r="F266" s="1" t="s">
        <v>997</v>
      </c>
      <c r="G266" s="218">
        <v>45185.66666666667</v>
      </c>
      <c r="H266" s="1" t="s">
        <v>67</v>
      </c>
      <c r="I266" s="1" t="s">
        <v>945</v>
      </c>
      <c r="J266" s="219">
        <v>-30.5</v>
      </c>
      <c r="K266" s="219">
        <v>-36.5</v>
      </c>
      <c r="L266" s="219">
        <v>2000.0</v>
      </c>
      <c r="M266" s="219" t="s">
        <v>73</v>
      </c>
      <c r="N266" s="1">
        <v>85.0</v>
      </c>
      <c r="O266" s="1">
        <v>58.0</v>
      </c>
      <c r="P266" s="1">
        <v>1.0</v>
      </c>
      <c r="Q266" s="1" t="b">
        <v>1</v>
      </c>
      <c r="R266" s="1">
        <v>100.0</v>
      </c>
      <c r="S266" s="1" t="s">
        <v>292</v>
      </c>
      <c r="T266" s="1" t="s">
        <v>422</v>
      </c>
      <c r="U266" s="1"/>
    </row>
    <row r="267">
      <c r="A267" s="218">
        <v>45180.92763413195</v>
      </c>
      <c r="B267" s="1" t="s">
        <v>125</v>
      </c>
      <c r="C267" s="1" t="s">
        <v>259</v>
      </c>
      <c r="D267" s="1">
        <v>2.0</v>
      </c>
      <c r="E267" s="1">
        <v>0.0</v>
      </c>
      <c r="F267" s="1" t="s">
        <v>1016</v>
      </c>
      <c r="G267" s="218">
        <v>45185.70833333333</v>
      </c>
      <c r="H267" s="1"/>
      <c r="I267" s="1" t="s">
        <v>942</v>
      </c>
      <c r="J267" s="219"/>
      <c r="K267" s="219"/>
      <c r="L267" s="219"/>
      <c r="M267" s="219"/>
      <c r="N267" s="1">
        <v>81.0</v>
      </c>
      <c r="O267" s="1">
        <v>46.0</v>
      </c>
      <c r="P267" s="1">
        <v>1.0</v>
      </c>
      <c r="Q267" s="1" t="b">
        <v>0</v>
      </c>
      <c r="R267" s="1">
        <v>100.0</v>
      </c>
      <c r="S267" s="1" t="s">
        <v>354</v>
      </c>
      <c r="T267" s="1" t="s">
        <v>422</v>
      </c>
      <c r="U267" s="1"/>
    </row>
    <row r="268">
      <c r="A268" s="218">
        <v>45180.92763413195</v>
      </c>
      <c r="B268" s="1" t="s">
        <v>125</v>
      </c>
      <c r="C268" s="1" t="s">
        <v>263</v>
      </c>
      <c r="D268" s="1">
        <v>1.0</v>
      </c>
      <c r="E268" s="1">
        <v>1.0</v>
      </c>
      <c r="F268" s="1" t="s">
        <v>1017</v>
      </c>
      <c r="G268" s="218">
        <v>45185.79166666667</v>
      </c>
      <c r="H268" s="1"/>
      <c r="I268" s="1" t="s">
        <v>935</v>
      </c>
      <c r="J268" s="219"/>
      <c r="K268" s="219"/>
      <c r="L268" s="219"/>
      <c r="M268" s="219"/>
      <c r="N268" s="1">
        <v>53.0</v>
      </c>
      <c r="O268" s="1">
        <v>78.0</v>
      </c>
      <c r="P268" s="1">
        <v>1.0</v>
      </c>
      <c r="Q268" s="1" t="b">
        <v>0</v>
      </c>
      <c r="R268" s="1">
        <v>100.0</v>
      </c>
      <c r="S268" s="1" t="s">
        <v>407</v>
      </c>
      <c r="T268" s="1" t="s">
        <v>423</v>
      </c>
      <c r="U268" s="1"/>
    </row>
    <row r="269">
      <c r="A269" s="218">
        <v>45180.92763413195</v>
      </c>
      <c r="B269" s="1" t="s">
        <v>125</v>
      </c>
      <c r="C269" s="1" t="s">
        <v>262</v>
      </c>
      <c r="D269" s="1">
        <v>2.0</v>
      </c>
      <c r="E269" s="1">
        <v>0.0</v>
      </c>
      <c r="F269" s="1" t="s">
        <v>980</v>
      </c>
      <c r="G269" s="218">
        <v>45185.79166666667</v>
      </c>
      <c r="H269" s="1" t="s">
        <v>46</v>
      </c>
      <c r="I269" s="1" t="s">
        <v>981</v>
      </c>
      <c r="J269" s="219">
        <v>1.5</v>
      </c>
      <c r="K269" s="219">
        <v>1.5</v>
      </c>
      <c r="L269" s="219">
        <v>106.0</v>
      </c>
      <c r="M269" s="219" t="s">
        <v>854</v>
      </c>
      <c r="N269" s="1">
        <v>74.0</v>
      </c>
      <c r="O269" s="1">
        <v>38.0</v>
      </c>
      <c r="P269" s="1">
        <v>1.0</v>
      </c>
      <c r="Q269" s="1" t="b">
        <v>1</v>
      </c>
      <c r="R269" s="1">
        <v>100.0</v>
      </c>
      <c r="S269" s="1" t="s">
        <v>355</v>
      </c>
      <c r="T269" s="1" t="s">
        <v>423</v>
      </c>
      <c r="U269" s="1"/>
    </row>
    <row r="270">
      <c r="A270" s="218">
        <v>45180.92763413195</v>
      </c>
      <c r="B270" s="1" t="s">
        <v>125</v>
      </c>
      <c r="C270" s="1" t="s">
        <v>239</v>
      </c>
      <c r="D270" s="1">
        <v>2.0</v>
      </c>
      <c r="E270" s="1">
        <v>0.0</v>
      </c>
      <c r="F270" s="1" t="s">
        <v>983</v>
      </c>
      <c r="G270" s="218">
        <v>45185.83333333333</v>
      </c>
      <c r="H270" s="1" t="s">
        <v>46</v>
      </c>
      <c r="I270" s="1" t="s">
        <v>984</v>
      </c>
      <c r="J270" s="219">
        <v>-26.5</v>
      </c>
      <c r="K270" s="219">
        <v>-28.5</v>
      </c>
      <c r="L270" s="219">
        <v>1400.0</v>
      </c>
      <c r="M270" s="219" t="s">
        <v>854</v>
      </c>
      <c r="N270" s="1">
        <v>71.0</v>
      </c>
      <c r="O270" s="1">
        <v>34.0</v>
      </c>
      <c r="P270" s="1">
        <v>1.0</v>
      </c>
      <c r="Q270" s="1" t="b">
        <v>1</v>
      </c>
      <c r="R270" s="1">
        <v>100.0</v>
      </c>
      <c r="S270" s="1" t="s">
        <v>296</v>
      </c>
      <c r="T270" s="1" t="s">
        <v>422</v>
      </c>
      <c r="U270" s="1"/>
    </row>
    <row r="271">
      <c r="A271" s="218">
        <v>45180.92763413195</v>
      </c>
      <c r="B271" s="1" t="s">
        <v>125</v>
      </c>
      <c r="C271" s="1" t="s">
        <v>258</v>
      </c>
      <c r="D271" s="1">
        <v>0.0</v>
      </c>
      <c r="E271" s="1">
        <v>2.0</v>
      </c>
      <c r="F271" s="1" t="s">
        <v>987</v>
      </c>
      <c r="G271" s="218">
        <v>45185.9375</v>
      </c>
      <c r="H271" s="1" t="s">
        <v>70</v>
      </c>
      <c r="I271" s="1" t="s">
        <v>99</v>
      </c>
      <c r="J271" s="219">
        <v>26.5</v>
      </c>
      <c r="K271" s="219">
        <v>27.5</v>
      </c>
      <c r="L271" s="219">
        <v>-4000.0</v>
      </c>
      <c r="M271" s="219" t="s">
        <v>954</v>
      </c>
      <c r="N271" s="1">
        <v>20.0</v>
      </c>
      <c r="O271" s="1">
        <v>99.0</v>
      </c>
      <c r="P271" s="1">
        <v>1.0</v>
      </c>
      <c r="Q271" s="1" t="b">
        <v>0</v>
      </c>
      <c r="R271" s="1">
        <v>100.0</v>
      </c>
      <c r="S271" s="1" t="s">
        <v>353</v>
      </c>
      <c r="T271" s="1" t="s">
        <v>423</v>
      </c>
      <c r="U271" s="1"/>
    </row>
    <row r="272">
      <c r="A272" s="218">
        <v>45180.92763413195</v>
      </c>
      <c r="B272" s="1" t="s">
        <v>125</v>
      </c>
      <c r="C272" s="1" t="s">
        <v>224</v>
      </c>
      <c r="D272" s="1">
        <v>2.0</v>
      </c>
      <c r="E272" s="1">
        <v>0.0</v>
      </c>
      <c r="F272" s="1" t="s">
        <v>1010</v>
      </c>
      <c r="G272" s="218">
        <v>45185.5</v>
      </c>
      <c r="H272" s="1" t="s">
        <v>62</v>
      </c>
      <c r="I272" s="1" t="s">
        <v>82</v>
      </c>
      <c r="J272" s="219">
        <v>-28.0</v>
      </c>
      <c r="K272" s="219">
        <v>-26.5</v>
      </c>
      <c r="L272" s="219">
        <v>-8000.0</v>
      </c>
      <c r="M272" s="219" t="s">
        <v>854</v>
      </c>
      <c r="N272" s="1">
        <v>111.0</v>
      </c>
      <c r="O272" s="1">
        <v>37.0</v>
      </c>
      <c r="P272" s="1">
        <v>1.0</v>
      </c>
      <c r="Q272" s="1" t="b">
        <v>0</v>
      </c>
      <c r="R272" s="1">
        <v>100.0</v>
      </c>
      <c r="S272" s="1" t="s">
        <v>301</v>
      </c>
      <c r="T272" s="1" t="s">
        <v>422</v>
      </c>
      <c r="U272" s="1"/>
    </row>
    <row r="273">
      <c r="A273" s="218">
        <v>45180.92763413195</v>
      </c>
      <c r="B273" s="1" t="s">
        <v>125</v>
      </c>
      <c r="C273" s="1" t="s">
        <v>260</v>
      </c>
      <c r="D273" s="1">
        <v>2.0</v>
      </c>
      <c r="E273" s="1">
        <v>1.0</v>
      </c>
      <c r="F273" s="1"/>
      <c r="G273" s="1"/>
      <c r="H273" s="1"/>
      <c r="I273" s="1"/>
      <c r="J273" s="219"/>
      <c r="K273" s="219"/>
      <c r="L273" s="219"/>
      <c r="M273" s="219"/>
      <c r="N273" s="1">
        <v>82.0</v>
      </c>
      <c r="O273" s="1">
        <v>47.0</v>
      </c>
      <c r="P273" s="1">
        <v>3.0</v>
      </c>
      <c r="Q273" s="1" t="b">
        <v>1</v>
      </c>
      <c r="R273" s="1">
        <v>100.0</v>
      </c>
      <c r="S273" s="1" t="s">
        <v>351</v>
      </c>
      <c r="T273" s="1" t="s">
        <v>423</v>
      </c>
      <c r="U273" s="1"/>
    </row>
    <row r="274">
      <c r="A274" s="218">
        <v>45180.92763413195</v>
      </c>
      <c r="B274" s="1"/>
      <c r="C274" s="1"/>
      <c r="D274" s="1"/>
      <c r="E274" s="1"/>
      <c r="F274" s="1"/>
      <c r="G274" s="1"/>
      <c r="H274" s="1"/>
      <c r="I274" s="1"/>
      <c r="J274" s="219"/>
      <c r="K274" s="219"/>
      <c r="L274" s="219"/>
      <c r="M274" s="219"/>
      <c r="N274" s="1"/>
      <c r="O274" s="1"/>
      <c r="P274" s="1"/>
      <c r="Q274" s="1"/>
      <c r="R274" s="1"/>
      <c r="S274" s="1" t="e">
        <v>#N/A</v>
      </c>
      <c r="T274" s="1" t="e">
        <v>#N/A</v>
      </c>
      <c r="U274" s="1"/>
    </row>
    <row r="275">
      <c r="A275" s="218">
        <v>45180.92763413195</v>
      </c>
      <c r="B275" s="1" t="s">
        <v>61</v>
      </c>
      <c r="C275" s="1" t="s">
        <v>273</v>
      </c>
      <c r="D275" s="1">
        <v>1.0</v>
      </c>
      <c r="E275" s="1">
        <v>1.0</v>
      </c>
      <c r="F275" s="1" t="s">
        <v>1011</v>
      </c>
      <c r="G275" s="218">
        <v>45184.83333333333</v>
      </c>
      <c r="H275" s="1" t="s">
        <v>69</v>
      </c>
      <c r="I275" s="1" t="s">
        <v>99</v>
      </c>
      <c r="J275" s="219">
        <v>9.5</v>
      </c>
      <c r="K275" s="219">
        <v>9.5</v>
      </c>
      <c r="L275" s="219">
        <v>270.0</v>
      </c>
      <c r="M275" s="219" t="s">
        <v>906</v>
      </c>
      <c r="N275" s="1">
        <v>92.0</v>
      </c>
      <c r="O275" s="1">
        <v>52.0</v>
      </c>
      <c r="P275" s="1">
        <v>1.0</v>
      </c>
      <c r="Q275" s="1" t="b">
        <v>0</v>
      </c>
      <c r="R275" s="1">
        <v>100.0</v>
      </c>
      <c r="S275" s="1" t="s">
        <v>353</v>
      </c>
      <c r="T275" s="1" t="s">
        <v>423</v>
      </c>
      <c r="U275" s="1"/>
    </row>
    <row r="276">
      <c r="A276" s="218">
        <v>45180.92763413195</v>
      </c>
      <c r="B276" s="1" t="s">
        <v>61</v>
      </c>
      <c r="C276" s="1" t="s">
        <v>268</v>
      </c>
      <c r="D276" s="1">
        <v>1.0</v>
      </c>
      <c r="E276" s="1">
        <v>1.0</v>
      </c>
      <c r="F276" s="1" t="s">
        <v>1018</v>
      </c>
      <c r="G276" s="218">
        <v>45185.58333333333</v>
      </c>
      <c r="H276" s="1"/>
      <c r="I276" s="1" t="s">
        <v>1019</v>
      </c>
      <c r="J276" s="219"/>
      <c r="K276" s="219"/>
      <c r="L276" s="219"/>
      <c r="M276" s="219"/>
      <c r="N276" s="1">
        <v>48.0</v>
      </c>
      <c r="O276" s="1">
        <v>59.0</v>
      </c>
      <c r="P276" s="1">
        <v>1.0</v>
      </c>
      <c r="Q276" s="1" t="b">
        <v>0</v>
      </c>
      <c r="R276" s="1">
        <v>100.0</v>
      </c>
      <c r="S276" s="1" t="s">
        <v>301</v>
      </c>
      <c r="T276" s="1" t="s">
        <v>422</v>
      </c>
      <c r="U276" s="1"/>
    </row>
    <row r="277">
      <c r="A277" s="218">
        <v>45180.92763413195</v>
      </c>
      <c r="B277" s="1" t="s">
        <v>61</v>
      </c>
      <c r="C277" s="1" t="s">
        <v>266</v>
      </c>
      <c r="D277" s="1">
        <v>2.0</v>
      </c>
      <c r="E277" s="1">
        <v>0.0</v>
      </c>
      <c r="F277" s="1" t="s">
        <v>1020</v>
      </c>
      <c r="G277" s="218">
        <v>45185.64583333333</v>
      </c>
      <c r="H277" s="1" t="s">
        <v>61</v>
      </c>
      <c r="I277" s="1" t="s">
        <v>888</v>
      </c>
      <c r="J277" s="219">
        <v>-26.5</v>
      </c>
      <c r="K277" s="219">
        <v>-28.5</v>
      </c>
      <c r="L277" s="219">
        <v>1400.0</v>
      </c>
      <c r="M277" s="219" t="s">
        <v>843</v>
      </c>
      <c r="N277" s="1">
        <v>44.0</v>
      </c>
      <c r="O277" s="1">
        <v>27.0</v>
      </c>
      <c r="P277" s="1">
        <v>1.0</v>
      </c>
      <c r="Q277" s="1" t="b">
        <v>1</v>
      </c>
      <c r="R277" s="1">
        <v>100.0</v>
      </c>
      <c r="S277" s="1" t="s">
        <v>282</v>
      </c>
      <c r="T277" s="1" t="s">
        <v>422</v>
      </c>
      <c r="U277" s="1"/>
    </row>
    <row r="278">
      <c r="A278" s="218">
        <v>45180.92763413195</v>
      </c>
      <c r="B278" s="1" t="s">
        <v>61</v>
      </c>
      <c r="C278" s="1" t="s">
        <v>272</v>
      </c>
      <c r="D278" s="1">
        <v>1.0</v>
      </c>
      <c r="E278" s="1">
        <v>1.0</v>
      </c>
      <c r="F278" s="1" t="s">
        <v>1020</v>
      </c>
      <c r="G278" s="218">
        <v>45185.64583333333</v>
      </c>
      <c r="H278" s="1" t="s">
        <v>61</v>
      </c>
      <c r="I278" s="1" t="s">
        <v>888</v>
      </c>
      <c r="J278" s="219">
        <v>26.5</v>
      </c>
      <c r="K278" s="219">
        <v>28.5</v>
      </c>
      <c r="L278" s="219">
        <v>1400.0</v>
      </c>
      <c r="M278" s="219" t="s">
        <v>843</v>
      </c>
      <c r="N278" s="1">
        <v>42.0</v>
      </c>
      <c r="O278" s="1">
        <v>65.0</v>
      </c>
      <c r="P278" s="1">
        <v>1.0</v>
      </c>
      <c r="Q278" s="1" t="b">
        <v>0</v>
      </c>
      <c r="R278" s="1">
        <v>100.0</v>
      </c>
      <c r="S278" s="1" t="s">
        <v>352</v>
      </c>
      <c r="T278" s="1" t="s">
        <v>423</v>
      </c>
      <c r="U278" s="1"/>
    </row>
    <row r="279">
      <c r="A279" s="218">
        <v>45180.92763413195</v>
      </c>
      <c r="B279" s="1" t="s">
        <v>61</v>
      </c>
      <c r="C279" s="1" t="s">
        <v>233</v>
      </c>
      <c r="D279" s="1">
        <v>2.0</v>
      </c>
      <c r="E279" s="1">
        <v>0.0</v>
      </c>
      <c r="F279" s="1" t="s">
        <v>960</v>
      </c>
      <c r="G279" s="218">
        <v>45185.79166666667</v>
      </c>
      <c r="H279" s="1" t="s">
        <v>56</v>
      </c>
      <c r="I279" s="1" t="s">
        <v>76</v>
      </c>
      <c r="J279" s="219">
        <v>-7.5</v>
      </c>
      <c r="K279" s="219">
        <v>-6.5</v>
      </c>
      <c r="L279" s="219">
        <v>-260.0</v>
      </c>
      <c r="M279" s="219" t="s">
        <v>203</v>
      </c>
      <c r="N279" s="1">
        <v>79.0</v>
      </c>
      <c r="O279" s="1">
        <v>26.0</v>
      </c>
      <c r="P279" s="1">
        <v>1.0</v>
      </c>
      <c r="Q279" s="1" t="b">
        <v>1</v>
      </c>
      <c r="R279" s="1">
        <v>100.0</v>
      </c>
      <c r="S279" s="1" t="s">
        <v>292</v>
      </c>
      <c r="T279" s="1" t="s">
        <v>422</v>
      </c>
      <c r="U279" s="1"/>
    </row>
    <row r="280">
      <c r="A280" s="218">
        <v>45180.92763413195</v>
      </c>
      <c r="B280" s="1" t="s">
        <v>61</v>
      </c>
      <c r="C280" s="1" t="s">
        <v>271</v>
      </c>
      <c r="D280" s="1">
        <v>1.0</v>
      </c>
      <c r="E280" s="1">
        <v>1.0</v>
      </c>
      <c r="F280" s="1" t="s">
        <v>973</v>
      </c>
      <c r="G280" s="218">
        <v>45185.79166666667</v>
      </c>
      <c r="H280" s="1" t="s">
        <v>60</v>
      </c>
      <c r="I280" s="1" t="s">
        <v>935</v>
      </c>
      <c r="J280" s="219">
        <v>-0.5</v>
      </c>
      <c r="K280" s="219">
        <v>-1.5</v>
      </c>
      <c r="L280" s="219">
        <v>105.0</v>
      </c>
      <c r="M280" s="219" t="s">
        <v>954</v>
      </c>
      <c r="N280" s="1">
        <v>70.0</v>
      </c>
      <c r="O280" s="1">
        <v>55.0</v>
      </c>
      <c r="P280" s="1">
        <v>1.0</v>
      </c>
      <c r="Q280" s="1" t="b">
        <v>0</v>
      </c>
      <c r="R280" s="1">
        <v>100.0</v>
      </c>
      <c r="S280" s="1" t="s">
        <v>407</v>
      </c>
      <c r="T280" s="1" t="s">
        <v>423</v>
      </c>
      <c r="U280" s="1"/>
    </row>
    <row r="281">
      <c r="A281" s="218">
        <v>45180.92763413195</v>
      </c>
      <c r="B281" s="1" t="s">
        <v>61</v>
      </c>
      <c r="C281" s="1" t="s">
        <v>228</v>
      </c>
      <c r="D281" s="1">
        <v>0.0</v>
      </c>
      <c r="E281" s="1">
        <v>2.0</v>
      </c>
      <c r="F281" s="1" t="s">
        <v>1021</v>
      </c>
      <c r="G281" s="218">
        <v>45185.79166666667</v>
      </c>
      <c r="H281" s="1"/>
      <c r="I281" s="1" t="s">
        <v>935</v>
      </c>
      <c r="J281" s="219"/>
      <c r="K281" s="219"/>
      <c r="L281" s="219"/>
      <c r="M281" s="219"/>
      <c r="N281" s="1">
        <v>26.0</v>
      </c>
      <c r="O281" s="1">
        <v>79.0</v>
      </c>
      <c r="P281" s="1">
        <v>1.0</v>
      </c>
      <c r="Q281" s="1" t="b">
        <v>0</v>
      </c>
      <c r="R281" s="1">
        <v>100.0</v>
      </c>
      <c r="S281" s="1" t="s">
        <v>351</v>
      </c>
      <c r="T281" s="1" t="s">
        <v>423</v>
      </c>
      <c r="U281" s="1"/>
    </row>
    <row r="282">
      <c r="A282" s="218">
        <v>45180.92763413195</v>
      </c>
      <c r="B282" s="1" t="s">
        <v>61</v>
      </c>
      <c r="C282" s="1" t="s">
        <v>267</v>
      </c>
      <c r="D282" s="1">
        <v>2.0</v>
      </c>
      <c r="E282" s="1">
        <v>0.0</v>
      </c>
      <c r="F282" s="1" t="s">
        <v>998</v>
      </c>
      <c r="G282" s="218">
        <v>45185.79166666667</v>
      </c>
      <c r="H282" s="1" t="s">
        <v>67</v>
      </c>
      <c r="I282" s="1" t="s">
        <v>935</v>
      </c>
      <c r="J282" s="219">
        <v>-8.5</v>
      </c>
      <c r="K282" s="219">
        <v>-7.5</v>
      </c>
      <c r="L282" s="219">
        <v>225.0</v>
      </c>
      <c r="M282" s="219" t="s">
        <v>854</v>
      </c>
      <c r="N282" s="1">
        <v>54.0</v>
      </c>
      <c r="O282" s="1">
        <v>28.0</v>
      </c>
      <c r="P282" s="1">
        <v>1.0</v>
      </c>
      <c r="Q282" s="1" t="b">
        <v>1</v>
      </c>
      <c r="R282" s="1">
        <v>100.0</v>
      </c>
      <c r="S282" s="1" t="s">
        <v>296</v>
      </c>
      <c r="T282" s="1" t="s">
        <v>422</v>
      </c>
      <c r="U282" s="1"/>
    </row>
    <row r="283">
      <c r="A283" s="218">
        <v>45180.92763413195</v>
      </c>
      <c r="B283" s="1" t="s">
        <v>61</v>
      </c>
      <c r="C283" s="1" t="s">
        <v>269</v>
      </c>
      <c r="D283" s="1">
        <v>2.0</v>
      </c>
      <c r="E283" s="1">
        <v>0.0</v>
      </c>
      <c r="F283" s="1" t="s">
        <v>953</v>
      </c>
      <c r="G283" s="218">
        <v>45185.91666666667</v>
      </c>
      <c r="H283" s="1" t="s">
        <v>58</v>
      </c>
      <c r="I283" s="1" t="s">
        <v>76</v>
      </c>
      <c r="J283" s="219">
        <v>-19.5</v>
      </c>
      <c r="K283" s="219">
        <v>-22.5</v>
      </c>
      <c r="L283" s="219">
        <v>980.0</v>
      </c>
      <c r="M283" s="219" t="s">
        <v>954</v>
      </c>
      <c r="N283" s="1">
        <v>81.0</v>
      </c>
      <c r="O283" s="1">
        <v>56.0</v>
      </c>
      <c r="P283" s="1">
        <v>1.0</v>
      </c>
      <c r="Q283" s="1" t="b">
        <v>0</v>
      </c>
      <c r="R283" s="1">
        <v>100.0</v>
      </c>
      <c r="S283" s="1" t="s">
        <v>354</v>
      </c>
      <c r="T283" s="1" t="s">
        <v>422</v>
      </c>
      <c r="U283" s="1"/>
    </row>
    <row r="284">
      <c r="A284" s="218">
        <v>45187.927628101854</v>
      </c>
      <c r="B284" s="1" t="s">
        <v>35</v>
      </c>
      <c r="C284" s="1" t="s">
        <v>38</v>
      </c>
      <c r="D284" s="1">
        <v>3.0</v>
      </c>
      <c r="E284" s="1">
        <v>0.0</v>
      </c>
      <c r="F284" s="1" t="s">
        <v>1022</v>
      </c>
      <c r="G284" s="218">
        <v>45192.64583333333</v>
      </c>
      <c r="H284" s="1" t="s">
        <v>61</v>
      </c>
      <c r="I284" s="1" t="s">
        <v>82</v>
      </c>
      <c r="J284" s="219"/>
      <c r="K284" s="219"/>
      <c r="L284" s="219"/>
      <c r="M284" s="219"/>
      <c r="N284" s="1">
        <v>174.0</v>
      </c>
      <c r="O284" s="1">
        <v>47.0</v>
      </c>
      <c r="P284" s="1">
        <v>1.0</v>
      </c>
      <c r="Q284" s="1" t="b">
        <v>1</v>
      </c>
      <c r="R284" s="1">
        <v>100.0</v>
      </c>
      <c r="S284" s="1" t="s">
        <v>354</v>
      </c>
      <c r="T284" s="1" t="s">
        <v>422</v>
      </c>
      <c r="U284" s="1"/>
    </row>
    <row r="285">
      <c r="A285" s="218">
        <v>45187.927628101854</v>
      </c>
      <c r="B285" s="1" t="s">
        <v>35</v>
      </c>
      <c r="C285" s="1" t="s">
        <v>88</v>
      </c>
      <c r="D285" s="1">
        <v>1.0</v>
      </c>
      <c r="E285" s="1">
        <v>2.0</v>
      </c>
      <c r="F285" s="1" t="s">
        <v>1023</v>
      </c>
      <c r="G285" s="218">
        <v>45192.64583333333</v>
      </c>
      <c r="H285" s="1" t="s">
        <v>60</v>
      </c>
      <c r="I285" s="1" t="s">
        <v>935</v>
      </c>
      <c r="J285" s="219"/>
      <c r="K285" s="219"/>
      <c r="L285" s="219"/>
      <c r="M285" s="219"/>
      <c r="N285" s="1">
        <v>83.0</v>
      </c>
      <c r="O285" s="1">
        <v>89.0</v>
      </c>
      <c r="P285" s="1">
        <v>1.0</v>
      </c>
      <c r="Q285" s="1" t="b">
        <v>0</v>
      </c>
      <c r="R285" s="1">
        <v>100.0</v>
      </c>
      <c r="S285" s="1" t="s">
        <v>353</v>
      </c>
      <c r="T285" s="1" t="s">
        <v>423</v>
      </c>
      <c r="U285" s="1"/>
    </row>
    <row r="286">
      <c r="A286" s="218">
        <v>45187.927628101854</v>
      </c>
      <c r="B286" s="1" t="s">
        <v>35</v>
      </c>
      <c r="C286" s="1" t="s">
        <v>80</v>
      </c>
      <c r="D286" s="1">
        <v>1.0</v>
      </c>
      <c r="E286" s="1">
        <v>2.0</v>
      </c>
      <c r="F286" s="1" t="s">
        <v>1024</v>
      </c>
      <c r="G286" s="218">
        <v>45192.64583333333</v>
      </c>
      <c r="H286" s="1" t="s">
        <v>69</v>
      </c>
      <c r="I286" s="1" t="s">
        <v>888</v>
      </c>
      <c r="J286" s="219"/>
      <c r="K286" s="219"/>
      <c r="L286" s="219"/>
      <c r="M286" s="219"/>
      <c r="N286" s="1">
        <v>59.0</v>
      </c>
      <c r="O286" s="1">
        <v>60.0</v>
      </c>
      <c r="P286" s="1">
        <v>1.0</v>
      </c>
      <c r="Q286" s="1" t="b">
        <v>1</v>
      </c>
      <c r="R286" s="1">
        <v>100.0</v>
      </c>
      <c r="S286" s="1" t="s">
        <v>282</v>
      </c>
      <c r="T286" s="1" t="s">
        <v>422</v>
      </c>
      <c r="U286" s="1"/>
    </row>
    <row r="287">
      <c r="A287" s="218">
        <v>45187.927628101854</v>
      </c>
      <c r="B287" s="1" t="s">
        <v>35</v>
      </c>
      <c r="C287" s="1" t="s">
        <v>81</v>
      </c>
      <c r="D287" s="1">
        <v>2.0</v>
      </c>
      <c r="E287" s="1">
        <v>1.0</v>
      </c>
      <c r="F287" s="1" t="s">
        <v>1026</v>
      </c>
      <c r="G287" s="218">
        <v>45192.64583333333</v>
      </c>
      <c r="H287" s="1" t="s">
        <v>35</v>
      </c>
      <c r="I287" s="1" t="s">
        <v>36</v>
      </c>
      <c r="J287" s="219"/>
      <c r="K287" s="219"/>
      <c r="L287" s="219"/>
      <c r="M287" s="219"/>
      <c r="N287" s="1">
        <v>72.0</v>
      </c>
      <c r="O287" s="1">
        <v>66.0</v>
      </c>
      <c r="P287" s="1">
        <v>1.0</v>
      </c>
      <c r="Q287" s="1" t="b">
        <v>1</v>
      </c>
      <c r="R287" s="1">
        <v>100.0</v>
      </c>
      <c r="S287" s="1" t="s">
        <v>407</v>
      </c>
      <c r="T287" s="1" t="s">
        <v>423</v>
      </c>
      <c r="U287" s="1"/>
    </row>
    <row r="288">
      <c r="A288" s="218">
        <v>45187.927628101854</v>
      </c>
      <c r="B288" s="1" t="s">
        <v>35</v>
      </c>
      <c r="C288" s="1" t="s">
        <v>79</v>
      </c>
      <c r="D288" s="1">
        <v>3.0</v>
      </c>
      <c r="E288" s="1">
        <v>0.0</v>
      </c>
      <c r="F288" s="1" t="s">
        <v>1026</v>
      </c>
      <c r="G288" s="218">
        <v>45192.64583333333</v>
      </c>
      <c r="H288" s="1" t="s">
        <v>35</v>
      </c>
      <c r="I288" s="1" t="s">
        <v>36</v>
      </c>
      <c r="J288" s="219"/>
      <c r="K288" s="219"/>
      <c r="L288" s="219"/>
      <c r="M288" s="219"/>
      <c r="N288" s="1">
        <v>134.0</v>
      </c>
      <c r="O288" s="1">
        <v>43.0</v>
      </c>
      <c r="P288" s="1">
        <v>1.0</v>
      </c>
      <c r="Q288" s="1" t="b">
        <v>0</v>
      </c>
      <c r="R288" s="1">
        <v>100.0</v>
      </c>
      <c r="S288" s="1" t="s">
        <v>301</v>
      </c>
      <c r="T288" s="1" t="s">
        <v>422</v>
      </c>
      <c r="U288" s="1"/>
    </row>
    <row r="289">
      <c r="A289" s="218">
        <v>45187.927628101854</v>
      </c>
      <c r="B289" s="1" t="s">
        <v>35</v>
      </c>
      <c r="C289" s="1" t="s">
        <v>78</v>
      </c>
      <c r="D289" s="1">
        <v>0.0</v>
      </c>
      <c r="E289" s="1">
        <v>2.0</v>
      </c>
      <c r="F289" s="1" t="s">
        <v>1028</v>
      </c>
      <c r="G289" s="218">
        <v>45192.79166666667</v>
      </c>
      <c r="H289" s="1" t="s">
        <v>57</v>
      </c>
      <c r="I289" s="1" t="s">
        <v>935</v>
      </c>
      <c r="J289" s="219"/>
      <c r="K289" s="219"/>
      <c r="L289" s="219"/>
      <c r="M289" s="219"/>
      <c r="N289" s="1">
        <v>3.0</v>
      </c>
      <c r="O289" s="1">
        <v>27.0</v>
      </c>
      <c r="P289" s="1">
        <v>1.0</v>
      </c>
      <c r="Q289" s="1" t="b">
        <v>0</v>
      </c>
      <c r="R289" s="1">
        <v>100.0</v>
      </c>
      <c r="S289" s="1" t="s">
        <v>351</v>
      </c>
      <c r="T289" s="1" t="s">
        <v>423</v>
      </c>
      <c r="U289" s="1"/>
    </row>
    <row r="290">
      <c r="A290" s="218">
        <v>45187.927628101854</v>
      </c>
      <c r="B290" s="1" t="s">
        <v>35</v>
      </c>
      <c r="C290" s="1" t="s">
        <v>71</v>
      </c>
      <c r="D290" s="1">
        <v>2.0</v>
      </c>
      <c r="E290" s="1">
        <v>1.0</v>
      </c>
      <c r="F290" s="1" t="s">
        <v>1030</v>
      </c>
      <c r="G290" s="218">
        <v>45192.79166666667</v>
      </c>
      <c r="H290" s="1" t="s">
        <v>46</v>
      </c>
      <c r="I290" s="1" t="s">
        <v>99</v>
      </c>
      <c r="J290" s="219"/>
      <c r="K290" s="219"/>
      <c r="L290" s="219"/>
      <c r="M290" s="219"/>
      <c r="N290" s="1">
        <v>122.0</v>
      </c>
      <c r="O290" s="1">
        <v>92.0</v>
      </c>
      <c r="P290" s="1">
        <v>1.0</v>
      </c>
      <c r="Q290" s="1" t="b">
        <v>1</v>
      </c>
      <c r="R290" s="1">
        <v>100.0</v>
      </c>
      <c r="S290" s="1" t="s">
        <v>355</v>
      </c>
      <c r="T290" s="1" t="s">
        <v>423</v>
      </c>
      <c r="U290" s="1"/>
    </row>
    <row r="291">
      <c r="A291" s="218">
        <v>45187.927628101854</v>
      </c>
      <c r="B291" s="1" t="s">
        <v>35</v>
      </c>
      <c r="C291" s="1" t="s">
        <v>63</v>
      </c>
      <c r="D291" s="1">
        <v>3.0</v>
      </c>
      <c r="E291" s="1">
        <v>0.0</v>
      </c>
      <c r="F291" s="1" t="s">
        <v>1031</v>
      </c>
      <c r="G291" s="218">
        <v>45192.8125</v>
      </c>
      <c r="H291" s="1" t="s">
        <v>61</v>
      </c>
      <c r="I291" s="1" t="s">
        <v>36</v>
      </c>
      <c r="J291" s="219"/>
      <c r="K291" s="219"/>
      <c r="L291" s="219"/>
      <c r="M291" s="219"/>
      <c r="N291" s="1">
        <v>117.0</v>
      </c>
      <c r="O291" s="1">
        <v>24.0</v>
      </c>
      <c r="P291" s="1">
        <v>1.0</v>
      </c>
      <c r="Q291" s="1" t="b">
        <v>0</v>
      </c>
      <c r="R291" s="1">
        <v>100.0</v>
      </c>
      <c r="S291" s="1" t="s">
        <v>292</v>
      </c>
      <c r="T291" s="1" t="s">
        <v>422</v>
      </c>
      <c r="U291" s="1"/>
    </row>
    <row r="292">
      <c r="A292" s="218">
        <v>45187.927628101854</v>
      </c>
      <c r="B292" s="1" t="s">
        <v>35</v>
      </c>
      <c r="C292" s="1" t="s">
        <v>74</v>
      </c>
      <c r="D292" s="1">
        <v>2.0</v>
      </c>
      <c r="E292" s="1">
        <v>1.0</v>
      </c>
      <c r="F292" s="1" t="s">
        <v>1033</v>
      </c>
      <c r="G292" s="218">
        <v>45192.83333333333</v>
      </c>
      <c r="H292" s="1" t="s">
        <v>69</v>
      </c>
      <c r="I292" s="1" t="s">
        <v>96</v>
      </c>
      <c r="J292" s="219"/>
      <c r="K292" s="219"/>
      <c r="L292" s="219"/>
      <c r="M292" s="219"/>
      <c r="N292" s="1">
        <v>114.0</v>
      </c>
      <c r="O292" s="1">
        <v>43.0</v>
      </c>
      <c r="P292" s="1">
        <v>1.0</v>
      </c>
      <c r="Q292" s="1" t="b">
        <v>1</v>
      </c>
      <c r="R292" s="1">
        <v>100.0</v>
      </c>
      <c r="S292" s="1" t="s">
        <v>296</v>
      </c>
      <c r="T292" s="1" t="s">
        <v>422</v>
      </c>
      <c r="U292" s="1"/>
    </row>
    <row r="293">
      <c r="A293" s="218">
        <v>45187.927628101854</v>
      </c>
      <c r="B293" s="1" t="s">
        <v>35</v>
      </c>
      <c r="C293" s="1" t="s">
        <v>75</v>
      </c>
      <c r="D293" s="1">
        <v>1.0</v>
      </c>
      <c r="E293" s="1">
        <v>2.0</v>
      </c>
      <c r="F293" s="1" t="s">
        <v>1038</v>
      </c>
      <c r="G293" s="218">
        <v>45192.9375</v>
      </c>
      <c r="H293" s="1" t="s">
        <v>62</v>
      </c>
      <c r="I293" s="1" t="s">
        <v>99</v>
      </c>
      <c r="J293" s="219"/>
      <c r="K293" s="219"/>
      <c r="L293" s="219"/>
      <c r="M293" s="219"/>
      <c r="N293" s="1">
        <v>50.0</v>
      </c>
      <c r="O293" s="1">
        <v>94.0</v>
      </c>
      <c r="P293" s="1">
        <v>1.0</v>
      </c>
      <c r="Q293" s="1" t="b">
        <v>1</v>
      </c>
      <c r="R293" s="1">
        <v>100.0</v>
      </c>
      <c r="S293" s="1" t="s">
        <v>352</v>
      </c>
      <c r="T293" s="1" t="s">
        <v>423</v>
      </c>
      <c r="U293" s="1"/>
    </row>
    <row r="294">
      <c r="A294" s="218">
        <v>45187.927628101854</v>
      </c>
      <c r="B294" s="1"/>
      <c r="C294" s="1"/>
      <c r="D294" s="1"/>
      <c r="E294" s="1"/>
      <c r="F294" s="1"/>
      <c r="G294" s="218"/>
      <c r="H294" s="1"/>
      <c r="I294" s="1"/>
      <c r="J294" s="219"/>
      <c r="K294" s="219"/>
      <c r="L294" s="219"/>
      <c r="M294" s="219"/>
      <c r="N294" s="1"/>
      <c r="O294" s="1"/>
      <c r="P294" s="1"/>
      <c r="Q294" s="1"/>
      <c r="R294" s="1"/>
      <c r="S294" s="1" t="e">
        <v>#N/A</v>
      </c>
      <c r="T294" s="1" t="e">
        <v>#N/A</v>
      </c>
      <c r="U294" s="1"/>
    </row>
    <row r="295">
      <c r="A295" s="218">
        <v>45187.927628101854</v>
      </c>
      <c r="B295" s="1" t="s">
        <v>58</v>
      </c>
      <c r="C295" s="1" t="s">
        <v>119</v>
      </c>
      <c r="D295" s="1">
        <v>3.0</v>
      </c>
      <c r="E295" s="1">
        <v>0.0</v>
      </c>
      <c r="F295" s="1" t="s">
        <v>1045</v>
      </c>
      <c r="G295" s="218">
        <v>45192.64583333333</v>
      </c>
      <c r="H295" s="1" t="s">
        <v>70</v>
      </c>
      <c r="I295" s="1" t="s">
        <v>76</v>
      </c>
      <c r="J295" s="219"/>
      <c r="K295" s="219"/>
      <c r="L295" s="219"/>
      <c r="M295" s="219"/>
      <c r="N295" s="1">
        <v>93.0</v>
      </c>
      <c r="O295" s="1">
        <v>47.0</v>
      </c>
      <c r="P295" s="1">
        <v>1.0</v>
      </c>
      <c r="Q295" s="1" t="b">
        <v>1</v>
      </c>
      <c r="R295" s="1">
        <v>100.0</v>
      </c>
      <c r="S295" s="1" t="s">
        <v>296</v>
      </c>
      <c r="T295" s="1" t="s">
        <v>422</v>
      </c>
      <c r="U295" s="1"/>
    </row>
    <row r="296">
      <c r="A296" s="218">
        <v>45187.927628101854</v>
      </c>
      <c r="B296" s="1" t="s">
        <v>58</v>
      </c>
      <c r="C296" s="1" t="s">
        <v>109</v>
      </c>
      <c r="D296" s="1">
        <v>3.0</v>
      </c>
      <c r="E296" s="1">
        <v>0.0</v>
      </c>
      <c r="F296" s="1" t="s">
        <v>1047</v>
      </c>
      <c r="G296" s="218">
        <v>45192.64583333333</v>
      </c>
      <c r="H296" s="1" t="s">
        <v>59</v>
      </c>
      <c r="I296" s="1" t="s">
        <v>92</v>
      </c>
      <c r="J296" s="219"/>
      <c r="K296" s="219"/>
      <c r="L296" s="219"/>
      <c r="M296" s="219"/>
      <c r="N296" s="1">
        <v>121.0</v>
      </c>
      <c r="O296" s="1">
        <v>30.0</v>
      </c>
      <c r="P296" s="1">
        <v>1.0</v>
      </c>
      <c r="Q296" s="1" t="b">
        <v>1</v>
      </c>
      <c r="R296" s="1">
        <v>100.0</v>
      </c>
      <c r="S296" s="1" t="s">
        <v>354</v>
      </c>
      <c r="T296" s="1" t="s">
        <v>422</v>
      </c>
      <c r="U296" s="1"/>
    </row>
    <row r="297">
      <c r="A297" s="218">
        <v>45187.927628101854</v>
      </c>
      <c r="B297" s="1" t="s">
        <v>58</v>
      </c>
      <c r="C297" s="1" t="s">
        <v>102</v>
      </c>
      <c r="D297" s="1">
        <v>3.0</v>
      </c>
      <c r="E297" s="1">
        <v>0.0</v>
      </c>
      <c r="F297" s="1" t="s">
        <v>1051</v>
      </c>
      <c r="G297" s="218">
        <v>45192.77083333333</v>
      </c>
      <c r="H297" s="1" t="s">
        <v>67</v>
      </c>
      <c r="I297" s="1" t="s">
        <v>935</v>
      </c>
      <c r="J297" s="219"/>
      <c r="K297" s="219"/>
      <c r="L297" s="219"/>
      <c r="M297" s="219"/>
      <c r="N297" s="1">
        <v>122.0</v>
      </c>
      <c r="O297" s="1">
        <v>68.0</v>
      </c>
      <c r="P297" s="1">
        <v>1.0</v>
      </c>
      <c r="Q297" s="1" t="b">
        <v>1</v>
      </c>
      <c r="R297" s="1">
        <v>100.0</v>
      </c>
      <c r="S297" s="1" t="s">
        <v>351</v>
      </c>
      <c r="T297" s="1" t="s">
        <v>423</v>
      </c>
      <c r="U297" s="1"/>
    </row>
    <row r="298">
      <c r="A298" s="218">
        <v>45187.927628101854</v>
      </c>
      <c r="B298" s="1" t="s">
        <v>58</v>
      </c>
      <c r="C298" s="1" t="s">
        <v>105</v>
      </c>
      <c r="D298" s="1">
        <v>0.0</v>
      </c>
      <c r="E298" s="1">
        <v>2.0</v>
      </c>
      <c r="F298" s="1" t="s">
        <v>1052</v>
      </c>
      <c r="G298" s="218">
        <v>45192.79166666667</v>
      </c>
      <c r="H298" s="1" t="s">
        <v>61</v>
      </c>
      <c r="I298" s="1" t="s">
        <v>935</v>
      </c>
      <c r="J298" s="219">
        <v>19.5</v>
      </c>
      <c r="K298" s="219">
        <v>23.5</v>
      </c>
      <c r="L298" s="219">
        <v>920.0</v>
      </c>
      <c r="M298" s="219" t="s">
        <v>908</v>
      </c>
      <c r="N298" s="1">
        <v>59.0</v>
      </c>
      <c r="O298" s="1">
        <v>93.0</v>
      </c>
      <c r="P298" s="1">
        <v>1.0</v>
      </c>
      <c r="Q298" s="1" t="b">
        <v>0</v>
      </c>
      <c r="R298" s="1">
        <v>100.0</v>
      </c>
      <c r="S298" s="1" t="s">
        <v>353</v>
      </c>
      <c r="T298" s="1" t="s">
        <v>423</v>
      </c>
      <c r="U298" s="1"/>
    </row>
    <row r="299">
      <c r="A299" s="218">
        <v>45187.927628101854</v>
      </c>
      <c r="B299" s="1" t="s">
        <v>58</v>
      </c>
      <c r="C299" s="1" t="s">
        <v>116</v>
      </c>
      <c r="D299" s="1">
        <v>2.0</v>
      </c>
      <c r="E299" s="1">
        <v>1.0</v>
      </c>
      <c r="F299" s="1" t="s">
        <v>1053</v>
      </c>
      <c r="G299" s="218">
        <v>45192.8125</v>
      </c>
      <c r="H299" s="1" t="s">
        <v>125</v>
      </c>
      <c r="I299" s="1" t="s">
        <v>888</v>
      </c>
      <c r="J299" s="219"/>
      <c r="K299" s="219"/>
      <c r="L299" s="219"/>
      <c r="M299" s="219"/>
      <c r="N299" s="1">
        <v>51.0</v>
      </c>
      <c r="O299" s="1">
        <v>47.0</v>
      </c>
      <c r="P299" s="1">
        <v>1.0</v>
      </c>
      <c r="Q299" s="1" t="b">
        <v>1</v>
      </c>
      <c r="R299" s="1">
        <v>100.0</v>
      </c>
      <c r="S299" s="1" t="s">
        <v>282</v>
      </c>
      <c r="T299" s="1" t="s">
        <v>422</v>
      </c>
      <c r="U299" s="1"/>
    </row>
    <row r="300">
      <c r="A300" s="218">
        <v>45187.927628101854</v>
      </c>
      <c r="B300" s="1" t="s">
        <v>58</v>
      </c>
      <c r="C300" s="1" t="s">
        <v>118</v>
      </c>
      <c r="D300" s="1">
        <v>3.0</v>
      </c>
      <c r="E300" s="1">
        <v>0.0</v>
      </c>
      <c r="F300" s="1" t="s">
        <v>1054</v>
      </c>
      <c r="G300" s="218">
        <v>45192.8125</v>
      </c>
      <c r="H300" s="1" t="s">
        <v>59</v>
      </c>
      <c r="I300" s="1" t="s">
        <v>40</v>
      </c>
      <c r="J300" s="219"/>
      <c r="K300" s="219"/>
      <c r="L300" s="219"/>
      <c r="M300" s="219"/>
      <c r="N300" s="1">
        <v>121.0</v>
      </c>
      <c r="O300" s="1">
        <v>41.0</v>
      </c>
      <c r="P300" s="1">
        <v>1.0</v>
      </c>
      <c r="Q300" s="1" t="b">
        <v>0</v>
      </c>
      <c r="R300" s="1">
        <v>100.0</v>
      </c>
      <c r="S300" s="1" t="s">
        <v>407</v>
      </c>
      <c r="T300" s="1" t="s">
        <v>423</v>
      </c>
      <c r="U300" s="1"/>
    </row>
    <row r="301">
      <c r="A301" s="218">
        <v>45187.927628101854</v>
      </c>
      <c r="B301" s="1" t="s">
        <v>58</v>
      </c>
      <c r="C301" s="1" t="s">
        <v>111</v>
      </c>
      <c r="D301" s="1">
        <v>2.0</v>
      </c>
      <c r="E301" s="1">
        <v>0.0</v>
      </c>
      <c r="F301" s="1" t="s">
        <v>1055</v>
      </c>
      <c r="G301" s="218">
        <v>45192.5</v>
      </c>
      <c r="H301" s="1" t="s">
        <v>58</v>
      </c>
      <c r="I301" s="1" t="s">
        <v>36</v>
      </c>
      <c r="J301" s="219"/>
      <c r="K301" s="219"/>
      <c r="L301" s="219"/>
      <c r="M301" s="219"/>
      <c r="N301" s="1">
        <v>52.0</v>
      </c>
      <c r="O301" s="1">
        <v>30.0</v>
      </c>
      <c r="P301" s="1">
        <v>1.0</v>
      </c>
      <c r="Q301" s="1" t="b">
        <v>0</v>
      </c>
      <c r="R301" s="1">
        <v>100.0</v>
      </c>
      <c r="S301" s="1" t="s">
        <v>355</v>
      </c>
      <c r="T301" s="1" t="s">
        <v>423</v>
      </c>
      <c r="U301" s="1"/>
    </row>
    <row r="302">
      <c r="A302" s="218">
        <v>45187.927628101854</v>
      </c>
      <c r="B302" s="1" t="s">
        <v>58</v>
      </c>
      <c r="C302" s="1" t="s">
        <v>117</v>
      </c>
      <c r="D302" s="1">
        <v>1.0</v>
      </c>
      <c r="E302" s="1">
        <v>2.0</v>
      </c>
      <c r="F302" s="1" t="s">
        <v>1056</v>
      </c>
      <c r="G302" s="218">
        <v>45192.5</v>
      </c>
      <c r="H302" s="1" t="s">
        <v>57</v>
      </c>
      <c r="I302" s="1" t="s">
        <v>99</v>
      </c>
      <c r="J302" s="219"/>
      <c r="K302" s="219"/>
      <c r="L302" s="219"/>
      <c r="M302" s="219"/>
      <c r="N302" s="1">
        <v>49.0</v>
      </c>
      <c r="O302" s="1">
        <v>73.0</v>
      </c>
      <c r="P302" s="1">
        <v>1.0</v>
      </c>
      <c r="Q302" s="1" t="b">
        <v>0</v>
      </c>
      <c r="R302" s="1">
        <v>100.0</v>
      </c>
      <c r="S302" s="1" t="s">
        <v>352</v>
      </c>
      <c r="T302" s="1" t="s">
        <v>423</v>
      </c>
      <c r="U302" s="1"/>
    </row>
    <row r="303">
      <c r="A303" s="218">
        <v>45187.927628101854</v>
      </c>
      <c r="B303" s="1" t="s">
        <v>58</v>
      </c>
      <c r="C303" s="1" t="s">
        <v>112</v>
      </c>
      <c r="D303" s="1">
        <v>3.0</v>
      </c>
      <c r="E303" s="1">
        <v>0.0</v>
      </c>
      <c r="F303" s="1" t="s">
        <v>1057</v>
      </c>
      <c r="G303" s="218">
        <v>45192.5</v>
      </c>
      <c r="H303" s="1" t="s">
        <v>125</v>
      </c>
      <c r="I303" s="1" t="s">
        <v>76</v>
      </c>
      <c r="J303" s="219"/>
      <c r="K303" s="219"/>
      <c r="L303" s="219"/>
      <c r="M303" s="219"/>
      <c r="N303" s="1">
        <v>118.0</v>
      </c>
      <c r="O303" s="1">
        <v>37.0</v>
      </c>
      <c r="P303" s="1">
        <v>1.0</v>
      </c>
      <c r="Q303" s="1" t="b">
        <v>1</v>
      </c>
      <c r="R303" s="1">
        <v>100.0</v>
      </c>
      <c r="S303" s="1" t="s">
        <v>292</v>
      </c>
      <c r="T303" s="1" t="s">
        <v>422</v>
      </c>
      <c r="U303" s="1"/>
    </row>
    <row r="304">
      <c r="A304" s="218">
        <v>45187.927628101854</v>
      </c>
      <c r="B304" s="1" t="s">
        <v>58</v>
      </c>
      <c r="C304" s="1" t="s">
        <v>113</v>
      </c>
      <c r="D304" s="1">
        <v>1.0</v>
      </c>
      <c r="E304" s="1">
        <v>2.0</v>
      </c>
      <c r="F304" s="1" t="s">
        <v>1055</v>
      </c>
      <c r="G304" s="218">
        <v>45192.5</v>
      </c>
      <c r="H304" s="1" t="s">
        <v>58</v>
      </c>
      <c r="I304" s="1" t="s">
        <v>36</v>
      </c>
      <c r="J304" s="219"/>
      <c r="K304" s="219"/>
      <c r="L304" s="219"/>
      <c r="M304" s="219"/>
      <c r="N304" s="1">
        <v>69.0</v>
      </c>
      <c r="O304" s="1">
        <v>76.0</v>
      </c>
      <c r="P304" s="1">
        <v>1.0</v>
      </c>
      <c r="Q304" s="1" t="b">
        <v>1</v>
      </c>
      <c r="R304" s="1">
        <v>100.0</v>
      </c>
      <c r="S304" s="1" t="s">
        <v>301</v>
      </c>
      <c r="T304" s="1" t="s">
        <v>422</v>
      </c>
      <c r="U304" s="1"/>
    </row>
    <row r="305">
      <c r="A305" s="218">
        <v>45187.927628101854</v>
      </c>
      <c r="B305" s="1"/>
      <c r="C305" s="1"/>
      <c r="D305" s="1"/>
      <c r="E305" s="1"/>
      <c r="F305" s="1"/>
      <c r="G305" s="218"/>
      <c r="H305" s="1"/>
      <c r="I305" s="1"/>
      <c r="J305" s="219"/>
      <c r="K305" s="219"/>
      <c r="L305" s="219"/>
      <c r="M305" s="219"/>
      <c r="N305" s="1"/>
      <c r="O305" s="1"/>
      <c r="P305" s="1"/>
      <c r="Q305" s="1"/>
      <c r="R305" s="1"/>
      <c r="S305" s="1" t="e">
        <v>#N/A</v>
      </c>
      <c r="T305" s="1" t="e">
        <v>#N/A</v>
      </c>
      <c r="U305" s="1"/>
    </row>
    <row r="306">
      <c r="A306" s="218">
        <v>45187.927628101854</v>
      </c>
      <c r="B306" s="1" t="s">
        <v>56</v>
      </c>
      <c r="C306" s="1" t="s">
        <v>129</v>
      </c>
      <c r="D306" s="1">
        <v>1.0</v>
      </c>
      <c r="E306" s="1">
        <v>3.0</v>
      </c>
      <c r="F306" s="1" t="s">
        <v>1058</v>
      </c>
      <c r="G306" s="218">
        <v>45191.9375</v>
      </c>
      <c r="H306" s="1" t="s">
        <v>69</v>
      </c>
      <c r="I306" s="1" t="s">
        <v>96</v>
      </c>
      <c r="J306" s="219"/>
      <c r="K306" s="219"/>
      <c r="L306" s="219"/>
      <c r="M306" s="219"/>
      <c r="N306" s="1">
        <v>121.0</v>
      </c>
      <c r="O306" s="1">
        <v>122.0</v>
      </c>
      <c r="P306" s="1">
        <v>1.0</v>
      </c>
      <c r="Q306" s="1" t="b">
        <v>0</v>
      </c>
      <c r="R306" s="1">
        <v>100.0</v>
      </c>
      <c r="S306" s="1" t="s">
        <v>353</v>
      </c>
      <c r="T306" s="1" t="s">
        <v>423</v>
      </c>
      <c r="U306" s="1"/>
    </row>
    <row r="307">
      <c r="A307" s="218">
        <v>45187.927628101854</v>
      </c>
      <c r="B307" s="1" t="s">
        <v>56</v>
      </c>
      <c r="C307" s="1" t="s">
        <v>120</v>
      </c>
      <c r="D307" s="1">
        <v>2.0</v>
      </c>
      <c r="E307" s="1">
        <v>1.0</v>
      </c>
      <c r="F307" s="1" t="s">
        <v>1059</v>
      </c>
      <c r="G307" s="218">
        <v>45192.5625</v>
      </c>
      <c r="H307" s="1" t="s">
        <v>61</v>
      </c>
      <c r="I307" s="1" t="s">
        <v>935</v>
      </c>
      <c r="J307" s="219"/>
      <c r="K307" s="219"/>
      <c r="L307" s="219"/>
      <c r="M307" s="219"/>
      <c r="N307" s="1">
        <v>120.0</v>
      </c>
      <c r="O307" s="1">
        <v>50.0</v>
      </c>
      <c r="P307" s="1">
        <v>1.0</v>
      </c>
      <c r="Q307" s="1" t="b">
        <v>1</v>
      </c>
      <c r="R307" s="1">
        <v>100.0</v>
      </c>
      <c r="S307" s="1" t="s">
        <v>352</v>
      </c>
      <c r="T307" s="1" t="s">
        <v>423</v>
      </c>
      <c r="U307" s="1"/>
    </row>
    <row r="308">
      <c r="A308" s="218">
        <v>45187.927628101854</v>
      </c>
      <c r="B308" s="1" t="s">
        <v>56</v>
      </c>
      <c r="C308" s="1" t="s">
        <v>133</v>
      </c>
      <c r="D308" s="1">
        <v>1.0</v>
      </c>
      <c r="E308" s="1">
        <v>2.0</v>
      </c>
      <c r="F308" s="1" t="s">
        <v>1060</v>
      </c>
      <c r="G308" s="218">
        <v>45192.64583333333</v>
      </c>
      <c r="H308" s="1" t="s">
        <v>46</v>
      </c>
      <c r="I308" s="1" t="s">
        <v>888</v>
      </c>
      <c r="J308" s="219"/>
      <c r="K308" s="219"/>
      <c r="L308" s="219"/>
      <c r="M308" s="219"/>
      <c r="N308" s="1">
        <v>66.0</v>
      </c>
      <c r="O308" s="1">
        <v>85.0</v>
      </c>
      <c r="P308" s="1">
        <v>1.0</v>
      </c>
      <c r="Q308" s="1" t="b">
        <v>0</v>
      </c>
      <c r="R308" s="1">
        <v>100.0</v>
      </c>
      <c r="S308" s="1" t="s">
        <v>407</v>
      </c>
      <c r="T308" s="1" t="s">
        <v>423</v>
      </c>
      <c r="U308" s="1"/>
    </row>
    <row r="309">
      <c r="A309" s="218">
        <v>45187.927628101854</v>
      </c>
      <c r="B309" s="1" t="s">
        <v>56</v>
      </c>
      <c r="C309" s="1" t="s">
        <v>124</v>
      </c>
      <c r="D309" s="1">
        <v>1.0</v>
      </c>
      <c r="E309" s="1">
        <v>2.0</v>
      </c>
      <c r="F309" s="1" t="s">
        <v>1061</v>
      </c>
      <c r="G309" s="218">
        <v>45192.66666666667</v>
      </c>
      <c r="H309" s="1" t="s">
        <v>61</v>
      </c>
      <c r="I309" s="1" t="s">
        <v>96</v>
      </c>
      <c r="J309" s="219"/>
      <c r="K309" s="219"/>
      <c r="L309" s="219"/>
      <c r="M309" s="219"/>
      <c r="N309" s="1">
        <v>50.0</v>
      </c>
      <c r="O309" s="1">
        <v>39.0</v>
      </c>
      <c r="P309" s="1">
        <v>1.0</v>
      </c>
      <c r="Q309" s="1" t="b">
        <v>1</v>
      </c>
      <c r="R309" s="1">
        <v>100.0</v>
      </c>
      <c r="S309" s="1" t="s">
        <v>296</v>
      </c>
      <c r="T309" s="1" t="s">
        <v>422</v>
      </c>
      <c r="U309" s="1"/>
    </row>
    <row r="310">
      <c r="A310" s="218">
        <v>45187.927628101854</v>
      </c>
      <c r="B310" s="1" t="s">
        <v>56</v>
      </c>
      <c r="C310" s="1" t="s">
        <v>126</v>
      </c>
      <c r="D310" s="1">
        <v>2.0</v>
      </c>
      <c r="E310" s="1">
        <v>1.0</v>
      </c>
      <c r="F310" s="1" t="s">
        <v>1062</v>
      </c>
      <c r="G310" s="218">
        <v>45192.79166666667</v>
      </c>
      <c r="H310" s="1" t="s">
        <v>125</v>
      </c>
      <c r="I310" s="1" t="s">
        <v>935</v>
      </c>
      <c r="J310" s="219"/>
      <c r="K310" s="219"/>
      <c r="L310" s="219"/>
      <c r="M310" s="219"/>
      <c r="N310" s="1">
        <v>132.0</v>
      </c>
      <c r="O310" s="1">
        <v>85.0</v>
      </c>
      <c r="P310" s="1">
        <v>1.0</v>
      </c>
      <c r="Q310" s="1" t="b">
        <v>1</v>
      </c>
      <c r="R310" s="1">
        <v>100.0</v>
      </c>
      <c r="S310" s="1" t="s">
        <v>355</v>
      </c>
      <c r="T310" s="1" t="s">
        <v>423</v>
      </c>
      <c r="U310" s="1"/>
    </row>
    <row r="311">
      <c r="A311" s="218">
        <v>45187.927628101854</v>
      </c>
      <c r="B311" s="1" t="s">
        <v>56</v>
      </c>
      <c r="C311" s="1" t="s">
        <v>127</v>
      </c>
      <c r="D311" s="1">
        <v>2.0</v>
      </c>
      <c r="E311" s="1">
        <v>1.0</v>
      </c>
      <c r="F311" s="1" t="s">
        <v>1063</v>
      </c>
      <c r="G311" s="218">
        <v>45192.79166666667</v>
      </c>
      <c r="H311" s="1" t="s">
        <v>69</v>
      </c>
      <c r="I311" s="1" t="s">
        <v>951</v>
      </c>
      <c r="J311" s="219"/>
      <c r="K311" s="219"/>
      <c r="L311" s="219"/>
      <c r="M311" s="219"/>
      <c r="N311" s="1">
        <v>89.0</v>
      </c>
      <c r="O311" s="1">
        <v>47.0</v>
      </c>
      <c r="P311" s="1">
        <v>1.0</v>
      </c>
      <c r="Q311" s="1" t="b">
        <v>0</v>
      </c>
      <c r="R311" s="1">
        <v>100.0</v>
      </c>
      <c r="S311" s="1" t="s">
        <v>292</v>
      </c>
      <c r="T311" s="1" t="s">
        <v>422</v>
      </c>
      <c r="U311" s="1"/>
    </row>
    <row r="312">
      <c r="A312" s="218">
        <v>45187.927628101854</v>
      </c>
      <c r="B312" s="1" t="s">
        <v>56</v>
      </c>
      <c r="C312" s="1" t="s">
        <v>128</v>
      </c>
      <c r="D312" s="1">
        <v>4.0</v>
      </c>
      <c r="E312" s="1">
        <v>0.0</v>
      </c>
      <c r="F312" s="1" t="s">
        <v>1064</v>
      </c>
      <c r="G312" s="218">
        <v>45192.8125</v>
      </c>
      <c r="H312" s="1" t="s">
        <v>57</v>
      </c>
      <c r="I312" s="1" t="s">
        <v>90</v>
      </c>
      <c r="J312" s="219"/>
      <c r="K312" s="219"/>
      <c r="L312" s="219"/>
      <c r="M312" s="219"/>
      <c r="N312" s="1">
        <v>184.0</v>
      </c>
      <c r="O312" s="1">
        <v>47.0</v>
      </c>
      <c r="P312" s="1">
        <v>1.0</v>
      </c>
      <c r="Q312" s="1" t="b">
        <v>0</v>
      </c>
      <c r="R312" s="1">
        <v>100.0</v>
      </c>
      <c r="S312" s="1" t="s">
        <v>354</v>
      </c>
      <c r="T312" s="1" t="s">
        <v>422</v>
      </c>
      <c r="U312" s="1"/>
    </row>
    <row r="313">
      <c r="A313" s="218">
        <v>45187.927628101854</v>
      </c>
      <c r="B313" s="1" t="s">
        <v>56</v>
      </c>
      <c r="C313" s="1" t="s">
        <v>135</v>
      </c>
      <c r="D313" s="1">
        <v>3.0</v>
      </c>
      <c r="E313" s="1">
        <v>0.0</v>
      </c>
      <c r="F313" s="1" t="s">
        <v>1065</v>
      </c>
      <c r="G313" s="218">
        <v>45192.8125</v>
      </c>
      <c r="H313" s="1" t="s">
        <v>61</v>
      </c>
      <c r="I313" s="1" t="s">
        <v>86</v>
      </c>
      <c r="J313" s="219"/>
      <c r="K313" s="219"/>
      <c r="L313" s="219"/>
      <c r="M313" s="219"/>
      <c r="N313" s="1">
        <v>131.0</v>
      </c>
      <c r="O313" s="1">
        <v>35.0</v>
      </c>
      <c r="P313" s="1">
        <v>1.0</v>
      </c>
      <c r="Q313" s="1" t="b">
        <v>1</v>
      </c>
      <c r="R313" s="1">
        <v>100.0</v>
      </c>
      <c r="S313" s="1" t="s">
        <v>282</v>
      </c>
      <c r="T313" s="1" t="s">
        <v>422</v>
      </c>
      <c r="U313" s="1"/>
    </row>
    <row r="314">
      <c r="A314" s="218">
        <v>45187.927628101854</v>
      </c>
      <c r="B314" s="1" t="s">
        <v>56</v>
      </c>
      <c r="C314" s="1" t="s">
        <v>130</v>
      </c>
      <c r="D314" s="1">
        <v>3.0</v>
      </c>
      <c r="E314" s="1">
        <v>0.0</v>
      </c>
      <c r="F314" s="1" t="s">
        <v>1066</v>
      </c>
      <c r="G314" s="218">
        <v>45192.5</v>
      </c>
      <c r="H314" s="1" t="s">
        <v>56</v>
      </c>
      <c r="I314" s="1" t="s">
        <v>900</v>
      </c>
      <c r="J314" s="219"/>
      <c r="K314" s="219"/>
      <c r="L314" s="219"/>
      <c r="M314" s="219"/>
      <c r="N314" s="1">
        <v>148.0</v>
      </c>
      <c r="O314" s="1">
        <v>27.0</v>
      </c>
      <c r="P314" s="1">
        <v>1.0</v>
      </c>
      <c r="Q314" s="1" t="b">
        <v>0</v>
      </c>
      <c r="R314" s="1">
        <v>100.0</v>
      </c>
      <c r="S314" s="1" t="s">
        <v>301</v>
      </c>
      <c r="T314" s="1" t="s">
        <v>422</v>
      </c>
      <c r="U314" s="1"/>
    </row>
    <row r="315">
      <c r="A315" s="218">
        <v>45187.927628101854</v>
      </c>
      <c r="B315" s="1" t="s">
        <v>56</v>
      </c>
      <c r="C315" s="1" t="s">
        <v>123</v>
      </c>
      <c r="D315" s="1">
        <v>2.0</v>
      </c>
      <c r="E315" s="1">
        <v>1.0</v>
      </c>
      <c r="F315" s="1" t="s">
        <v>1066</v>
      </c>
      <c r="G315" s="218">
        <v>45192.5</v>
      </c>
      <c r="H315" s="1" t="s">
        <v>56</v>
      </c>
      <c r="I315" s="1" t="s">
        <v>900</v>
      </c>
      <c r="J315" s="219"/>
      <c r="K315" s="219"/>
      <c r="L315" s="219"/>
      <c r="M315" s="219"/>
      <c r="N315" s="1">
        <v>107.0</v>
      </c>
      <c r="O315" s="1">
        <v>46.0</v>
      </c>
      <c r="P315" s="1">
        <v>1.0</v>
      </c>
      <c r="Q315" s="1" t="b">
        <v>1</v>
      </c>
      <c r="R315" s="1">
        <v>100.0</v>
      </c>
      <c r="S315" s="1" t="s">
        <v>351</v>
      </c>
      <c r="T315" s="1" t="s">
        <v>423</v>
      </c>
      <c r="U315" s="1"/>
    </row>
    <row r="316">
      <c r="A316" s="218">
        <v>45187.927628101854</v>
      </c>
      <c r="B316" s="1"/>
      <c r="C316" s="1"/>
      <c r="D316" s="1"/>
      <c r="E316" s="1"/>
      <c r="F316" s="1"/>
      <c r="G316" s="218"/>
      <c r="H316" s="1"/>
      <c r="I316" s="1"/>
      <c r="J316" s="219"/>
      <c r="K316" s="219"/>
      <c r="L316" s="219"/>
      <c r="M316" s="219"/>
      <c r="N316" s="1"/>
      <c r="O316" s="1"/>
      <c r="P316" s="1"/>
      <c r="Q316" s="1"/>
      <c r="R316" s="1"/>
      <c r="S316" s="1" t="e">
        <v>#N/A</v>
      </c>
      <c r="T316" s="1" t="e">
        <v>#N/A</v>
      </c>
      <c r="U316" s="1"/>
    </row>
    <row r="317">
      <c r="A317" s="218">
        <v>45187.927628101854</v>
      </c>
      <c r="B317" s="1" t="s">
        <v>60</v>
      </c>
      <c r="C317" s="1" t="s">
        <v>177</v>
      </c>
      <c r="D317" s="1">
        <v>1.0</v>
      </c>
      <c r="E317" s="1">
        <v>2.0</v>
      </c>
      <c r="F317" s="1" t="s">
        <v>1068</v>
      </c>
      <c r="G317" s="218">
        <v>45192.58333333333</v>
      </c>
      <c r="H317" s="1" t="s">
        <v>62</v>
      </c>
      <c r="I317" s="1" t="s">
        <v>935</v>
      </c>
      <c r="J317" s="219"/>
      <c r="K317" s="219"/>
      <c r="L317" s="219"/>
      <c r="M317" s="219"/>
      <c r="N317" s="1">
        <v>62.0</v>
      </c>
      <c r="O317" s="1">
        <v>96.0</v>
      </c>
      <c r="P317" s="1">
        <v>1.0</v>
      </c>
      <c r="Q317" s="1" t="b">
        <v>0</v>
      </c>
      <c r="R317" s="1">
        <v>100.0</v>
      </c>
      <c r="S317" s="1" t="s">
        <v>352</v>
      </c>
      <c r="T317" s="1" t="s">
        <v>423</v>
      </c>
      <c r="U317" s="1"/>
    </row>
    <row r="318">
      <c r="A318" s="218">
        <v>45187.927628101854</v>
      </c>
      <c r="B318" s="1" t="s">
        <v>60</v>
      </c>
      <c r="C318" s="1" t="s">
        <v>178</v>
      </c>
      <c r="D318" s="1">
        <v>2.0</v>
      </c>
      <c r="E318" s="1">
        <v>1.0</v>
      </c>
      <c r="F318" s="1" t="s">
        <v>1069</v>
      </c>
      <c r="G318" s="218">
        <v>45192.64583333333</v>
      </c>
      <c r="H318" s="1" t="s">
        <v>62</v>
      </c>
      <c r="I318" s="1" t="s">
        <v>90</v>
      </c>
      <c r="J318" s="219"/>
      <c r="K318" s="219"/>
      <c r="L318" s="219"/>
      <c r="M318" s="219"/>
      <c r="N318" s="1">
        <v>83.0</v>
      </c>
      <c r="O318" s="1">
        <v>62.0</v>
      </c>
      <c r="P318" s="1">
        <v>1.0</v>
      </c>
      <c r="Q318" s="1" t="b">
        <v>0</v>
      </c>
      <c r="R318" s="1">
        <v>100.0</v>
      </c>
      <c r="S318" s="1" t="s">
        <v>282</v>
      </c>
      <c r="T318" s="1" t="s">
        <v>422</v>
      </c>
      <c r="U318" s="1"/>
    </row>
    <row r="319">
      <c r="A319" s="218">
        <v>45187.927628101854</v>
      </c>
      <c r="B319" s="1" t="s">
        <v>60</v>
      </c>
      <c r="C319" s="1" t="s">
        <v>137</v>
      </c>
      <c r="D319" s="1">
        <v>2.0</v>
      </c>
      <c r="E319" s="1">
        <v>1.0</v>
      </c>
      <c r="F319" s="1" t="s">
        <v>1072</v>
      </c>
      <c r="G319" s="218">
        <v>45192.64583333333</v>
      </c>
      <c r="H319" s="1" t="s">
        <v>67</v>
      </c>
      <c r="I319" s="1" t="s">
        <v>86</v>
      </c>
      <c r="J319" s="219"/>
      <c r="K319" s="219"/>
      <c r="L319" s="219"/>
      <c r="M319" s="219"/>
      <c r="N319" s="1">
        <v>97.0</v>
      </c>
      <c r="O319" s="1">
        <v>44.0</v>
      </c>
      <c r="P319" s="1">
        <v>1.0</v>
      </c>
      <c r="Q319" s="1" t="b">
        <v>0</v>
      </c>
      <c r="R319" s="1">
        <v>100.0</v>
      </c>
      <c r="S319" s="1" t="s">
        <v>292</v>
      </c>
      <c r="T319" s="1" t="s">
        <v>422</v>
      </c>
      <c r="U319" s="1"/>
    </row>
    <row r="320">
      <c r="A320" s="218">
        <v>45187.927628101854</v>
      </c>
      <c r="B320" s="1" t="s">
        <v>60</v>
      </c>
      <c r="C320" s="1" t="s">
        <v>176</v>
      </c>
      <c r="D320" s="1">
        <v>1.0</v>
      </c>
      <c r="E320" s="1">
        <v>3.0</v>
      </c>
      <c r="F320" s="1" t="s">
        <v>1023</v>
      </c>
      <c r="G320" s="218">
        <v>45192.64583333333</v>
      </c>
      <c r="H320" s="1" t="s">
        <v>35</v>
      </c>
      <c r="I320" s="1" t="s">
        <v>935</v>
      </c>
      <c r="J320" s="219"/>
      <c r="K320" s="219"/>
      <c r="L320" s="219"/>
      <c r="M320" s="219"/>
      <c r="N320" s="1">
        <v>100.0</v>
      </c>
      <c r="O320" s="1">
        <v>149.0</v>
      </c>
      <c r="P320" s="1">
        <v>1.0</v>
      </c>
      <c r="Q320" s="1" t="b">
        <v>1</v>
      </c>
      <c r="R320" s="1">
        <v>100.0</v>
      </c>
      <c r="S320" s="1" t="s">
        <v>351</v>
      </c>
      <c r="T320" s="1" t="s">
        <v>423</v>
      </c>
      <c r="U320" s="1"/>
    </row>
    <row r="321">
      <c r="A321" s="218">
        <v>45187.927628101854</v>
      </c>
      <c r="B321" s="1" t="s">
        <v>60</v>
      </c>
      <c r="C321" s="1" t="s">
        <v>164</v>
      </c>
      <c r="D321" s="1">
        <v>3.0</v>
      </c>
      <c r="E321" s="1">
        <v>0.0</v>
      </c>
      <c r="F321" s="1" t="s">
        <v>1073</v>
      </c>
      <c r="G321" s="218">
        <v>45192.64583333333</v>
      </c>
      <c r="H321" s="1" t="s">
        <v>62</v>
      </c>
      <c r="I321" s="1" t="s">
        <v>900</v>
      </c>
      <c r="J321" s="219"/>
      <c r="K321" s="219"/>
      <c r="L321" s="219"/>
      <c r="M321" s="219"/>
      <c r="N321" s="1">
        <v>116.0</v>
      </c>
      <c r="O321" s="1">
        <v>48.0</v>
      </c>
      <c r="P321" s="1">
        <v>1.0</v>
      </c>
      <c r="Q321" s="1" t="b">
        <v>1</v>
      </c>
      <c r="R321" s="1">
        <v>100.0</v>
      </c>
      <c r="S321" s="1" t="s">
        <v>301</v>
      </c>
      <c r="T321" s="1" t="s">
        <v>422</v>
      </c>
      <c r="U321" s="1"/>
    </row>
    <row r="322">
      <c r="A322" s="218">
        <v>45187.927628101854</v>
      </c>
      <c r="B322" s="1" t="s">
        <v>60</v>
      </c>
      <c r="C322" s="1" t="s">
        <v>175</v>
      </c>
      <c r="D322" s="1">
        <v>2.0</v>
      </c>
      <c r="E322" s="1">
        <v>1.0</v>
      </c>
      <c r="F322" s="1" t="s">
        <v>1074</v>
      </c>
      <c r="G322" s="218">
        <v>45192.8125</v>
      </c>
      <c r="H322" s="1" t="s">
        <v>70</v>
      </c>
      <c r="I322" s="1" t="s">
        <v>935</v>
      </c>
      <c r="J322" s="219"/>
      <c r="K322" s="219"/>
      <c r="L322" s="219"/>
      <c r="M322" s="219"/>
      <c r="N322" s="1">
        <v>110.0</v>
      </c>
      <c r="O322" s="1">
        <v>72.0</v>
      </c>
      <c r="P322" s="1">
        <v>1.0</v>
      </c>
      <c r="Q322" s="1" t="b">
        <v>1</v>
      </c>
      <c r="R322" s="1">
        <v>100.0</v>
      </c>
      <c r="S322" s="1" t="s">
        <v>355</v>
      </c>
      <c r="T322" s="1" t="s">
        <v>423</v>
      </c>
      <c r="U322" s="1"/>
    </row>
    <row r="323">
      <c r="A323" s="218">
        <v>45187.927628101854</v>
      </c>
      <c r="B323" s="1" t="s">
        <v>60</v>
      </c>
      <c r="C323" s="1" t="s">
        <v>174</v>
      </c>
      <c r="D323" s="1">
        <v>1.0</v>
      </c>
      <c r="E323" s="1">
        <v>2.0</v>
      </c>
      <c r="F323" s="1" t="s">
        <v>1075</v>
      </c>
      <c r="G323" s="218">
        <v>45192.9375</v>
      </c>
      <c r="H323" s="1" t="s">
        <v>57</v>
      </c>
      <c r="I323" s="1" t="s">
        <v>92</v>
      </c>
      <c r="J323" s="219"/>
      <c r="K323" s="219"/>
      <c r="L323" s="219"/>
      <c r="M323" s="219"/>
      <c r="N323" s="1">
        <v>39.0</v>
      </c>
      <c r="O323" s="1">
        <v>77.0</v>
      </c>
      <c r="P323" s="1">
        <v>1.0</v>
      </c>
      <c r="Q323" s="1" t="b">
        <v>1</v>
      </c>
      <c r="R323" s="1">
        <v>100.0</v>
      </c>
      <c r="S323" s="1" t="s">
        <v>354</v>
      </c>
      <c r="T323" s="1" t="s">
        <v>422</v>
      </c>
      <c r="U323" s="1"/>
    </row>
    <row r="324">
      <c r="A324" s="218">
        <v>45187.927628101854</v>
      </c>
      <c r="B324" s="1" t="s">
        <v>60</v>
      </c>
      <c r="C324" s="1" t="s">
        <v>173</v>
      </c>
      <c r="D324" s="1">
        <v>1.0</v>
      </c>
      <c r="E324" s="1">
        <v>3.0</v>
      </c>
      <c r="F324" s="1" t="s">
        <v>1076</v>
      </c>
      <c r="G324" s="218">
        <v>45192.99930555555</v>
      </c>
      <c r="H324" s="1" t="s">
        <v>57</v>
      </c>
      <c r="I324" s="1" t="s">
        <v>1077</v>
      </c>
      <c r="J324" s="219"/>
      <c r="K324" s="219"/>
      <c r="L324" s="219"/>
      <c r="M324" s="219"/>
      <c r="N324" s="1">
        <v>93.0</v>
      </c>
      <c r="O324" s="1">
        <v>147.0</v>
      </c>
      <c r="P324" s="1">
        <v>1.0</v>
      </c>
      <c r="Q324" s="1" t="b">
        <v>0</v>
      </c>
      <c r="R324" s="1">
        <v>100.0</v>
      </c>
      <c r="S324" s="1" t="s">
        <v>353</v>
      </c>
      <c r="T324" s="1" t="s">
        <v>423</v>
      </c>
      <c r="U324" s="1"/>
    </row>
    <row r="325">
      <c r="A325" s="218">
        <v>45187.927628101854</v>
      </c>
      <c r="B325" s="1" t="s">
        <v>60</v>
      </c>
      <c r="C325" s="1" t="s">
        <v>139</v>
      </c>
      <c r="D325" s="1">
        <v>2.0</v>
      </c>
      <c r="E325" s="1">
        <v>1.0</v>
      </c>
      <c r="F325" s="1" t="s">
        <v>1078</v>
      </c>
      <c r="G325" s="218">
        <v>45192.5</v>
      </c>
      <c r="H325" s="1" t="s">
        <v>67</v>
      </c>
      <c r="I325" s="1" t="s">
        <v>96</v>
      </c>
      <c r="J325" s="219"/>
      <c r="K325" s="219"/>
      <c r="L325" s="219"/>
      <c r="M325" s="219"/>
      <c r="N325" s="1">
        <v>118.0</v>
      </c>
      <c r="O325" s="1">
        <v>42.0</v>
      </c>
      <c r="P325" s="1">
        <v>1.0</v>
      </c>
      <c r="Q325" s="1" t="b">
        <v>1</v>
      </c>
      <c r="R325" s="1">
        <v>100.0</v>
      </c>
      <c r="S325" s="1" t="s">
        <v>407</v>
      </c>
      <c r="T325" s="1" t="s">
        <v>423</v>
      </c>
      <c r="U325" s="1"/>
    </row>
    <row r="326">
      <c r="A326" s="218">
        <v>45187.927628101854</v>
      </c>
      <c r="B326" s="1" t="s">
        <v>60</v>
      </c>
      <c r="C326" s="1" t="s">
        <v>179</v>
      </c>
      <c r="D326" s="1">
        <v>3.0</v>
      </c>
      <c r="E326" s="1">
        <v>0.0</v>
      </c>
      <c r="F326" s="1" t="s">
        <v>1079</v>
      </c>
      <c r="G326" s="218">
        <v>45192.5</v>
      </c>
      <c r="H326" s="1" t="s">
        <v>62</v>
      </c>
      <c r="I326" s="1" t="s">
        <v>92</v>
      </c>
      <c r="J326" s="219"/>
      <c r="K326" s="219"/>
      <c r="L326" s="219"/>
      <c r="M326" s="219"/>
      <c r="N326" s="1">
        <v>167.0</v>
      </c>
      <c r="O326" s="1">
        <v>28.0</v>
      </c>
      <c r="P326" s="1">
        <v>1.0</v>
      </c>
      <c r="Q326" s="1" t="b">
        <v>0</v>
      </c>
      <c r="R326" s="1">
        <v>100.0</v>
      </c>
      <c r="S326" s="1" t="s">
        <v>296</v>
      </c>
      <c r="T326" s="1" t="s">
        <v>422</v>
      </c>
      <c r="U326" s="1"/>
    </row>
    <row r="327">
      <c r="A327" s="218">
        <v>45187.927628101854</v>
      </c>
      <c r="B327" s="1"/>
      <c r="C327" s="1"/>
      <c r="D327" s="1"/>
      <c r="E327" s="1"/>
      <c r="F327" s="1"/>
      <c r="G327" s="218"/>
      <c r="H327" s="1"/>
      <c r="I327" s="1"/>
      <c r="J327" s="219"/>
      <c r="K327" s="219"/>
      <c r="L327" s="219"/>
      <c r="M327" s="219"/>
      <c r="N327" s="1"/>
      <c r="O327" s="1"/>
      <c r="P327" s="1"/>
      <c r="Q327" s="1"/>
      <c r="R327" s="1"/>
      <c r="S327" s="1" t="e">
        <v>#N/A</v>
      </c>
      <c r="T327" s="1" t="e">
        <v>#N/A</v>
      </c>
      <c r="U327" s="1"/>
    </row>
    <row r="328">
      <c r="A328" s="218">
        <v>45187.927628101854</v>
      </c>
      <c r="B328" s="1" t="s">
        <v>46</v>
      </c>
      <c r="C328" s="1" t="s">
        <v>188</v>
      </c>
      <c r="D328" s="1">
        <v>1.0</v>
      </c>
      <c r="E328" s="1">
        <v>2.0</v>
      </c>
      <c r="F328" s="1" t="s">
        <v>1080</v>
      </c>
      <c r="G328" s="218">
        <v>45192.64583333333</v>
      </c>
      <c r="H328" s="1"/>
      <c r="I328" s="1" t="s">
        <v>935</v>
      </c>
      <c r="J328" s="219"/>
      <c r="K328" s="219"/>
      <c r="L328" s="219"/>
      <c r="M328" s="219"/>
      <c r="N328" s="1">
        <v>104.0</v>
      </c>
      <c r="O328" s="1">
        <v>76.0</v>
      </c>
      <c r="P328" s="1">
        <v>1.0</v>
      </c>
      <c r="Q328" s="1" t="b">
        <v>0</v>
      </c>
      <c r="R328" s="1">
        <v>100.0</v>
      </c>
      <c r="S328" s="1" t="s">
        <v>296</v>
      </c>
      <c r="T328" s="1" t="s">
        <v>422</v>
      </c>
      <c r="U328" s="1"/>
    </row>
    <row r="329">
      <c r="A329" s="218">
        <v>45187.927628101854</v>
      </c>
      <c r="B329" s="1" t="s">
        <v>46</v>
      </c>
      <c r="C329" s="1" t="s">
        <v>187</v>
      </c>
      <c r="D329" s="1">
        <v>3.0</v>
      </c>
      <c r="E329" s="1">
        <v>0.0</v>
      </c>
      <c r="F329" s="1" t="s">
        <v>1081</v>
      </c>
      <c r="G329" s="218">
        <v>45192.64583333333</v>
      </c>
      <c r="H329" s="1" t="s">
        <v>59</v>
      </c>
      <c r="I329" s="1" t="s">
        <v>99</v>
      </c>
      <c r="J329" s="219"/>
      <c r="K329" s="219"/>
      <c r="L329" s="219"/>
      <c r="M329" s="219"/>
      <c r="N329" s="1">
        <v>108.0</v>
      </c>
      <c r="O329" s="1">
        <v>28.0</v>
      </c>
      <c r="P329" s="1">
        <v>1.0</v>
      </c>
      <c r="Q329" s="1" t="b">
        <v>0</v>
      </c>
      <c r="R329" s="1">
        <v>100.0</v>
      </c>
      <c r="S329" s="1" t="s">
        <v>301</v>
      </c>
      <c r="T329" s="1" t="s">
        <v>422</v>
      </c>
      <c r="U329" s="1"/>
    </row>
    <row r="330">
      <c r="A330" s="218">
        <v>45187.927628101854</v>
      </c>
      <c r="B330" s="1" t="s">
        <v>46</v>
      </c>
      <c r="C330" s="1" t="s">
        <v>186</v>
      </c>
      <c r="D330" s="1">
        <v>1.0</v>
      </c>
      <c r="E330" s="1">
        <v>2.0</v>
      </c>
      <c r="F330" s="1" t="s">
        <v>1060</v>
      </c>
      <c r="G330" s="218">
        <v>45192.64583333333</v>
      </c>
      <c r="H330" s="1" t="s">
        <v>56</v>
      </c>
      <c r="I330" s="1" t="s">
        <v>888</v>
      </c>
      <c r="J330" s="219"/>
      <c r="K330" s="219"/>
      <c r="L330" s="219"/>
      <c r="M330" s="219"/>
      <c r="N330" s="1">
        <v>66.0</v>
      </c>
      <c r="O330" s="1">
        <v>92.0</v>
      </c>
      <c r="P330" s="1">
        <v>1.0</v>
      </c>
      <c r="Q330" s="1" t="b">
        <v>1</v>
      </c>
      <c r="R330" s="1">
        <v>100.0</v>
      </c>
      <c r="S330" s="1" t="s">
        <v>282</v>
      </c>
      <c r="T330" s="1" t="s">
        <v>422</v>
      </c>
      <c r="U330" s="1"/>
    </row>
    <row r="331">
      <c r="A331" s="218">
        <v>45187.927628101854</v>
      </c>
      <c r="B331" s="1" t="s">
        <v>46</v>
      </c>
      <c r="C331" s="1" t="s">
        <v>183</v>
      </c>
      <c r="D331" s="1">
        <v>2.0</v>
      </c>
      <c r="E331" s="1">
        <v>1.0</v>
      </c>
      <c r="F331" s="1" t="s">
        <v>1030</v>
      </c>
      <c r="G331" s="218">
        <v>45192.79166666667</v>
      </c>
      <c r="H331" s="1" t="s">
        <v>35</v>
      </c>
      <c r="I331" s="1" t="s">
        <v>99</v>
      </c>
      <c r="J331" s="219"/>
      <c r="K331" s="219"/>
      <c r="L331" s="219"/>
      <c r="M331" s="219"/>
      <c r="N331" s="1">
        <v>76.0</v>
      </c>
      <c r="O331" s="1">
        <v>81.0</v>
      </c>
      <c r="P331" s="1">
        <v>1.0</v>
      </c>
      <c r="Q331" s="1" t="b">
        <v>0</v>
      </c>
      <c r="R331" s="1">
        <v>100.0</v>
      </c>
      <c r="S331" s="1" t="s">
        <v>353</v>
      </c>
      <c r="T331" s="1" t="s">
        <v>423</v>
      </c>
      <c r="U331" s="1"/>
    </row>
    <row r="332">
      <c r="A332" s="218">
        <v>45187.927628101854</v>
      </c>
      <c r="B332" s="1" t="s">
        <v>46</v>
      </c>
      <c r="C332" s="1" t="s">
        <v>182</v>
      </c>
      <c r="D332" s="1">
        <v>2.0</v>
      </c>
      <c r="E332" s="1">
        <v>1.0</v>
      </c>
      <c r="F332" s="1" t="s">
        <v>1082</v>
      </c>
      <c r="G332" s="218">
        <v>45192.79166666667</v>
      </c>
      <c r="H332" s="1"/>
      <c r="I332" s="1" t="s">
        <v>935</v>
      </c>
      <c r="J332" s="219"/>
      <c r="K332" s="219"/>
      <c r="L332" s="219"/>
      <c r="M332" s="219"/>
      <c r="N332" s="1">
        <v>78.0</v>
      </c>
      <c r="O332" s="1">
        <v>57.0</v>
      </c>
      <c r="P332" s="1">
        <v>1.0</v>
      </c>
      <c r="Q332" s="1" t="b">
        <v>0</v>
      </c>
      <c r="R332" s="1">
        <v>100.0</v>
      </c>
      <c r="S332" s="1" t="s">
        <v>407</v>
      </c>
      <c r="T332" s="1" t="s">
        <v>423</v>
      </c>
      <c r="U332" s="1"/>
    </row>
    <row r="333">
      <c r="A333" s="218">
        <v>45187.927628101854</v>
      </c>
      <c r="B333" s="1" t="s">
        <v>46</v>
      </c>
      <c r="C333" s="1" t="s">
        <v>189</v>
      </c>
      <c r="D333" s="1">
        <v>1.0</v>
      </c>
      <c r="E333" s="1">
        <v>2.0</v>
      </c>
      <c r="F333" s="1" t="s">
        <v>1083</v>
      </c>
      <c r="G333" s="218">
        <v>45192.8125</v>
      </c>
      <c r="H333" s="1" t="s">
        <v>70</v>
      </c>
      <c r="I333" s="1" t="s">
        <v>888</v>
      </c>
      <c r="J333" s="219">
        <v>24.5</v>
      </c>
      <c r="K333" s="219">
        <v>25.5</v>
      </c>
      <c r="L333" s="219">
        <v>1280.0</v>
      </c>
      <c r="M333" s="219" t="s">
        <v>854</v>
      </c>
      <c r="N333" s="1">
        <v>48.0</v>
      </c>
      <c r="O333" s="1">
        <v>80.0</v>
      </c>
      <c r="P333" s="1">
        <v>1.0</v>
      </c>
      <c r="Q333" s="1" t="b">
        <v>0</v>
      </c>
      <c r="R333" s="1">
        <v>100.0</v>
      </c>
      <c r="S333" s="1" t="s">
        <v>352</v>
      </c>
      <c r="T333" s="1" t="s">
        <v>423</v>
      </c>
      <c r="U333" s="1"/>
    </row>
    <row r="334">
      <c r="A334" s="218">
        <v>45187.927628101854</v>
      </c>
      <c r="B334" s="1" t="s">
        <v>46</v>
      </c>
      <c r="C334" s="1" t="s">
        <v>184</v>
      </c>
      <c r="D334" s="1">
        <v>1.0</v>
      </c>
      <c r="E334" s="1">
        <v>2.0</v>
      </c>
      <c r="F334" s="1" t="s">
        <v>1084</v>
      </c>
      <c r="G334" s="218">
        <v>45192.8125</v>
      </c>
      <c r="H334" s="1" t="s">
        <v>62</v>
      </c>
      <c r="I334" s="1" t="s">
        <v>945</v>
      </c>
      <c r="J334" s="219"/>
      <c r="K334" s="219"/>
      <c r="L334" s="219"/>
      <c r="M334" s="219"/>
      <c r="N334" s="1">
        <v>78.0</v>
      </c>
      <c r="O334" s="1">
        <v>76.0</v>
      </c>
      <c r="P334" s="1">
        <v>1.0</v>
      </c>
      <c r="Q334" s="1" t="b">
        <v>1</v>
      </c>
      <c r="R334" s="1">
        <v>100.0</v>
      </c>
      <c r="S334" s="1" t="s">
        <v>292</v>
      </c>
      <c r="T334" s="1" t="s">
        <v>422</v>
      </c>
      <c r="U334" s="1"/>
    </row>
    <row r="335">
      <c r="A335" s="218">
        <v>45187.927628101854</v>
      </c>
      <c r="B335" s="1" t="s">
        <v>46</v>
      </c>
      <c r="C335" s="1" t="s">
        <v>180</v>
      </c>
      <c r="D335" s="1">
        <v>3.0</v>
      </c>
      <c r="E335" s="1">
        <v>0.0</v>
      </c>
      <c r="F335" s="1" t="s">
        <v>1085</v>
      </c>
      <c r="G335" s="218">
        <v>45192.9375</v>
      </c>
      <c r="H335" s="1" t="s">
        <v>69</v>
      </c>
      <c r="I335" s="1" t="s">
        <v>76</v>
      </c>
      <c r="J335" s="219"/>
      <c r="K335" s="219"/>
      <c r="L335" s="219"/>
      <c r="M335" s="219"/>
      <c r="N335" s="1">
        <v>140.0</v>
      </c>
      <c r="O335" s="1">
        <v>36.0</v>
      </c>
      <c r="P335" s="1">
        <v>1.0</v>
      </c>
      <c r="Q335" s="1" t="b">
        <v>1</v>
      </c>
      <c r="R335" s="1">
        <v>100.0</v>
      </c>
      <c r="S335" s="1" t="s">
        <v>354</v>
      </c>
      <c r="T335" s="1" t="s">
        <v>422</v>
      </c>
      <c r="U335" s="1"/>
    </row>
    <row r="336">
      <c r="A336" s="218">
        <v>45187.927628101854</v>
      </c>
      <c r="B336" s="1" t="s">
        <v>46</v>
      </c>
      <c r="C336" s="1" t="s">
        <v>181</v>
      </c>
      <c r="D336" s="1">
        <v>1.0</v>
      </c>
      <c r="E336" s="1">
        <v>2.0</v>
      </c>
      <c r="F336" s="1" t="s">
        <v>1086</v>
      </c>
      <c r="G336" s="218">
        <v>45192.5</v>
      </c>
      <c r="H336" s="1" t="s">
        <v>62</v>
      </c>
      <c r="I336" s="1" t="s">
        <v>40</v>
      </c>
      <c r="J336" s="219"/>
      <c r="K336" s="219"/>
      <c r="L336" s="219"/>
      <c r="M336" s="219"/>
      <c r="N336" s="1">
        <v>75.0</v>
      </c>
      <c r="O336" s="1">
        <v>88.0</v>
      </c>
      <c r="P336" s="1">
        <v>1.0</v>
      </c>
      <c r="Q336" s="1" t="b">
        <v>1</v>
      </c>
      <c r="R336" s="1">
        <v>100.0</v>
      </c>
      <c r="S336" s="1" t="s">
        <v>355</v>
      </c>
      <c r="T336" s="1" t="s">
        <v>423</v>
      </c>
      <c r="U336" s="1"/>
    </row>
    <row r="337">
      <c r="A337" s="218">
        <v>45187.927628101854</v>
      </c>
      <c r="B337" s="1" t="s">
        <v>46</v>
      </c>
      <c r="C337" s="1" t="s">
        <v>185</v>
      </c>
      <c r="D337" s="1">
        <v>3.0</v>
      </c>
      <c r="E337" s="1">
        <v>0.0</v>
      </c>
      <c r="F337" s="1" t="s">
        <v>1087</v>
      </c>
      <c r="G337" s="218">
        <v>45192.5</v>
      </c>
      <c r="H337" s="1" t="s">
        <v>59</v>
      </c>
      <c r="I337" s="1" t="s">
        <v>888</v>
      </c>
      <c r="J337" s="219"/>
      <c r="K337" s="219"/>
      <c r="L337" s="219"/>
      <c r="M337" s="219"/>
      <c r="N337" s="1">
        <v>95.0</v>
      </c>
      <c r="O337" s="1">
        <v>30.0</v>
      </c>
      <c r="P337" s="1">
        <v>1.0</v>
      </c>
      <c r="Q337" s="1" t="b">
        <v>1</v>
      </c>
      <c r="R337" s="1">
        <v>100.0</v>
      </c>
      <c r="S337" s="1" t="s">
        <v>351</v>
      </c>
      <c r="T337" s="1" t="s">
        <v>423</v>
      </c>
      <c r="U337" s="1"/>
    </row>
    <row r="338">
      <c r="A338" s="218">
        <v>45187.927628101854</v>
      </c>
      <c r="B338" s="1"/>
      <c r="C338" s="1"/>
      <c r="D338" s="1"/>
      <c r="E338" s="1"/>
      <c r="F338" s="1"/>
      <c r="G338" s="218"/>
      <c r="H338" s="1"/>
      <c r="I338" s="1"/>
      <c r="J338" s="219"/>
      <c r="K338" s="219"/>
      <c r="L338" s="219"/>
      <c r="M338" s="219"/>
      <c r="N338" s="1"/>
      <c r="O338" s="1"/>
      <c r="P338" s="1"/>
      <c r="Q338" s="1"/>
      <c r="R338" s="1"/>
      <c r="S338" s="1" t="e">
        <v>#N/A</v>
      </c>
      <c r="T338" s="1" t="e">
        <v>#N/A</v>
      </c>
      <c r="U338" s="1"/>
    </row>
    <row r="339">
      <c r="A339" s="218">
        <v>45187.927628101854</v>
      </c>
      <c r="B339" s="1" t="s">
        <v>70</v>
      </c>
      <c r="C339" s="1" t="s">
        <v>190</v>
      </c>
      <c r="D339" s="1">
        <v>2.0</v>
      </c>
      <c r="E339" s="1">
        <v>2.0</v>
      </c>
      <c r="F339" s="1" t="s">
        <v>1088</v>
      </c>
      <c r="G339" s="218">
        <v>45191.9375</v>
      </c>
      <c r="H339" s="1" t="s">
        <v>59</v>
      </c>
      <c r="I339" s="1" t="s">
        <v>99</v>
      </c>
      <c r="J339" s="219"/>
      <c r="K339" s="219"/>
      <c r="L339" s="219"/>
      <c r="M339" s="219"/>
      <c r="N339" s="1">
        <v>75.0</v>
      </c>
      <c r="O339" s="1">
        <v>102.0</v>
      </c>
      <c r="P339" s="1">
        <v>1.0</v>
      </c>
      <c r="Q339" s="1" t="b">
        <v>1</v>
      </c>
      <c r="R339" s="1">
        <v>100.0</v>
      </c>
      <c r="S339" s="1" t="s">
        <v>353</v>
      </c>
      <c r="T339" s="1" t="s">
        <v>423</v>
      </c>
      <c r="U339" s="1"/>
    </row>
    <row r="340">
      <c r="A340" s="218">
        <v>45187.927628101854</v>
      </c>
      <c r="B340" s="1" t="s">
        <v>70</v>
      </c>
      <c r="C340" s="1" t="s">
        <v>192</v>
      </c>
      <c r="D340" s="1">
        <v>3.0</v>
      </c>
      <c r="E340" s="1">
        <v>0.0</v>
      </c>
      <c r="F340" s="1" t="s">
        <v>1045</v>
      </c>
      <c r="G340" s="218">
        <v>45192.64583333333</v>
      </c>
      <c r="H340" s="1" t="s">
        <v>58</v>
      </c>
      <c r="I340" s="1" t="s">
        <v>76</v>
      </c>
      <c r="J340" s="219"/>
      <c r="K340" s="219"/>
      <c r="L340" s="219"/>
      <c r="M340" s="219"/>
      <c r="N340" s="1">
        <v>113.0</v>
      </c>
      <c r="O340" s="1">
        <v>64.0</v>
      </c>
      <c r="P340" s="1">
        <v>1.0</v>
      </c>
      <c r="Q340" s="1" t="b">
        <v>0</v>
      </c>
      <c r="R340" s="1">
        <v>100.0</v>
      </c>
      <c r="S340" s="1" t="s">
        <v>296</v>
      </c>
      <c r="T340" s="1" t="s">
        <v>422</v>
      </c>
      <c r="U340" s="1"/>
    </row>
    <row r="341">
      <c r="A341" s="218">
        <v>45187.927628101854</v>
      </c>
      <c r="B341" s="1" t="s">
        <v>70</v>
      </c>
      <c r="C341" s="1" t="s">
        <v>198</v>
      </c>
      <c r="D341" s="1">
        <v>1.0</v>
      </c>
      <c r="E341" s="1">
        <v>2.0</v>
      </c>
      <c r="F341" s="1" t="s">
        <v>1089</v>
      </c>
      <c r="G341" s="218">
        <v>45192.66666666667</v>
      </c>
      <c r="H341" s="1" t="s">
        <v>61</v>
      </c>
      <c r="I341" s="1" t="s">
        <v>945</v>
      </c>
      <c r="J341" s="219"/>
      <c r="K341" s="219"/>
      <c r="L341" s="219"/>
      <c r="M341" s="219"/>
      <c r="N341" s="1">
        <v>63.0</v>
      </c>
      <c r="O341" s="1">
        <v>67.0</v>
      </c>
      <c r="P341" s="1">
        <v>1.0</v>
      </c>
      <c r="Q341" s="1" t="b">
        <v>1</v>
      </c>
      <c r="R341" s="1">
        <v>100.0</v>
      </c>
      <c r="S341" s="1" t="s">
        <v>407</v>
      </c>
      <c r="T341" s="1" t="s">
        <v>423</v>
      </c>
      <c r="U341" s="1"/>
    </row>
    <row r="342">
      <c r="A342" s="218">
        <v>45187.927628101854</v>
      </c>
      <c r="B342" s="1" t="s">
        <v>70</v>
      </c>
      <c r="C342" s="1" t="s">
        <v>193</v>
      </c>
      <c r="D342" s="1">
        <v>1.0</v>
      </c>
      <c r="E342" s="1">
        <v>2.0</v>
      </c>
      <c r="F342" s="1" t="s">
        <v>1090</v>
      </c>
      <c r="G342" s="218">
        <v>45192.79166666667</v>
      </c>
      <c r="H342" s="1" t="s">
        <v>67</v>
      </c>
      <c r="I342" s="1" t="s">
        <v>287</v>
      </c>
      <c r="J342" s="219"/>
      <c r="K342" s="219"/>
      <c r="L342" s="219"/>
      <c r="M342" s="219"/>
      <c r="N342" s="1">
        <v>70.0</v>
      </c>
      <c r="O342" s="1">
        <v>110.0</v>
      </c>
      <c r="P342" s="1">
        <v>1.0</v>
      </c>
      <c r="Q342" s="1" t="b">
        <v>1</v>
      </c>
      <c r="R342" s="1">
        <v>100.0</v>
      </c>
      <c r="S342" s="1" t="s">
        <v>354</v>
      </c>
      <c r="T342" s="1" t="s">
        <v>422</v>
      </c>
      <c r="U342" s="1"/>
    </row>
    <row r="343">
      <c r="A343" s="218">
        <v>45187.927628101854</v>
      </c>
      <c r="B343" s="1" t="s">
        <v>70</v>
      </c>
      <c r="C343" s="1" t="s">
        <v>197</v>
      </c>
      <c r="D343" s="1">
        <v>1.0</v>
      </c>
      <c r="E343" s="1">
        <v>2.0</v>
      </c>
      <c r="F343" s="1" t="s">
        <v>1091</v>
      </c>
      <c r="G343" s="218">
        <v>45192.79166666667</v>
      </c>
      <c r="H343" s="1" t="s">
        <v>69</v>
      </c>
      <c r="I343" s="1" t="s">
        <v>935</v>
      </c>
      <c r="J343" s="219"/>
      <c r="K343" s="219"/>
      <c r="L343" s="219"/>
      <c r="M343" s="219"/>
      <c r="N343" s="1">
        <v>56.0</v>
      </c>
      <c r="O343" s="1">
        <v>101.0</v>
      </c>
      <c r="P343" s="1">
        <v>1.0</v>
      </c>
      <c r="Q343" s="1" t="b">
        <v>0</v>
      </c>
      <c r="R343" s="1">
        <v>100.0</v>
      </c>
      <c r="S343" s="1" t="s">
        <v>355</v>
      </c>
      <c r="T343" s="1" t="s">
        <v>423</v>
      </c>
      <c r="U343" s="1"/>
    </row>
    <row r="344">
      <c r="A344" s="218">
        <v>45187.927628101854</v>
      </c>
      <c r="B344" s="1" t="s">
        <v>70</v>
      </c>
      <c r="C344" s="1" t="s">
        <v>199</v>
      </c>
      <c r="D344" s="1">
        <v>0.0</v>
      </c>
      <c r="E344" s="1">
        <v>3.0</v>
      </c>
      <c r="F344" s="1" t="s">
        <v>1074</v>
      </c>
      <c r="G344" s="218">
        <v>45192.8125</v>
      </c>
      <c r="H344" s="1" t="s">
        <v>60</v>
      </c>
      <c r="I344" s="1" t="s">
        <v>935</v>
      </c>
      <c r="J344" s="219"/>
      <c r="K344" s="219"/>
      <c r="L344" s="219"/>
      <c r="M344" s="219"/>
      <c r="N344" s="1">
        <v>81.0</v>
      </c>
      <c r="O344" s="1">
        <v>133.0</v>
      </c>
      <c r="P344" s="1">
        <v>1.0</v>
      </c>
      <c r="Q344" s="1" t="b">
        <v>0</v>
      </c>
      <c r="R344" s="1">
        <v>100.0</v>
      </c>
      <c r="S344" s="1" t="s">
        <v>352</v>
      </c>
      <c r="T344" s="1" t="s">
        <v>423</v>
      </c>
      <c r="U344" s="1"/>
    </row>
    <row r="345">
      <c r="A345" s="218">
        <v>45187.927628101854</v>
      </c>
      <c r="B345" s="1" t="s">
        <v>70</v>
      </c>
      <c r="C345" s="1" t="s">
        <v>195</v>
      </c>
      <c r="D345" s="1">
        <v>1.0</v>
      </c>
      <c r="E345" s="1">
        <v>2.0</v>
      </c>
      <c r="F345" s="1" t="s">
        <v>1083</v>
      </c>
      <c r="G345" s="218">
        <v>45192.8125</v>
      </c>
      <c r="H345" s="1" t="s">
        <v>46</v>
      </c>
      <c r="I345" s="1" t="s">
        <v>888</v>
      </c>
      <c r="J345" s="219"/>
      <c r="K345" s="219"/>
      <c r="L345" s="219"/>
      <c r="M345" s="219"/>
      <c r="N345" s="1">
        <v>58.0</v>
      </c>
      <c r="O345" s="1">
        <v>51.0</v>
      </c>
      <c r="P345" s="1">
        <v>1.0</v>
      </c>
      <c r="Q345" s="1" t="b">
        <v>1</v>
      </c>
      <c r="R345" s="1">
        <v>100.0</v>
      </c>
      <c r="S345" s="1" t="s">
        <v>282</v>
      </c>
      <c r="T345" s="1" t="s">
        <v>422</v>
      </c>
      <c r="U345" s="1"/>
    </row>
    <row r="346">
      <c r="A346" s="218">
        <v>45187.927628101854</v>
      </c>
      <c r="B346" s="1" t="s">
        <v>70</v>
      </c>
      <c r="C346" s="1" t="s">
        <v>194</v>
      </c>
      <c r="D346" s="1">
        <v>1.0</v>
      </c>
      <c r="E346" s="1">
        <v>3.0</v>
      </c>
      <c r="F346" s="1" t="s">
        <v>1092</v>
      </c>
      <c r="G346" s="218">
        <v>45192.875</v>
      </c>
      <c r="H346" s="1" t="s">
        <v>57</v>
      </c>
      <c r="I346" s="1" t="s">
        <v>935</v>
      </c>
      <c r="J346" s="219"/>
      <c r="K346" s="219"/>
      <c r="L346" s="219"/>
      <c r="M346" s="219"/>
      <c r="N346" s="1">
        <v>59.0</v>
      </c>
      <c r="O346" s="1">
        <v>100.0</v>
      </c>
      <c r="P346" s="1">
        <v>1.0</v>
      </c>
      <c r="Q346" s="1" t="b">
        <v>1</v>
      </c>
      <c r="R346" s="1">
        <v>100.0</v>
      </c>
      <c r="S346" s="1" t="s">
        <v>351</v>
      </c>
      <c r="T346" s="1" t="s">
        <v>423</v>
      </c>
      <c r="U346" s="1"/>
    </row>
    <row r="347">
      <c r="A347" s="218">
        <v>45187.927628101854</v>
      </c>
      <c r="B347" s="1" t="s">
        <v>70</v>
      </c>
      <c r="C347" s="1" t="s">
        <v>191</v>
      </c>
      <c r="D347" s="1">
        <v>2.0</v>
      </c>
      <c r="E347" s="1">
        <v>1.0</v>
      </c>
      <c r="F347" s="1" t="s">
        <v>1093</v>
      </c>
      <c r="G347" s="218">
        <v>45192.5</v>
      </c>
      <c r="H347" s="1" t="s">
        <v>125</v>
      </c>
      <c r="I347" s="1" t="s">
        <v>82</v>
      </c>
      <c r="J347" s="219"/>
      <c r="K347" s="219"/>
      <c r="L347" s="219"/>
      <c r="M347" s="219"/>
      <c r="N347" s="1">
        <v>121.0</v>
      </c>
      <c r="O347" s="1">
        <v>59.0</v>
      </c>
      <c r="P347" s="1">
        <v>1.0</v>
      </c>
      <c r="Q347" s="1" t="b">
        <v>0</v>
      </c>
      <c r="R347" s="1">
        <v>100.0</v>
      </c>
      <c r="S347" s="1" t="s">
        <v>301</v>
      </c>
      <c r="T347" s="1" t="s">
        <v>422</v>
      </c>
      <c r="U347" s="1"/>
    </row>
    <row r="348">
      <c r="A348" s="218">
        <v>45187.927628101854</v>
      </c>
      <c r="B348" s="1" t="s">
        <v>70</v>
      </c>
      <c r="C348" s="1" t="s">
        <v>196</v>
      </c>
      <c r="D348" s="1">
        <v>3.0</v>
      </c>
      <c r="E348" s="1">
        <v>0.0</v>
      </c>
      <c r="F348" s="1" t="s">
        <v>1094</v>
      </c>
      <c r="G348" s="218">
        <v>45192.5</v>
      </c>
      <c r="H348" s="1"/>
      <c r="I348" s="1" t="s">
        <v>945</v>
      </c>
      <c r="J348" s="219"/>
      <c r="K348" s="219"/>
      <c r="L348" s="219"/>
      <c r="M348" s="219"/>
      <c r="N348" s="1">
        <v>107.0</v>
      </c>
      <c r="O348" s="1">
        <v>34.0</v>
      </c>
      <c r="P348" s="1">
        <v>1.0</v>
      </c>
      <c r="Q348" s="1" t="b">
        <v>1</v>
      </c>
      <c r="R348" s="1">
        <v>100.0</v>
      </c>
      <c r="S348" s="1" t="s">
        <v>292</v>
      </c>
      <c r="T348" s="1" t="s">
        <v>422</v>
      </c>
      <c r="U348" s="1"/>
    </row>
    <row r="349">
      <c r="A349" s="218">
        <v>45187.927628101854</v>
      </c>
      <c r="B349" s="1"/>
      <c r="C349" s="1"/>
      <c r="D349" s="1"/>
      <c r="E349" s="1"/>
      <c r="F349" s="1"/>
      <c r="G349" s="218"/>
      <c r="H349" s="1"/>
      <c r="I349" s="1"/>
      <c r="J349" s="219"/>
      <c r="K349" s="219"/>
      <c r="L349" s="219"/>
      <c r="M349" s="219"/>
      <c r="N349" s="1"/>
      <c r="O349" s="1"/>
      <c r="P349" s="1"/>
      <c r="Q349" s="1"/>
      <c r="R349" s="1"/>
      <c r="S349" s="1" t="e">
        <v>#N/A</v>
      </c>
      <c r="T349" s="1" t="e">
        <v>#N/A</v>
      </c>
      <c r="U349" s="1"/>
    </row>
    <row r="350">
      <c r="A350" s="218">
        <v>45187.927628101854</v>
      </c>
      <c r="B350" s="1" t="s">
        <v>57</v>
      </c>
      <c r="C350" s="1" t="s">
        <v>206</v>
      </c>
      <c r="D350" s="1">
        <v>2.0</v>
      </c>
      <c r="E350" s="1">
        <v>1.0</v>
      </c>
      <c r="F350" s="1" t="s">
        <v>1095</v>
      </c>
      <c r="G350" s="218">
        <v>45190.8125</v>
      </c>
      <c r="H350" s="1" t="s">
        <v>59</v>
      </c>
      <c r="I350" s="1" t="s">
        <v>76</v>
      </c>
      <c r="J350" s="219"/>
      <c r="K350" s="219"/>
      <c r="L350" s="219"/>
      <c r="M350" s="219"/>
      <c r="N350" s="1">
        <v>109.0</v>
      </c>
      <c r="O350" s="1">
        <v>50.0</v>
      </c>
      <c r="P350" s="1">
        <v>1.0</v>
      </c>
      <c r="Q350" s="1" t="b">
        <v>0</v>
      </c>
      <c r="R350" s="1">
        <v>100.0</v>
      </c>
      <c r="S350" s="1" t="s">
        <v>355</v>
      </c>
      <c r="T350" s="1" t="s">
        <v>423</v>
      </c>
      <c r="U350" s="1"/>
    </row>
    <row r="351">
      <c r="A351" s="218">
        <v>45187.927628101854</v>
      </c>
      <c r="B351" s="1" t="s">
        <v>57</v>
      </c>
      <c r="C351" s="1" t="s">
        <v>214</v>
      </c>
      <c r="D351" s="1">
        <v>3.0</v>
      </c>
      <c r="E351" s="1">
        <v>1.0</v>
      </c>
      <c r="F351" s="1" t="s">
        <v>1096</v>
      </c>
      <c r="G351" s="218">
        <v>45192.64583333333</v>
      </c>
      <c r="H351" s="1" t="s">
        <v>67</v>
      </c>
      <c r="I351" s="1" t="s">
        <v>935</v>
      </c>
      <c r="J351" s="219"/>
      <c r="K351" s="219"/>
      <c r="L351" s="219"/>
      <c r="M351" s="219"/>
      <c r="N351" s="1">
        <v>67.0</v>
      </c>
      <c r="O351" s="1">
        <v>47.0</v>
      </c>
      <c r="P351" s="1">
        <v>1.0</v>
      </c>
      <c r="Q351" s="1" t="b">
        <v>1</v>
      </c>
      <c r="R351" s="1">
        <v>100.0</v>
      </c>
      <c r="S351" s="1" t="s">
        <v>352</v>
      </c>
      <c r="T351" s="1" t="s">
        <v>423</v>
      </c>
      <c r="U351" s="1"/>
    </row>
    <row r="352">
      <c r="A352" s="218">
        <v>45187.927628101854</v>
      </c>
      <c r="B352" s="1" t="s">
        <v>57</v>
      </c>
      <c r="C352" s="1" t="s">
        <v>208</v>
      </c>
      <c r="D352" s="1">
        <v>3.0</v>
      </c>
      <c r="E352" s="1">
        <v>0.0</v>
      </c>
      <c r="F352" s="1" t="s">
        <v>1097</v>
      </c>
      <c r="G352" s="218">
        <v>45192.77083333333</v>
      </c>
      <c r="H352" s="1" t="s">
        <v>59</v>
      </c>
      <c r="I352" s="1" t="s">
        <v>1019</v>
      </c>
      <c r="J352" s="219"/>
      <c r="K352" s="219"/>
      <c r="L352" s="219"/>
      <c r="M352" s="219"/>
      <c r="N352" s="1">
        <v>100.0</v>
      </c>
      <c r="O352" s="1">
        <v>61.0</v>
      </c>
      <c r="P352" s="1">
        <v>1.0</v>
      </c>
      <c r="Q352" s="1" t="b">
        <v>1</v>
      </c>
      <c r="R352" s="1">
        <v>100.0</v>
      </c>
      <c r="S352" s="1" t="s">
        <v>301</v>
      </c>
      <c r="T352" s="1" t="s">
        <v>422</v>
      </c>
      <c r="U352" s="1"/>
    </row>
    <row r="353">
      <c r="A353" s="218">
        <v>45187.927628101854</v>
      </c>
      <c r="B353" s="1" t="s">
        <v>57</v>
      </c>
      <c r="C353" s="1" t="s">
        <v>213</v>
      </c>
      <c r="D353" s="1">
        <v>2.0</v>
      </c>
      <c r="E353" s="1">
        <v>1.0</v>
      </c>
      <c r="F353" s="1" t="s">
        <v>1098</v>
      </c>
      <c r="G353" s="218">
        <v>45192.79166666667</v>
      </c>
      <c r="H353" s="1" t="s">
        <v>69</v>
      </c>
      <c r="I353" s="1" t="s">
        <v>76</v>
      </c>
      <c r="J353" s="219"/>
      <c r="K353" s="219"/>
      <c r="L353" s="219"/>
      <c r="M353" s="219"/>
      <c r="N353" s="1">
        <v>115.0</v>
      </c>
      <c r="O353" s="1">
        <v>57.0</v>
      </c>
      <c r="P353" s="1">
        <v>1.0</v>
      </c>
      <c r="Q353" s="1" t="b">
        <v>0</v>
      </c>
      <c r="R353" s="1">
        <v>100.0</v>
      </c>
      <c r="S353" s="1" t="s">
        <v>292</v>
      </c>
      <c r="T353" s="1" t="s">
        <v>422</v>
      </c>
      <c r="U353" s="1"/>
    </row>
    <row r="354">
      <c r="A354" s="218">
        <v>45187.927628101854</v>
      </c>
      <c r="B354" s="1" t="s">
        <v>57</v>
      </c>
      <c r="C354" s="1" t="s">
        <v>210</v>
      </c>
      <c r="D354" s="1">
        <v>1.0</v>
      </c>
      <c r="E354" s="1">
        <v>2.0</v>
      </c>
      <c r="F354" s="1" t="s">
        <v>1028</v>
      </c>
      <c r="G354" s="218">
        <v>45192.79166666667</v>
      </c>
      <c r="H354" s="1" t="s">
        <v>35</v>
      </c>
      <c r="I354" s="1" t="s">
        <v>935</v>
      </c>
      <c r="J354" s="219"/>
      <c r="K354" s="219"/>
      <c r="L354" s="219"/>
      <c r="M354" s="219"/>
      <c r="N354" s="1">
        <v>71.0</v>
      </c>
      <c r="O354" s="1">
        <v>93.0</v>
      </c>
      <c r="P354" s="1">
        <v>1.0</v>
      </c>
      <c r="Q354" s="1" t="b">
        <v>1</v>
      </c>
      <c r="R354" s="1">
        <v>100.0</v>
      </c>
      <c r="S354" s="1" t="s">
        <v>296</v>
      </c>
      <c r="T354" s="1" t="s">
        <v>422</v>
      </c>
      <c r="U354" s="1"/>
    </row>
    <row r="355">
      <c r="A355" s="218">
        <v>45187.927628101854</v>
      </c>
      <c r="B355" s="1" t="s">
        <v>57</v>
      </c>
      <c r="C355" s="1" t="s">
        <v>200</v>
      </c>
      <c r="D355" s="1">
        <v>3.0</v>
      </c>
      <c r="E355" s="1">
        <v>0.0</v>
      </c>
      <c r="F355" s="1" t="s">
        <v>1064</v>
      </c>
      <c r="G355" s="218">
        <v>45192.8125</v>
      </c>
      <c r="H355" s="1" t="s">
        <v>56</v>
      </c>
      <c r="I355" s="1" t="s">
        <v>90</v>
      </c>
      <c r="J355" s="219"/>
      <c r="K355" s="219"/>
      <c r="L355" s="219"/>
      <c r="M355" s="219"/>
      <c r="N355" s="1">
        <v>121.0</v>
      </c>
      <c r="O355" s="1">
        <v>20.0</v>
      </c>
      <c r="P355" s="1">
        <v>1.0</v>
      </c>
      <c r="Q355" s="1" t="b">
        <v>1</v>
      </c>
      <c r="R355" s="1">
        <v>100.0</v>
      </c>
      <c r="S355" s="1" t="s">
        <v>282</v>
      </c>
      <c r="T355" s="1" t="s">
        <v>422</v>
      </c>
      <c r="U355" s="1"/>
    </row>
    <row r="356">
      <c r="A356" s="218">
        <v>45187.927628101854</v>
      </c>
      <c r="B356" s="1" t="s">
        <v>57</v>
      </c>
      <c r="C356" s="1" t="s">
        <v>202</v>
      </c>
      <c r="D356" s="1">
        <v>2.0</v>
      </c>
      <c r="E356" s="1">
        <v>1.0</v>
      </c>
      <c r="F356" s="1" t="s">
        <v>1092</v>
      </c>
      <c r="G356" s="218">
        <v>45192.875</v>
      </c>
      <c r="H356" s="1" t="s">
        <v>70</v>
      </c>
      <c r="I356" s="1" t="s">
        <v>935</v>
      </c>
      <c r="J356" s="219"/>
      <c r="K356" s="219"/>
      <c r="L356" s="219"/>
      <c r="M356" s="219"/>
      <c r="N356" s="1">
        <v>91.0</v>
      </c>
      <c r="O356" s="1">
        <v>86.0</v>
      </c>
      <c r="P356" s="1">
        <v>1.0</v>
      </c>
      <c r="Q356" s="1" t="b">
        <v>0</v>
      </c>
      <c r="R356" s="1">
        <v>100.0</v>
      </c>
      <c r="S356" s="1" t="s">
        <v>353</v>
      </c>
      <c r="T356" s="1" t="s">
        <v>423</v>
      </c>
      <c r="U356" s="1"/>
    </row>
    <row r="357">
      <c r="A357" s="218">
        <v>45187.927628101854</v>
      </c>
      <c r="B357" s="1" t="s">
        <v>57</v>
      </c>
      <c r="C357" s="1" t="s">
        <v>204</v>
      </c>
      <c r="D357" s="1">
        <v>3.0</v>
      </c>
      <c r="E357" s="1">
        <v>0.0</v>
      </c>
      <c r="F357" s="1" t="s">
        <v>1075</v>
      </c>
      <c r="G357" s="218">
        <v>45192.9375</v>
      </c>
      <c r="H357" s="1" t="s">
        <v>60</v>
      </c>
      <c r="I357" s="1" t="s">
        <v>92</v>
      </c>
      <c r="J357" s="219"/>
      <c r="K357" s="219"/>
      <c r="L357" s="219"/>
      <c r="M357" s="219"/>
      <c r="N357" s="1">
        <v>178.0</v>
      </c>
      <c r="O357" s="1">
        <v>52.0</v>
      </c>
      <c r="P357" s="1">
        <v>1.0</v>
      </c>
      <c r="Q357" s="1" t="b">
        <v>0</v>
      </c>
      <c r="R357" s="1">
        <v>100.0</v>
      </c>
      <c r="S357" s="1" t="s">
        <v>354</v>
      </c>
      <c r="T357" s="1" t="s">
        <v>422</v>
      </c>
      <c r="U357" s="1"/>
    </row>
    <row r="358">
      <c r="A358" s="218">
        <v>45187.927628101854</v>
      </c>
      <c r="B358" s="1" t="s">
        <v>57</v>
      </c>
      <c r="C358" s="1" t="s">
        <v>201</v>
      </c>
      <c r="D358" s="1">
        <v>2.0</v>
      </c>
      <c r="E358" s="1">
        <v>2.0</v>
      </c>
      <c r="F358" s="1" t="s">
        <v>1076</v>
      </c>
      <c r="G358" s="218">
        <v>45192.99930555555</v>
      </c>
      <c r="H358" s="1" t="s">
        <v>60</v>
      </c>
      <c r="I358" s="1" t="s">
        <v>1077</v>
      </c>
      <c r="J358" s="219"/>
      <c r="K358" s="219"/>
      <c r="L358" s="219"/>
      <c r="M358" s="219"/>
      <c r="N358" s="1">
        <v>132.0</v>
      </c>
      <c r="O358" s="1">
        <v>112.0</v>
      </c>
      <c r="P358" s="1">
        <v>1.0</v>
      </c>
      <c r="Q358" s="1" t="b">
        <v>1</v>
      </c>
      <c r="R358" s="1">
        <v>100.0</v>
      </c>
      <c r="S358" s="1" t="s">
        <v>351</v>
      </c>
      <c r="T358" s="1" t="s">
        <v>423</v>
      </c>
      <c r="U358" s="1"/>
    </row>
    <row r="359">
      <c r="A359" s="218">
        <v>45187.927628101854</v>
      </c>
      <c r="B359" s="1" t="s">
        <v>57</v>
      </c>
      <c r="C359" s="1" t="s">
        <v>207</v>
      </c>
      <c r="D359" s="1">
        <v>1.0</v>
      </c>
      <c r="E359" s="1">
        <v>2.0</v>
      </c>
      <c r="F359" s="1" t="s">
        <v>1056</v>
      </c>
      <c r="G359" s="218">
        <v>45192.5</v>
      </c>
      <c r="H359" s="1" t="s">
        <v>58</v>
      </c>
      <c r="I359" s="1" t="s">
        <v>99</v>
      </c>
      <c r="J359" s="219"/>
      <c r="K359" s="219"/>
      <c r="L359" s="219"/>
      <c r="M359" s="219"/>
      <c r="N359" s="1">
        <v>69.0</v>
      </c>
      <c r="O359" s="1">
        <v>116.0</v>
      </c>
      <c r="P359" s="1">
        <v>1.0</v>
      </c>
      <c r="Q359" s="1" t="b">
        <v>1</v>
      </c>
      <c r="R359" s="1">
        <v>100.0</v>
      </c>
      <c r="S359" s="1" t="s">
        <v>407</v>
      </c>
      <c r="T359" s="1" t="s">
        <v>423</v>
      </c>
      <c r="U359" s="1"/>
    </row>
    <row r="360">
      <c r="A360" s="218">
        <v>45187.927628101854</v>
      </c>
      <c r="B360" s="1"/>
      <c r="C360" s="1"/>
      <c r="D360" s="1"/>
      <c r="E360" s="1"/>
      <c r="F360" s="1"/>
      <c r="G360" s="218"/>
      <c r="H360" s="1"/>
      <c r="I360" s="1"/>
      <c r="J360" s="219"/>
      <c r="K360" s="219"/>
      <c r="L360" s="219"/>
      <c r="M360" s="219"/>
      <c r="N360" s="1"/>
      <c r="O360" s="1"/>
      <c r="P360" s="1"/>
      <c r="Q360" s="1"/>
      <c r="R360" s="1"/>
      <c r="S360" s="1" t="e">
        <v>#N/A</v>
      </c>
      <c r="T360" s="1" t="e">
        <v>#N/A</v>
      </c>
      <c r="U360" s="1"/>
    </row>
    <row r="361">
      <c r="A361" s="218">
        <v>45187.927628101854</v>
      </c>
      <c r="B361" s="1" t="s">
        <v>67</v>
      </c>
      <c r="C361" s="1" t="s">
        <v>222</v>
      </c>
      <c r="D361" s="1">
        <v>1.0</v>
      </c>
      <c r="E361" s="1">
        <v>2.0</v>
      </c>
      <c r="F361" s="1" t="s">
        <v>1099</v>
      </c>
      <c r="G361" s="218">
        <v>45191.79166666667</v>
      </c>
      <c r="H361" s="1" t="s">
        <v>69</v>
      </c>
      <c r="I361" s="1" t="s">
        <v>96</v>
      </c>
      <c r="J361" s="219"/>
      <c r="K361" s="219"/>
      <c r="L361" s="219"/>
      <c r="M361" s="219"/>
      <c r="N361" s="1">
        <v>79.0</v>
      </c>
      <c r="O361" s="1">
        <v>91.0</v>
      </c>
      <c r="P361" s="1">
        <v>1.0</v>
      </c>
      <c r="Q361" s="1" t="b">
        <v>1</v>
      </c>
      <c r="R361" s="1">
        <v>100.0</v>
      </c>
      <c r="S361" s="1" t="s">
        <v>282</v>
      </c>
      <c r="T361" s="1" t="s">
        <v>422</v>
      </c>
      <c r="U361" s="1"/>
    </row>
    <row r="362">
      <c r="A362" s="218">
        <v>45187.927628101854</v>
      </c>
      <c r="B362" s="1" t="s">
        <v>67</v>
      </c>
      <c r="C362" s="1" t="s">
        <v>225</v>
      </c>
      <c r="D362" s="1">
        <v>3.0</v>
      </c>
      <c r="E362" s="1">
        <v>0.0</v>
      </c>
      <c r="F362" s="1" t="s">
        <v>1072</v>
      </c>
      <c r="G362" s="218">
        <v>45192.64583333333</v>
      </c>
      <c r="H362" s="1" t="s">
        <v>60</v>
      </c>
      <c r="I362" s="1" t="s">
        <v>86</v>
      </c>
      <c r="J362" s="219"/>
      <c r="K362" s="219"/>
      <c r="L362" s="219"/>
      <c r="M362" s="219"/>
      <c r="N362" s="1">
        <v>158.0</v>
      </c>
      <c r="O362" s="1">
        <v>50.0</v>
      </c>
      <c r="P362" s="1">
        <v>1.0</v>
      </c>
      <c r="Q362" s="1" t="b">
        <v>1</v>
      </c>
      <c r="R362" s="1">
        <v>100.0</v>
      </c>
      <c r="S362" s="1" t="s">
        <v>292</v>
      </c>
      <c r="T362" s="1" t="s">
        <v>422</v>
      </c>
      <c r="U362" s="1"/>
    </row>
    <row r="363">
      <c r="A363" s="218">
        <v>45187.927628101854</v>
      </c>
      <c r="B363" s="1" t="s">
        <v>67</v>
      </c>
      <c r="C363" s="1" t="s">
        <v>226</v>
      </c>
      <c r="D363" s="1">
        <v>1.0</v>
      </c>
      <c r="E363" s="1">
        <v>2.0</v>
      </c>
      <c r="F363" s="1" t="s">
        <v>1096</v>
      </c>
      <c r="G363" s="218">
        <v>45192.64583333333</v>
      </c>
      <c r="H363" s="1" t="s">
        <v>57</v>
      </c>
      <c r="I363" s="1" t="s">
        <v>935</v>
      </c>
      <c r="J363" s="219"/>
      <c r="K363" s="219"/>
      <c r="L363" s="219"/>
      <c r="M363" s="219"/>
      <c r="N363" s="1">
        <v>68.0</v>
      </c>
      <c r="O363" s="1">
        <v>80.0</v>
      </c>
      <c r="P363" s="1">
        <v>1.0</v>
      </c>
      <c r="Q363" s="1" t="b">
        <v>0</v>
      </c>
      <c r="R363" s="1">
        <v>100.0</v>
      </c>
      <c r="S363" s="1" t="s">
        <v>352</v>
      </c>
      <c r="T363" s="1" t="s">
        <v>423</v>
      </c>
      <c r="U363" s="1"/>
    </row>
    <row r="364">
      <c r="A364" s="218">
        <v>45187.927628101854</v>
      </c>
      <c r="B364" s="1" t="s">
        <v>67</v>
      </c>
      <c r="C364" s="1" t="s">
        <v>205</v>
      </c>
      <c r="D364" s="1">
        <v>2.0</v>
      </c>
      <c r="E364" s="1">
        <v>1.0</v>
      </c>
      <c r="F364" s="1" t="s">
        <v>1100</v>
      </c>
      <c r="G364" s="218">
        <v>45192.70833333333</v>
      </c>
      <c r="H364" s="1" t="s">
        <v>125</v>
      </c>
      <c r="I364" s="1" t="s">
        <v>935</v>
      </c>
      <c r="J364" s="219"/>
      <c r="K364" s="219"/>
      <c r="L364" s="219"/>
      <c r="M364" s="219"/>
      <c r="N364" s="1">
        <v>85.0</v>
      </c>
      <c r="O364" s="1">
        <v>61.0</v>
      </c>
      <c r="P364" s="1">
        <v>1.0</v>
      </c>
      <c r="Q364" s="1" t="b">
        <v>1</v>
      </c>
      <c r="R364" s="1">
        <v>100.0</v>
      </c>
      <c r="S364" s="1" t="s">
        <v>355</v>
      </c>
      <c r="T364" s="1" t="s">
        <v>423</v>
      </c>
      <c r="U364" s="1"/>
    </row>
    <row r="365">
      <c r="A365" s="218">
        <v>45187.927628101854</v>
      </c>
      <c r="B365" s="1" t="s">
        <v>67</v>
      </c>
      <c r="C365" s="1" t="s">
        <v>220</v>
      </c>
      <c r="D365" s="1">
        <v>3.0</v>
      </c>
      <c r="E365" s="1">
        <v>1.0</v>
      </c>
      <c r="F365" s="1" t="s">
        <v>1051</v>
      </c>
      <c r="G365" s="218">
        <v>45192.77083333333</v>
      </c>
      <c r="H365" s="1" t="s">
        <v>58</v>
      </c>
      <c r="I365" s="1"/>
      <c r="J365" s="219"/>
      <c r="K365" s="219"/>
      <c r="L365" s="219"/>
      <c r="M365" s="219"/>
      <c r="N365" s="1">
        <v>101.0</v>
      </c>
      <c r="O365" s="1">
        <v>90.0</v>
      </c>
      <c r="P365" s="1">
        <v>1.0</v>
      </c>
      <c r="Q365" s="1" t="b">
        <v>0</v>
      </c>
      <c r="R365" s="1">
        <v>100.0</v>
      </c>
      <c r="S365" s="1" t="s">
        <v>351</v>
      </c>
      <c r="T365" s="1" t="s">
        <v>423</v>
      </c>
      <c r="U365" s="1"/>
    </row>
    <row r="366">
      <c r="A366" s="218">
        <v>45187.927628101854</v>
      </c>
      <c r="B366" s="1" t="s">
        <v>67</v>
      </c>
      <c r="C366" s="1" t="s">
        <v>217</v>
      </c>
      <c r="D366" s="1">
        <v>2.0</v>
      </c>
      <c r="E366" s="1">
        <v>1.0</v>
      </c>
      <c r="F366" s="1" t="s">
        <v>1090</v>
      </c>
      <c r="G366" s="218">
        <v>45192.79166666667</v>
      </c>
      <c r="H366" s="1" t="s">
        <v>70</v>
      </c>
      <c r="I366" s="1" t="s">
        <v>287</v>
      </c>
      <c r="J366" s="219">
        <v>-16.5</v>
      </c>
      <c r="K366" s="219">
        <v>-18.5</v>
      </c>
      <c r="L366" s="219">
        <v>550.0</v>
      </c>
      <c r="M366" s="219" t="s">
        <v>235</v>
      </c>
      <c r="N366" s="1">
        <v>93.0</v>
      </c>
      <c r="O366" s="1">
        <v>44.0</v>
      </c>
      <c r="P366" s="1">
        <v>1.0</v>
      </c>
      <c r="Q366" s="1" t="b">
        <v>0</v>
      </c>
      <c r="R366" s="1">
        <v>100.0</v>
      </c>
      <c r="S366" s="1" t="s">
        <v>354</v>
      </c>
      <c r="T366" s="1" t="s">
        <v>422</v>
      </c>
      <c r="U366" s="1"/>
    </row>
    <row r="367">
      <c r="A367" s="218">
        <v>45187.927628101854</v>
      </c>
      <c r="B367" s="1" t="s">
        <v>67</v>
      </c>
      <c r="C367" s="1" t="s">
        <v>216</v>
      </c>
      <c r="D367" s="1">
        <v>3.0</v>
      </c>
      <c r="E367" s="1">
        <v>0.0</v>
      </c>
      <c r="F367" s="1" t="s">
        <v>1101</v>
      </c>
      <c r="G367" s="218">
        <v>45192.83333333333</v>
      </c>
      <c r="H367" s="1" t="s">
        <v>69</v>
      </c>
      <c r="I367" s="1" t="s">
        <v>900</v>
      </c>
      <c r="J367" s="219"/>
      <c r="K367" s="219"/>
      <c r="L367" s="219"/>
      <c r="M367" s="219"/>
      <c r="N367" s="1">
        <v>102.0</v>
      </c>
      <c r="O367" s="1">
        <v>64.0</v>
      </c>
      <c r="P367" s="1">
        <v>1.0</v>
      </c>
      <c r="Q367" s="1" t="b">
        <v>1</v>
      </c>
      <c r="R367" s="1">
        <v>100.0</v>
      </c>
      <c r="S367" s="1" t="s">
        <v>301</v>
      </c>
      <c r="T367" s="1" t="s">
        <v>422</v>
      </c>
      <c r="U367" s="1"/>
    </row>
    <row r="368">
      <c r="A368" s="218">
        <v>45187.927628101854</v>
      </c>
      <c r="B368" s="1" t="s">
        <v>67</v>
      </c>
      <c r="C368" s="1" t="s">
        <v>223</v>
      </c>
      <c r="D368" s="1">
        <v>2.0</v>
      </c>
      <c r="E368" s="1">
        <v>1.0</v>
      </c>
      <c r="F368" s="1" t="s">
        <v>1078</v>
      </c>
      <c r="G368" s="218">
        <v>45192.5</v>
      </c>
      <c r="H368" s="1" t="s">
        <v>60</v>
      </c>
      <c r="I368" s="1" t="s">
        <v>96</v>
      </c>
      <c r="J368" s="219"/>
      <c r="K368" s="219"/>
      <c r="L368" s="219"/>
      <c r="M368" s="219"/>
      <c r="N368" s="1">
        <v>119.0</v>
      </c>
      <c r="O368" s="1">
        <v>64.0</v>
      </c>
      <c r="P368" s="1">
        <v>1.0</v>
      </c>
      <c r="Q368" s="1" t="b">
        <v>0</v>
      </c>
      <c r="R368" s="1">
        <v>100.0</v>
      </c>
      <c r="S368" s="1" t="s">
        <v>296</v>
      </c>
      <c r="T368" s="1" t="s">
        <v>422</v>
      </c>
      <c r="U368" s="1"/>
    </row>
    <row r="369">
      <c r="A369" s="218">
        <v>45187.927628101854</v>
      </c>
      <c r="B369" s="1" t="s">
        <v>67</v>
      </c>
      <c r="C369" s="1" t="s">
        <v>221</v>
      </c>
      <c r="D369" s="1">
        <v>1.0</v>
      </c>
      <c r="E369" s="1">
        <v>2.0</v>
      </c>
      <c r="F369" s="1"/>
      <c r="G369" s="218"/>
      <c r="H369" s="1"/>
      <c r="I369" s="1"/>
      <c r="J369" s="219"/>
      <c r="K369" s="219"/>
      <c r="L369" s="219"/>
      <c r="M369" s="219"/>
      <c r="N369" s="1">
        <v>100.0</v>
      </c>
      <c r="O369" s="1">
        <v>141.0</v>
      </c>
      <c r="P369" s="1">
        <v>3.0</v>
      </c>
      <c r="Q369" s="1" t="b">
        <v>1</v>
      </c>
      <c r="R369" s="1">
        <v>100.0</v>
      </c>
      <c r="S369" s="1" t="s">
        <v>407</v>
      </c>
      <c r="T369" s="1" t="s">
        <v>423</v>
      </c>
      <c r="U369" s="1"/>
    </row>
    <row r="370">
      <c r="A370" s="218">
        <v>45187.927628101854</v>
      </c>
      <c r="B370" s="1" t="s">
        <v>67</v>
      </c>
      <c r="C370" s="1" t="s">
        <v>218</v>
      </c>
      <c r="D370" s="1">
        <v>2.0</v>
      </c>
      <c r="E370" s="1">
        <v>1.0</v>
      </c>
      <c r="F370" s="1"/>
      <c r="G370" s="218"/>
      <c r="H370" s="1"/>
      <c r="I370" s="1"/>
      <c r="J370" s="219"/>
      <c r="K370" s="219"/>
      <c r="L370" s="219"/>
      <c r="M370" s="219"/>
      <c r="N370" s="1">
        <v>44.0</v>
      </c>
      <c r="O370" s="1">
        <v>74.0</v>
      </c>
      <c r="P370" s="1">
        <v>3.0</v>
      </c>
      <c r="Q370" s="1" t="b">
        <v>1</v>
      </c>
      <c r="R370" s="1">
        <v>100.0</v>
      </c>
      <c r="S370" s="1" t="s">
        <v>353</v>
      </c>
      <c r="T370" s="1" t="s">
        <v>423</v>
      </c>
      <c r="U370" s="1"/>
    </row>
    <row r="371">
      <c r="A371" s="218">
        <v>45187.927628101854</v>
      </c>
      <c r="B371" s="1"/>
      <c r="C371" s="1"/>
      <c r="D371" s="1"/>
      <c r="E371" s="1"/>
      <c r="F371" s="1"/>
      <c r="G371" s="218"/>
      <c r="H371" s="1"/>
      <c r="I371" s="1"/>
      <c r="J371" s="219"/>
      <c r="K371" s="219"/>
      <c r="L371" s="219"/>
      <c r="M371" s="219"/>
      <c r="N371" s="1"/>
      <c r="O371" s="1"/>
      <c r="P371" s="1"/>
      <c r="Q371" s="1"/>
      <c r="R371" s="1"/>
      <c r="S371" s="1" t="e">
        <v>#N/A</v>
      </c>
      <c r="T371" s="1" t="e">
        <v>#N/A</v>
      </c>
      <c r="U371" s="1"/>
    </row>
    <row r="372">
      <c r="A372" s="218">
        <v>45187.927628101854</v>
      </c>
      <c r="B372" s="1" t="s">
        <v>59</v>
      </c>
      <c r="C372" s="1" t="s">
        <v>232</v>
      </c>
      <c r="D372" s="1">
        <v>3.0</v>
      </c>
      <c r="E372" s="1">
        <v>0.0</v>
      </c>
      <c r="F372" s="1" t="s">
        <v>1095</v>
      </c>
      <c r="G372" s="218">
        <v>45190.8125</v>
      </c>
      <c r="H372" s="1" t="s">
        <v>57</v>
      </c>
      <c r="I372" s="1" t="s">
        <v>76</v>
      </c>
      <c r="J372" s="219"/>
      <c r="K372" s="219"/>
      <c r="L372" s="219"/>
      <c r="M372" s="219"/>
      <c r="N372" s="1">
        <v>118.0</v>
      </c>
      <c r="O372" s="1">
        <v>74.0</v>
      </c>
      <c r="P372" s="1">
        <v>1.0</v>
      </c>
      <c r="Q372" s="1" t="b">
        <v>1</v>
      </c>
      <c r="R372" s="1">
        <v>100.0</v>
      </c>
      <c r="S372" s="1" t="s">
        <v>355</v>
      </c>
      <c r="T372" s="1" t="s">
        <v>423</v>
      </c>
      <c r="U372" s="1"/>
    </row>
    <row r="373">
      <c r="A373" s="218">
        <v>45187.927628101854</v>
      </c>
      <c r="B373" s="1" t="s">
        <v>59</v>
      </c>
      <c r="C373" s="1" t="s">
        <v>227</v>
      </c>
      <c r="D373" s="1">
        <v>1.0</v>
      </c>
      <c r="E373" s="1">
        <v>2.0</v>
      </c>
      <c r="F373" s="1" t="s">
        <v>1088</v>
      </c>
      <c r="G373" s="218">
        <v>45191.9375</v>
      </c>
      <c r="H373" s="1" t="s">
        <v>70</v>
      </c>
      <c r="I373" s="1" t="s">
        <v>99</v>
      </c>
      <c r="J373" s="219"/>
      <c r="K373" s="219"/>
      <c r="L373" s="219"/>
      <c r="M373" s="219"/>
      <c r="N373" s="1">
        <v>77.0</v>
      </c>
      <c r="O373" s="1">
        <v>92.0</v>
      </c>
      <c r="P373" s="1">
        <v>1.0</v>
      </c>
      <c r="Q373" s="1" t="b">
        <v>0</v>
      </c>
      <c r="R373" s="1">
        <v>100.0</v>
      </c>
      <c r="S373" s="1" t="s">
        <v>353</v>
      </c>
      <c r="T373" s="1" t="s">
        <v>423</v>
      </c>
      <c r="U373" s="1"/>
    </row>
    <row r="374">
      <c r="A374" s="218">
        <v>45187.927628101854</v>
      </c>
      <c r="B374" s="1" t="s">
        <v>59</v>
      </c>
      <c r="C374" s="1" t="s">
        <v>236</v>
      </c>
      <c r="D374" s="1">
        <v>0.0</v>
      </c>
      <c r="E374" s="1">
        <v>3.0</v>
      </c>
      <c r="F374" s="1" t="s">
        <v>1081</v>
      </c>
      <c r="G374" s="218">
        <v>45192.64583333333</v>
      </c>
      <c r="H374" s="1" t="s">
        <v>46</v>
      </c>
      <c r="I374" s="1" t="s">
        <v>99</v>
      </c>
      <c r="J374" s="219"/>
      <c r="K374" s="219"/>
      <c r="L374" s="219"/>
      <c r="M374" s="219"/>
      <c r="N374" s="1">
        <v>45.0</v>
      </c>
      <c r="O374" s="1">
        <v>83.0</v>
      </c>
      <c r="P374" s="1">
        <v>1.0</v>
      </c>
      <c r="Q374" s="1" t="b">
        <v>1</v>
      </c>
      <c r="R374" s="1">
        <v>100.0</v>
      </c>
      <c r="S374" s="1" t="s">
        <v>351</v>
      </c>
      <c r="T374" s="1" t="s">
        <v>423</v>
      </c>
      <c r="U374" s="1"/>
    </row>
    <row r="375">
      <c r="A375" s="218">
        <v>45187.927628101854</v>
      </c>
      <c r="B375" s="1" t="s">
        <v>59</v>
      </c>
      <c r="C375" s="1" t="s">
        <v>231</v>
      </c>
      <c r="D375" s="1">
        <v>3.0</v>
      </c>
      <c r="E375" s="1">
        <v>0.0</v>
      </c>
      <c r="F375" s="1" t="s">
        <v>1047</v>
      </c>
      <c r="G375" s="218">
        <v>45192.64583333333</v>
      </c>
      <c r="H375" s="1" t="s">
        <v>58</v>
      </c>
      <c r="I375" s="1" t="s">
        <v>92</v>
      </c>
      <c r="J375" s="219"/>
      <c r="K375" s="219"/>
      <c r="L375" s="219"/>
      <c r="M375" s="219"/>
      <c r="N375" s="1">
        <v>75.0</v>
      </c>
      <c r="O375" s="1">
        <v>31.0</v>
      </c>
      <c r="P375" s="1">
        <v>1.0</v>
      </c>
      <c r="Q375" s="1" t="b">
        <v>0</v>
      </c>
      <c r="R375" s="1">
        <v>100.0</v>
      </c>
      <c r="S375" s="1" t="s">
        <v>354</v>
      </c>
      <c r="T375" s="1" t="s">
        <v>422</v>
      </c>
      <c r="U375" s="1"/>
    </row>
    <row r="376">
      <c r="A376" s="218">
        <v>45187.927628101854</v>
      </c>
      <c r="B376" s="1" t="s">
        <v>59</v>
      </c>
      <c r="C376" s="1" t="s">
        <v>238</v>
      </c>
      <c r="D376" s="1">
        <v>2.0</v>
      </c>
      <c r="E376" s="1">
        <v>1.0</v>
      </c>
      <c r="F376" s="1" t="s">
        <v>1102</v>
      </c>
      <c r="G376" s="218">
        <v>45192.70833333333</v>
      </c>
      <c r="H376" s="1" t="s">
        <v>125</v>
      </c>
      <c r="I376" s="1" t="s">
        <v>935</v>
      </c>
      <c r="J376" s="219"/>
      <c r="K376" s="219"/>
      <c r="L376" s="219"/>
      <c r="M376" s="219"/>
      <c r="N376" s="1">
        <v>58.0</v>
      </c>
      <c r="O376" s="1">
        <v>65.0</v>
      </c>
      <c r="P376" s="1">
        <v>1.0</v>
      </c>
      <c r="Q376" s="1" t="b">
        <v>0</v>
      </c>
      <c r="R376" s="1">
        <v>100.0</v>
      </c>
      <c r="S376" s="1" t="s">
        <v>352</v>
      </c>
      <c r="T376" s="1" t="s">
        <v>423</v>
      </c>
      <c r="U376" s="1"/>
    </row>
    <row r="377">
      <c r="A377" s="218">
        <v>45187.927628101854</v>
      </c>
      <c r="B377" s="1" t="s">
        <v>59</v>
      </c>
      <c r="C377" s="1" t="s">
        <v>229</v>
      </c>
      <c r="D377" s="1">
        <v>1.0</v>
      </c>
      <c r="E377" s="1">
        <v>2.0</v>
      </c>
      <c r="F377" s="1" t="s">
        <v>1097</v>
      </c>
      <c r="G377" s="218">
        <v>45192.77083333333</v>
      </c>
      <c r="H377" s="1" t="s">
        <v>57</v>
      </c>
      <c r="I377" s="1" t="s">
        <v>1019</v>
      </c>
      <c r="J377" s="219"/>
      <c r="K377" s="219"/>
      <c r="L377" s="219"/>
      <c r="M377" s="219"/>
      <c r="N377" s="1">
        <v>105.0</v>
      </c>
      <c r="O377" s="1">
        <v>100.0</v>
      </c>
      <c r="P377" s="1">
        <v>1.0</v>
      </c>
      <c r="Q377" s="1" t="b">
        <v>0</v>
      </c>
      <c r="R377" s="1">
        <v>100.0</v>
      </c>
      <c r="S377" s="1" t="s">
        <v>301</v>
      </c>
      <c r="T377" s="1" t="s">
        <v>422</v>
      </c>
      <c r="U377" s="1"/>
    </row>
    <row r="378">
      <c r="A378" s="218">
        <v>45187.927628101854</v>
      </c>
      <c r="B378" s="1" t="s">
        <v>59</v>
      </c>
      <c r="C378" s="1" t="s">
        <v>230</v>
      </c>
      <c r="D378" s="1">
        <v>1.0</v>
      </c>
      <c r="E378" s="1">
        <v>2.0</v>
      </c>
      <c r="F378" s="1" t="s">
        <v>1103</v>
      </c>
      <c r="G378" s="218">
        <v>45192.8125</v>
      </c>
      <c r="H378" s="1" t="s">
        <v>125</v>
      </c>
      <c r="I378" s="1" t="s">
        <v>82</v>
      </c>
      <c r="J378" s="219"/>
      <c r="K378" s="219"/>
      <c r="L378" s="219"/>
      <c r="M378" s="219"/>
      <c r="N378" s="1">
        <v>74.0</v>
      </c>
      <c r="O378" s="1">
        <v>69.0</v>
      </c>
      <c r="P378" s="1">
        <v>1.0</v>
      </c>
      <c r="Q378" s="1" t="b">
        <v>1</v>
      </c>
      <c r="R378" s="1">
        <v>100.0</v>
      </c>
      <c r="S378" s="1" t="s">
        <v>296</v>
      </c>
      <c r="T378" s="1" t="s">
        <v>422</v>
      </c>
      <c r="U378" s="1"/>
    </row>
    <row r="379">
      <c r="A379" s="218">
        <v>45187.927628101854</v>
      </c>
      <c r="B379" s="1" t="s">
        <v>59</v>
      </c>
      <c r="C379" s="1" t="s">
        <v>237</v>
      </c>
      <c r="D379" s="1">
        <v>3.0</v>
      </c>
      <c r="E379" s="1">
        <v>0.0</v>
      </c>
      <c r="F379" s="1" t="s">
        <v>1054</v>
      </c>
      <c r="G379" s="218">
        <v>45192.8125</v>
      </c>
      <c r="H379" s="1" t="s">
        <v>58</v>
      </c>
      <c r="I379" s="1" t="s">
        <v>40</v>
      </c>
      <c r="J379" s="219"/>
      <c r="K379" s="219"/>
      <c r="L379" s="219"/>
      <c r="M379" s="219"/>
      <c r="N379" s="1">
        <v>88.0</v>
      </c>
      <c r="O379" s="1">
        <v>56.0</v>
      </c>
      <c r="P379" s="1">
        <v>1.0</v>
      </c>
      <c r="Q379" s="1" t="b">
        <v>1</v>
      </c>
      <c r="R379" s="1">
        <v>100.0</v>
      </c>
      <c r="S379" s="1" t="s">
        <v>292</v>
      </c>
      <c r="T379" s="1" t="s">
        <v>422</v>
      </c>
      <c r="U379" s="1"/>
    </row>
    <row r="380">
      <c r="A380" s="218">
        <v>45187.927628101854</v>
      </c>
      <c r="B380" s="1" t="s">
        <v>59</v>
      </c>
      <c r="C380" s="1" t="s">
        <v>209</v>
      </c>
      <c r="D380" s="1">
        <v>3.0</v>
      </c>
      <c r="E380" s="1">
        <v>0.0</v>
      </c>
      <c r="F380" s="1" t="s">
        <v>1087</v>
      </c>
      <c r="G380" s="218">
        <v>45192.5</v>
      </c>
      <c r="H380" s="1" t="s">
        <v>46</v>
      </c>
      <c r="I380" s="1" t="s">
        <v>888</v>
      </c>
      <c r="J380" s="219"/>
      <c r="K380" s="219"/>
      <c r="L380" s="219"/>
      <c r="M380" s="219"/>
      <c r="N380" s="1">
        <v>96.0</v>
      </c>
      <c r="O380" s="1">
        <v>16.0</v>
      </c>
      <c r="P380" s="1">
        <v>1.0</v>
      </c>
      <c r="Q380" s="1" t="b">
        <v>0</v>
      </c>
      <c r="R380" s="1">
        <v>100.0</v>
      </c>
      <c r="S380" s="1" t="s">
        <v>282</v>
      </c>
      <c r="T380" s="1" t="s">
        <v>422</v>
      </c>
      <c r="U380" s="1"/>
    </row>
    <row r="381">
      <c r="A381" s="218">
        <v>45187.927628101854</v>
      </c>
      <c r="B381" s="1" t="s">
        <v>59</v>
      </c>
      <c r="C381" s="1" t="s">
        <v>234</v>
      </c>
      <c r="D381" s="1">
        <v>1.0</v>
      </c>
      <c r="E381" s="1">
        <v>2.0</v>
      </c>
      <c r="F381" s="1"/>
      <c r="G381" s="218"/>
      <c r="H381" s="1"/>
      <c r="I381" s="1"/>
      <c r="J381" s="219"/>
      <c r="K381" s="219"/>
      <c r="L381" s="219"/>
      <c r="M381" s="219"/>
      <c r="N381" s="1">
        <v>51.0</v>
      </c>
      <c r="O381" s="1">
        <v>70.0</v>
      </c>
      <c r="P381" s="1">
        <v>3.0</v>
      </c>
      <c r="Q381" s="1" t="b">
        <v>0</v>
      </c>
      <c r="R381" s="1">
        <v>100.0</v>
      </c>
      <c r="S381" s="1" t="s">
        <v>407</v>
      </c>
      <c r="T381" s="1" t="s">
        <v>423</v>
      </c>
      <c r="U381" s="1"/>
    </row>
    <row r="382">
      <c r="A382" s="218">
        <v>45187.927628101854</v>
      </c>
      <c r="B382" s="1"/>
      <c r="C382" s="1"/>
      <c r="D382" s="1"/>
      <c r="E382" s="1"/>
      <c r="F382" s="1"/>
      <c r="G382" s="218"/>
      <c r="H382" s="1"/>
      <c r="I382" s="1"/>
      <c r="J382" s="219"/>
      <c r="K382" s="219"/>
      <c r="L382" s="219"/>
      <c r="M382" s="219"/>
      <c r="N382" s="1"/>
      <c r="O382" s="1"/>
      <c r="P382" s="1"/>
      <c r="Q382" s="1"/>
      <c r="R382" s="1"/>
      <c r="S382" s="1" t="e">
        <v>#N/A</v>
      </c>
      <c r="T382" s="1" t="e">
        <v>#N/A</v>
      </c>
      <c r="U382" s="1"/>
    </row>
    <row r="383">
      <c r="A383" s="218">
        <v>45187.927628101854</v>
      </c>
      <c r="B383" s="1" t="s">
        <v>62</v>
      </c>
      <c r="C383" s="1" t="s">
        <v>245</v>
      </c>
      <c r="D383" s="1">
        <v>2.0</v>
      </c>
      <c r="E383" s="1">
        <v>1.0</v>
      </c>
      <c r="F383" s="1" t="s">
        <v>1068</v>
      </c>
      <c r="G383" s="218">
        <v>45192.58333333333</v>
      </c>
      <c r="H383" s="1" t="s">
        <v>60</v>
      </c>
      <c r="I383" s="1" t="s">
        <v>935</v>
      </c>
      <c r="J383" s="219"/>
      <c r="K383" s="219"/>
      <c r="L383" s="219"/>
      <c r="M383" s="219"/>
      <c r="N383" s="1">
        <v>97.0</v>
      </c>
      <c r="O383" s="1">
        <v>70.0</v>
      </c>
      <c r="P383" s="1">
        <v>1.0</v>
      </c>
      <c r="Q383" s="1" t="b">
        <v>1</v>
      </c>
      <c r="R383" s="1">
        <v>100.0</v>
      </c>
      <c r="S383" s="1" t="s">
        <v>355</v>
      </c>
      <c r="T383" s="1" t="s">
        <v>423</v>
      </c>
      <c r="U383" s="1"/>
    </row>
    <row r="384">
      <c r="A384" s="218">
        <v>45187.927628101854</v>
      </c>
      <c r="B384" s="1" t="s">
        <v>62</v>
      </c>
      <c r="C384" s="1" t="s">
        <v>248</v>
      </c>
      <c r="D384" s="1">
        <v>1.0</v>
      </c>
      <c r="E384" s="1">
        <v>2.0</v>
      </c>
      <c r="F384" s="1" t="s">
        <v>1073</v>
      </c>
      <c r="G384" s="218">
        <v>45192.64583333333</v>
      </c>
      <c r="H384" s="1" t="s">
        <v>60</v>
      </c>
      <c r="I384" s="1" t="s">
        <v>900</v>
      </c>
      <c r="J384" s="219"/>
      <c r="K384" s="219"/>
      <c r="L384" s="219"/>
      <c r="M384" s="219"/>
      <c r="N384" s="1">
        <v>84.0</v>
      </c>
      <c r="O384" s="1">
        <v>86.0</v>
      </c>
      <c r="P384" s="1">
        <v>1.0</v>
      </c>
      <c r="Q384" s="1" t="b">
        <v>0</v>
      </c>
      <c r="R384" s="1">
        <v>100.0</v>
      </c>
      <c r="S384" s="1" t="s">
        <v>301</v>
      </c>
      <c r="T384" s="1" t="s">
        <v>422</v>
      </c>
      <c r="U384" s="1"/>
    </row>
    <row r="385">
      <c r="A385" s="218">
        <v>45187.927628101854</v>
      </c>
      <c r="B385" s="1" t="s">
        <v>62</v>
      </c>
      <c r="C385" s="1" t="s">
        <v>244</v>
      </c>
      <c r="D385" s="1">
        <v>3.0</v>
      </c>
      <c r="E385" s="1">
        <v>0.0</v>
      </c>
      <c r="F385" s="1" t="s">
        <v>1069</v>
      </c>
      <c r="G385" s="218">
        <v>45192.64583333333</v>
      </c>
      <c r="H385" s="1" t="s">
        <v>60</v>
      </c>
      <c r="I385" s="1" t="s">
        <v>90</v>
      </c>
      <c r="J385" s="219"/>
      <c r="K385" s="219"/>
      <c r="L385" s="219"/>
      <c r="M385" s="219"/>
      <c r="N385" s="1">
        <v>118.0</v>
      </c>
      <c r="O385" s="1">
        <v>40.0</v>
      </c>
      <c r="P385" s="1">
        <v>1.0</v>
      </c>
      <c r="Q385" s="1" t="b">
        <v>1</v>
      </c>
      <c r="R385" s="1">
        <v>100.0</v>
      </c>
      <c r="S385" s="1" t="s">
        <v>282</v>
      </c>
      <c r="T385" s="1" t="s">
        <v>422</v>
      </c>
      <c r="U385" s="1"/>
    </row>
    <row r="386">
      <c r="A386" s="218">
        <v>45187.927628101854</v>
      </c>
      <c r="B386" s="1" t="s">
        <v>62</v>
      </c>
      <c r="C386" s="1" t="s">
        <v>240</v>
      </c>
      <c r="D386" s="1">
        <v>2.0</v>
      </c>
      <c r="E386" s="1">
        <v>1.0</v>
      </c>
      <c r="F386" s="1" t="s">
        <v>1104</v>
      </c>
      <c r="G386" s="218">
        <v>45192.64583333333</v>
      </c>
      <c r="H386" s="1"/>
      <c r="I386" s="1"/>
      <c r="J386" s="219"/>
      <c r="K386" s="219"/>
      <c r="L386" s="219"/>
      <c r="M386" s="219"/>
      <c r="N386" s="1">
        <v>75.0</v>
      </c>
      <c r="O386" s="1">
        <v>90.0</v>
      </c>
      <c r="P386" s="1">
        <v>1.0</v>
      </c>
      <c r="Q386" s="1" t="b">
        <v>0</v>
      </c>
      <c r="R386" s="1">
        <v>100.0</v>
      </c>
      <c r="S386" s="1" t="s">
        <v>352</v>
      </c>
      <c r="T386" s="1" t="s">
        <v>423</v>
      </c>
      <c r="U386" s="1"/>
    </row>
    <row r="387">
      <c r="A387" s="218">
        <v>45187.927628101854</v>
      </c>
      <c r="B387" s="1" t="s">
        <v>62</v>
      </c>
      <c r="C387" s="1" t="s">
        <v>246</v>
      </c>
      <c r="D387" s="1">
        <v>0.0</v>
      </c>
      <c r="E387" s="1">
        <v>3.0</v>
      </c>
      <c r="F387" s="1" t="s">
        <v>1105</v>
      </c>
      <c r="G387" s="218">
        <v>45192.75</v>
      </c>
      <c r="H387" s="1"/>
      <c r="I387" s="1" t="s">
        <v>935</v>
      </c>
      <c r="J387" s="219"/>
      <c r="K387" s="219"/>
      <c r="L387" s="219"/>
      <c r="M387" s="219"/>
      <c r="N387" s="1">
        <v>44.0</v>
      </c>
      <c r="O387" s="1">
        <v>104.0</v>
      </c>
      <c r="P387" s="1">
        <v>1.0</v>
      </c>
      <c r="Q387" s="1" t="b">
        <v>0</v>
      </c>
      <c r="R387" s="1">
        <v>100.0</v>
      </c>
      <c r="S387" s="1" t="s">
        <v>407</v>
      </c>
      <c r="T387" s="1" t="s">
        <v>423</v>
      </c>
      <c r="U387" s="1"/>
    </row>
    <row r="388">
      <c r="A388" s="218">
        <v>45187.927628101854</v>
      </c>
      <c r="B388" s="1" t="s">
        <v>62</v>
      </c>
      <c r="C388" s="1" t="s">
        <v>247</v>
      </c>
      <c r="D388" s="1">
        <v>3.0</v>
      </c>
      <c r="E388" s="1">
        <v>0.0</v>
      </c>
      <c r="F388" s="1" t="s">
        <v>1106</v>
      </c>
      <c r="G388" s="218">
        <v>45192.79166666667</v>
      </c>
      <c r="H388" s="1" t="s">
        <v>125</v>
      </c>
      <c r="I388" s="1" t="s">
        <v>92</v>
      </c>
      <c r="J388" s="219"/>
      <c r="K388" s="219"/>
      <c r="L388" s="219"/>
      <c r="M388" s="219"/>
      <c r="N388" s="1">
        <v>123.0</v>
      </c>
      <c r="O388" s="1">
        <v>33.0</v>
      </c>
      <c r="P388" s="1">
        <v>1.0</v>
      </c>
      <c r="Q388" s="1" t="b">
        <v>0</v>
      </c>
      <c r="R388" s="1">
        <v>100.0</v>
      </c>
      <c r="S388" s="1" t="s">
        <v>354</v>
      </c>
      <c r="T388" s="1" t="s">
        <v>422</v>
      </c>
      <c r="U388" s="1"/>
    </row>
    <row r="389">
      <c r="A389" s="218">
        <v>45187.927628101854</v>
      </c>
      <c r="B389" s="1" t="s">
        <v>62</v>
      </c>
      <c r="C389" s="1" t="s">
        <v>249</v>
      </c>
      <c r="D389" s="1">
        <v>2.0</v>
      </c>
      <c r="E389" s="1">
        <v>1.0</v>
      </c>
      <c r="F389" s="1" t="s">
        <v>1084</v>
      </c>
      <c r="G389" s="218">
        <v>45192.8125</v>
      </c>
      <c r="H389" s="1" t="s">
        <v>46</v>
      </c>
      <c r="I389" s="1" t="s">
        <v>945</v>
      </c>
      <c r="J389" s="219"/>
      <c r="K389" s="219"/>
      <c r="L389" s="219"/>
      <c r="M389" s="219"/>
      <c r="N389" s="1">
        <v>93.0</v>
      </c>
      <c r="O389" s="1">
        <v>72.0</v>
      </c>
      <c r="P389" s="1">
        <v>1.0</v>
      </c>
      <c r="Q389" s="1" t="b">
        <v>0</v>
      </c>
      <c r="R389" s="1">
        <v>100.0</v>
      </c>
      <c r="S389" s="1" t="s">
        <v>292</v>
      </c>
      <c r="T389" s="1" t="s">
        <v>422</v>
      </c>
      <c r="U389" s="1"/>
    </row>
    <row r="390">
      <c r="A390" s="218">
        <v>45187.927628101854</v>
      </c>
      <c r="B390" s="1" t="s">
        <v>62</v>
      </c>
      <c r="C390" s="1" t="s">
        <v>241</v>
      </c>
      <c r="D390" s="1">
        <v>3.0</v>
      </c>
      <c r="E390" s="1">
        <v>0.0</v>
      </c>
      <c r="F390" s="1" t="s">
        <v>1038</v>
      </c>
      <c r="G390" s="218">
        <v>45192.9375</v>
      </c>
      <c r="H390" s="1" t="s">
        <v>35</v>
      </c>
      <c r="I390" s="1" t="s">
        <v>99</v>
      </c>
      <c r="J390" s="219"/>
      <c r="K390" s="219"/>
      <c r="L390" s="219"/>
      <c r="M390" s="219"/>
      <c r="N390" s="1">
        <v>102.0</v>
      </c>
      <c r="O390" s="1">
        <v>66.0</v>
      </c>
      <c r="P390" s="1">
        <v>1.0</v>
      </c>
      <c r="Q390" s="1" t="b">
        <v>0</v>
      </c>
      <c r="R390" s="1">
        <v>100.0</v>
      </c>
      <c r="S390" s="1" t="s">
        <v>353</v>
      </c>
      <c r="T390" s="1" t="s">
        <v>423</v>
      </c>
      <c r="U390" s="1"/>
    </row>
    <row r="391">
      <c r="A391" s="218">
        <v>45187.927628101854</v>
      </c>
      <c r="B391" s="1" t="s">
        <v>62</v>
      </c>
      <c r="C391" s="1" t="s">
        <v>215</v>
      </c>
      <c r="D391" s="1">
        <v>2.0</v>
      </c>
      <c r="E391" s="1">
        <v>1.0</v>
      </c>
      <c r="F391" s="1" t="s">
        <v>1086</v>
      </c>
      <c r="G391" s="218">
        <v>45192.5</v>
      </c>
      <c r="H391" s="1" t="s">
        <v>46</v>
      </c>
      <c r="I391" s="1" t="s">
        <v>40</v>
      </c>
      <c r="J391" s="219"/>
      <c r="K391" s="219"/>
      <c r="L391" s="219"/>
      <c r="M391" s="219"/>
      <c r="N391" s="1">
        <v>103.0</v>
      </c>
      <c r="O391" s="1">
        <v>109.0</v>
      </c>
      <c r="P391" s="1">
        <v>1.0</v>
      </c>
      <c r="Q391" s="1" t="b">
        <v>0</v>
      </c>
      <c r="R391" s="1">
        <v>100.0</v>
      </c>
      <c r="S391" s="1" t="s">
        <v>351</v>
      </c>
      <c r="T391" s="1" t="s">
        <v>423</v>
      </c>
      <c r="U391" s="1"/>
    </row>
    <row r="392">
      <c r="A392" s="218">
        <v>45187.927628101854</v>
      </c>
      <c r="B392" s="1" t="s">
        <v>62</v>
      </c>
      <c r="C392" s="1" t="s">
        <v>242</v>
      </c>
      <c r="D392" s="1">
        <v>2.0</v>
      </c>
      <c r="E392" s="1">
        <v>1.0</v>
      </c>
      <c r="F392" s="1" t="s">
        <v>1079</v>
      </c>
      <c r="G392" s="218">
        <v>45192.5</v>
      </c>
      <c r="H392" s="1" t="s">
        <v>60</v>
      </c>
      <c r="I392" s="1" t="s">
        <v>92</v>
      </c>
      <c r="J392" s="219"/>
      <c r="K392" s="219"/>
      <c r="L392" s="219"/>
      <c r="M392" s="219"/>
      <c r="N392" s="1">
        <v>117.0</v>
      </c>
      <c r="O392" s="1">
        <v>65.0</v>
      </c>
      <c r="P392" s="1">
        <v>1.0</v>
      </c>
      <c r="Q392" s="1" t="b">
        <v>1</v>
      </c>
      <c r="R392" s="1">
        <v>100.0</v>
      </c>
      <c r="S392" s="1" t="s">
        <v>296</v>
      </c>
      <c r="T392" s="1" t="s">
        <v>422</v>
      </c>
      <c r="U392" s="1"/>
    </row>
    <row r="393">
      <c r="A393" s="218">
        <v>45187.927628101854</v>
      </c>
      <c r="B393" s="1"/>
      <c r="C393" s="1"/>
      <c r="D393" s="1"/>
      <c r="E393" s="1"/>
      <c r="F393" s="1"/>
      <c r="G393" s="218"/>
      <c r="H393" s="1"/>
      <c r="I393" s="1"/>
      <c r="J393" s="219"/>
      <c r="K393" s="219"/>
      <c r="L393" s="219"/>
      <c r="M393" s="219"/>
      <c r="N393" s="1"/>
      <c r="O393" s="1"/>
      <c r="P393" s="1"/>
      <c r="Q393" s="1"/>
      <c r="R393" s="1"/>
      <c r="S393" s="1" t="e">
        <v>#N/A</v>
      </c>
      <c r="T393" s="1" t="e">
        <v>#N/A</v>
      </c>
      <c r="U393" s="1"/>
    </row>
    <row r="394">
      <c r="A394" s="218">
        <v>45187.927628101854</v>
      </c>
      <c r="B394" s="1" t="s">
        <v>69</v>
      </c>
      <c r="C394" s="1" t="s">
        <v>255</v>
      </c>
      <c r="D394" s="1">
        <v>2.0</v>
      </c>
      <c r="E394" s="1">
        <v>1.0</v>
      </c>
      <c r="F394" s="1" t="s">
        <v>1099</v>
      </c>
      <c r="G394" s="218">
        <v>45191.79166666667</v>
      </c>
      <c r="H394" s="1" t="s">
        <v>67</v>
      </c>
      <c r="I394" s="1" t="s">
        <v>96</v>
      </c>
      <c r="J394" s="219"/>
      <c r="K394" s="219"/>
      <c r="L394" s="219"/>
      <c r="M394" s="219"/>
      <c r="N394" s="1">
        <v>95.0</v>
      </c>
      <c r="O394" s="1">
        <v>62.0</v>
      </c>
      <c r="P394" s="1">
        <v>1.0</v>
      </c>
      <c r="Q394" s="1" t="b">
        <v>0</v>
      </c>
      <c r="R394" s="1">
        <v>100.0</v>
      </c>
      <c r="S394" s="1" t="s">
        <v>282</v>
      </c>
      <c r="T394" s="1" t="s">
        <v>422</v>
      </c>
      <c r="U394" s="1"/>
    </row>
    <row r="395">
      <c r="A395" s="218">
        <v>45187.927628101854</v>
      </c>
      <c r="B395" s="1" t="s">
        <v>69</v>
      </c>
      <c r="C395" s="1" t="s">
        <v>243</v>
      </c>
      <c r="D395" s="1">
        <v>3.0</v>
      </c>
      <c r="E395" s="1">
        <v>0.0</v>
      </c>
      <c r="F395" s="1" t="s">
        <v>1058</v>
      </c>
      <c r="G395" s="218">
        <v>45191.9375</v>
      </c>
      <c r="H395" s="1" t="s">
        <v>56</v>
      </c>
      <c r="I395" s="1" t="s">
        <v>96</v>
      </c>
      <c r="J395" s="219"/>
      <c r="K395" s="219"/>
      <c r="L395" s="219"/>
      <c r="M395" s="219"/>
      <c r="N395" s="1">
        <v>94.0</v>
      </c>
      <c r="O395" s="1">
        <v>31.0</v>
      </c>
      <c r="P395" s="1">
        <v>1.0</v>
      </c>
      <c r="Q395" s="1" t="b">
        <v>1</v>
      </c>
      <c r="R395" s="1">
        <v>100.0</v>
      </c>
      <c r="S395" s="1" t="s">
        <v>353</v>
      </c>
      <c r="T395" s="1" t="s">
        <v>423</v>
      </c>
      <c r="U395" s="1"/>
    </row>
    <row r="396">
      <c r="A396" s="218">
        <v>45187.927628101854</v>
      </c>
      <c r="B396" s="1" t="s">
        <v>69</v>
      </c>
      <c r="C396" s="1" t="s">
        <v>250</v>
      </c>
      <c r="D396" s="1">
        <v>2.0</v>
      </c>
      <c r="E396" s="1">
        <v>2.0</v>
      </c>
      <c r="F396" s="1" t="s">
        <v>1024</v>
      </c>
      <c r="G396" s="218">
        <v>45192.64583333333</v>
      </c>
      <c r="H396" s="1" t="s">
        <v>35</v>
      </c>
      <c r="I396" s="1" t="s">
        <v>888</v>
      </c>
      <c r="J396" s="219"/>
      <c r="K396" s="219"/>
      <c r="L396" s="219"/>
      <c r="M396" s="219"/>
      <c r="N396" s="1">
        <v>124.0</v>
      </c>
      <c r="O396" s="1">
        <v>116.0</v>
      </c>
      <c r="P396" s="1">
        <v>1.0</v>
      </c>
      <c r="Q396" s="1" t="b">
        <v>0</v>
      </c>
      <c r="R396" s="1">
        <v>100.0</v>
      </c>
      <c r="S396" s="1" t="s">
        <v>351</v>
      </c>
      <c r="T396" s="1" t="s">
        <v>423</v>
      </c>
      <c r="U396" s="1"/>
    </row>
    <row r="397">
      <c r="A397" s="218">
        <v>45187.927628101854</v>
      </c>
      <c r="B397" s="1" t="s">
        <v>69</v>
      </c>
      <c r="C397" s="1" t="s">
        <v>253</v>
      </c>
      <c r="D397" s="1">
        <v>1.0</v>
      </c>
      <c r="E397" s="1">
        <v>2.0</v>
      </c>
      <c r="F397" s="1" t="s">
        <v>1107</v>
      </c>
      <c r="G397" s="218">
        <v>45192.66666666667</v>
      </c>
      <c r="H397" s="1" t="s">
        <v>125</v>
      </c>
      <c r="I397" s="1" t="s">
        <v>40</v>
      </c>
      <c r="J397" s="219"/>
      <c r="K397" s="219"/>
      <c r="L397" s="219"/>
      <c r="M397" s="219"/>
      <c r="N397" s="1">
        <v>65.0</v>
      </c>
      <c r="O397" s="1">
        <v>82.0</v>
      </c>
      <c r="P397" s="1">
        <v>1.0</v>
      </c>
      <c r="Q397" s="1" t="b">
        <v>0</v>
      </c>
      <c r="R397" s="1">
        <v>100.0</v>
      </c>
      <c r="S397" s="1" t="s">
        <v>407</v>
      </c>
      <c r="T397" s="1" t="s">
        <v>423</v>
      </c>
      <c r="U397" s="1"/>
    </row>
    <row r="398">
      <c r="A398" s="218">
        <v>45187.927628101854</v>
      </c>
      <c r="B398" s="1" t="s">
        <v>69</v>
      </c>
      <c r="C398" s="1" t="s">
        <v>254</v>
      </c>
      <c r="D398" s="1">
        <v>1.0</v>
      </c>
      <c r="E398" s="1">
        <v>2.0</v>
      </c>
      <c r="F398" s="1" t="s">
        <v>1091</v>
      </c>
      <c r="G398" s="218">
        <v>45192.79166666667</v>
      </c>
      <c r="H398" s="1" t="s">
        <v>70</v>
      </c>
      <c r="I398" s="1" t="s">
        <v>935</v>
      </c>
      <c r="J398" s="219"/>
      <c r="K398" s="219"/>
      <c r="L398" s="219"/>
      <c r="M398" s="219"/>
      <c r="N398" s="1">
        <v>34.0</v>
      </c>
      <c r="O398" s="1">
        <v>117.0</v>
      </c>
      <c r="P398" s="1">
        <v>1.0</v>
      </c>
      <c r="Q398" s="1" t="b">
        <v>1</v>
      </c>
      <c r="R398" s="1">
        <v>100.0</v>
      </c>
      <c r="S398" s="1" t="s">
        <v>355</v>
      </c>
      <c r="T398" s="1" t="s">
        <v>423</v>
      </c>
      <c r="U398" s="1"/>
    </row>
    <row r="399">
      <c r="A399" s="218">
        <v>45187.927628101854</v>
      </c>
      <c r="B399" s="1" t="s">
        <v>69</v>
      </c>
      <c r="C399" s="1" t="s">
        <v>252</v>
      </c>
      <c r="D399" s="1">
        <v>1.0</v>
      </c>
      <c r="E399" s="1">
        <v>2.0</v>
      </c>
      <c r="F399" s="1" t="s">
        <v>1063</v>
      </c>
      <c r="G399" s="218">
        <v>45192.79166666667</v>
      </c>
      <c r="H399" s="1" t="s">
        <v>56</v>
      </c>
      <c r="I399" s="1" t="s">
        <v>951</v>
      </c>
      <c r="J399" s="219"/>
      <c r="K399" s="219"/>
      <c r="L399" s="219"/>
      <c r="M399" s="219"/>
      <c r="N399" s="1">
        <v>69.0</v>
      </c>
      <c r="O399" s="1">
        <v>82.0</v>
      </c>
      <c r="P399" s="1">
        <v>1.0</v>
      </c>
      <c r="Q399" s="1" t="b">
        <v>1</v>
      </c>
      <c r="R399" s="1">
        <v>100.0</v>
      </c>
      <c r="S399" s="1" t="s">
        <v>352</v>
      </c>
      <c r="T399" s="1" t="s">
        <v>423</v>
      </c>
      <c r="U399" s="1"/>
    </row>
    <row r="400">
      <c r="A400" s="218">
        <v>45187.927628101854</v>
      </c>
      <c r="B400" s="1" t="s">
        <v>69</v>
      </c>
      <c r="C400" s="1" t="s">
        <v>219</v>
      </c>
      <c r="D400" s="1">
        <v>2.0</v>
      </c>
      <c r="E400" s="1">
        <v>1.0</v>
      </c>
      <c r="F400" s="1" t="s">
        <v>1098</v>
      </c>
      <c r="G400" s="218">
        <v>45192.79166666667</v>
      </c>
      <c r="H400" s="1" t="s">
        <v>57</v>
      </c>
      <c r="I400" s="1" t="s">
        <v>76</v>
      </c>
      <c r="J400" s="219"/>
      <c r="K400" s="219"/>
      <c r="L400" s="219"/>
      <c r="M400" s="219"/>
      <c r="N400" s="1">
        <v>137.0</v>
      </c>
      <c r="O400" s="1">
        <v>69.0</v>
      </c>
      <c r="P400" s="1">
        <v>1.0</v>
      </c>
      <c r="Q400" s="1" t="b">
        <v>1</v>
      </c>
      <c r="R400" s="1">
        <v>100.0</v>
      </c>
      <c r="S400" s="1" t="s">
        <v>292</v>
      </c>
      <c r="T400" s="1" t="s">
        <v>422</v>
      </c>
      <c r="U400" s="1"/>
    </row>
    <row r="401">
      <c r="A401" s="218">
        <v>45187.927628101854</v>
      </c>
      <c r="B401" s="1" t="s">
        <v>69</v>
      </c>
      <c r="C401" s="1" t="s">
        <v>256</v>
      </c>
      <c r="D401" s="1">
        <v>1.0</v>
      </c>
      <c r="E401" s="1">
        <v>2.0</v>
      </c>
      <c r="F401" s="1" t="s">
        <v>1101</v>
      </c>
      <c r="G401" s="218">
        <v>45192.83333333333</v>
      </c>
      <c r="H401" s="1" t="s">
        <v>67</v>
      </c>
      <c r="I401" s="1"/>
      <c r="J401" s="219"/>
      <c r="K401" s="219"/>
      <c r="L401" s="219"/>
      <c r="M401" s="219"/>
      <c r="N401" s="1">
        <v>72.0</v>
      </c>
      <c r="O401" s="1">
        <v>51.0</v>
      </c>
      <c r="P401" s="1">
        <v>1.0</v>
      </c>
      <c r="Q401" s="1" t="b">
        <v>0</v>
      </c>
      <c r="R401" s="1">
        <v>100.0</v>
      </c>
      <c r="S401" s="1" t="s">
        <v>301</v>
      </c>
      <c r="T401" s="1" t="s">
        <v>422</v>
      </c>
      <c r="U401" s="1"/>
    </row>
    <row r="402">
      <c r="A402" s="218">
        <v>45187.927628101854</v>
      </c>
      <c r="B402" s="1" t="s">
        <v>69</v>
      </c>
      <c r="C402" s="1" t="s">
        <v>257</v>
      </c>
      <c r="D402" s="1">
        <v>3.0</v>
      </c>
      <c r="E402" s="1">
        <v>0.0</v>
      </c>
      <c r="F402" s="1" t="s">
        <v>1033</v>
      </c>
      <c r="G402" s="218">
        <v>45192.83333333333</v>
      </c>
      <c r="H402" s="1" t="s">
        <v>35</v>
      </c>
      <c r="I402" s="1" t="s">
        <v>96</v>
      </c>
      <c r="J402" s="219"/>
      <c r="K402" s="219"/>
      <c r="L402" s="219"/>
      <c r="M402" s="219"/>
      <c r="N402" s="1">
        <v>122.0</v>
      </c>
      <c r="O402" s="1">
        <v>36.0</v>
      </c>
      <c r="P402" s="1">
        <v>1.0</v>
      </c>
      <c r="Q402" s="1" t="b">
        <v>0</v>
      </c>
      <c r="R402" s="1">
        <v>100.0</v>
      </c>
      <c r="S402" s="1" t="s">
        <v>296</v>
      </c>
      <c r="T402" s="1" t="s">
        <v>422</v>
      </c>
      <c r="U402" s="1"/>
    </row>
    <row r="403">
      <c r="A403" s="218">
        <v>45187.927628101854</v>
      </c>
      <c r="B403" s="1" t="s">
        <v>69</v>
      </c>
      <c r="C403" s="1" t="s">
        <v>251</v>
      </c>
      <c r="D403" s="1">
        <v>2.0</v>
      </c>
      <c r="E403" s="1">
        <v>1.0</v>
      </c>
      <c r="F403" s="1" t="s">
        <v>1085</v>
      </c>
      <c r="G403" s="218">
        <v>45192.9375</v>
      </c>
      <c r="H403" s="1" t="s">
        <v>46</v>
      </c>
      <c r="I403" s="1"/>
      <c r="J403" s="219"/>
      <c r="K403" s="219"/>
      <c r="L403" s="219"/>
      <c r="M403" s="219"/>
      <c r="N403" s="1">
        <v>99.0</v>
      </c>
      <c r="O403" s="1">
        <v>52.0</v>
      </c>
      <c r="P403" s="1">
        <v>1.0</v>
      </c>
      <c r="Q403" s="1" t="b">
        <v>0</v>
      </c>
      <c r="R403" s="1">
        <v>100.0</v>
      </c>
      <c r="S403" s="1" t="s">
        <v>354</v>
      </c>
      <c r="T403" s="1" t="s">
        <v>422</v>
      </c>
      <c r="U403" s="1"/>
    </row>
    <row r="404">
      <c r="A404" s="218">
        <v>45187.927628101854</v>
      </c>
      <c r="B404" s="1"/>
      <c r="C404" s="1"/>
      <c r="D404" s="1"/>
      <c r="E404" s="1"/>
      <c r="F404" s="1"/>
      <c r="G404" s="218"/>
      <c r="H404" s="1"/>
      <c r="I404" s="1"/>
      <c r="J404" s="219"/>
      <c r="K404" s="219"/>
      <c r="L404" s="219"/>
      <c r="M404" s="219"/>
      <c r="N404" s="1"/>
      <c r="O404" s="1"/>
      <c r="P404" s="1"/>
      <c r="Q404" s="1"/>
      <c r="R404" s="1"/>
      <c r="S404" s="1" t="e">
        <v>#N/A</v>
      </c>
      <c r="T404" s="1" t="e">
        <v>#N/A</v>
      </c>
      <c r="U404" s="1"/>
    </row>
    <row r="405">
      <c r="A405" s="218">
        <v>45187.927628101854</v>
      </c>
      <c r="B405" s="1" t="s">
        <v>125</v>
      </c>
      <c r="C405" s="1" t="s">
        <v>263</v>
      </c>
      <c r="D405" s="1">
        <v>2.0</v>
      </c>
      <c r="E405" s="1">
        <v>1.0</v>
      </c>
      <c r="F405" s="1" t="s">
        <v>1107</v>
      </c>
      <c r="G405" s="218">
        <v>45192.66666666667</v>
      </c>
      <c r="H405" s="1" t="s">
        <v>69</v>
      </c>
      <c r="I405" s="1" t="s">
        <v>40</v>
      </c>
      <c r="J405" s="219"/>
      <c r="K405" s="219"/>
      <c r="L405" s="219"/>
      <c r="M405" s="219"/>
      <c r="N405" s="1">
        <v>112.0</v>
      </c>
      <c r="O405" s="1">
        <v>85.0</v>
      </c>
      <c r="P405" s="1">
        <v>1.0</v>
      </c>
      <c r="Q405" s="1" t="b">
        <v>1</v>
      </c>
      <c r="R405" s="1">
        <v>100.0</v>
      </c>
      <c r="S405" s="1" t="s">
        <v>407</v>
      </c>
      <c r="T405" s="1" t="s">
        <v>423</v>
      </c>
      <c r="U405" s="1"/>
    </row>
    <row r="406">
      <c r="A406" s="218">
        <v>45187.927628101854</v>
      </c>
      <c r="B406" s="1" t="s">
        <v>125</v>
      </c>
      <c r="C406" s="1" t="s">
        <v>260</v>
      </c>
      <c r="D406" s="1">
        <v>2.0</v>
      </c>
      <c r="E406" s="1">
        <v>1.0</v>
      </c>
      <c r="F406" s="1" t="s">
        <v>1102</v>
      </c>
      <c r="G406" s="218">
        <v>45192.70833333333</v>
      </c>
      <c r="H406" s="1" t="s">
        <v>59</v>
      </c>
      <c r="I406" s="1" t="s">
        <v>935</v>
      </c>
      <c r="J406" s="219"/>
      <c r="K406" s="219"/>
      <c r="L406" s="219"/>
      <c r="M406" s="219"/>
      <c r="N406" s="1">
        <v>82.0</v>
      </c>
      <c r="O406" s="1">
        <v>47.0</v>
      </c>
      <c r="P406" s="1">
        <v>1.0</v>
      </c>
      <c r="Q406" s="1" t="b">
        <v>1</v>
      </c>
      <c r="R406" s="1">
        <v>100.0</v>
      </c>
      <c r="S406" s="1" t="s">
        <v>351</v>
      </c>
      <c r="T406" s="1" t="s">
        <v>423</v>
      </c>
      <c r="U406" s="1"/>
    </row>
    <row r="407">
      <c r="A407" s="218">
        <v>45187.927628101854</v>
      </c>
      <c r="B407" s="1" t="s">
        <v>125</v>
      </c>
      <c r="C407" s="1" t="s">
        <v>265</v>
      </c>
      <c r="D407" s="1">
        <v>1.0</v>
      </c>
      <c r="E407" s="1">
        <v>2.0</v>
      </c>
      <c r="F407" s="1" t="s">
        <v>1100</v>
      </c>
      <c r="G407" s="218">
        <v>45192.70833333333</v>
      </c>
      <c r="H407" s="1" t="s">
        <v>67</v>
      </c>
      <c r="I407" s="1" t="s">
        <v>935</v>
      </c>
      <c r="J407" s="219"/>
      <c r="K407" s="219"/>
      <c r="L407" s="219"/>
      <c r="M407" s="219"/>
      <c r="N407" s="1">
        <v>69.0</v>
      </c>
      <c r="O407" s="1">
        <v>114.0</v>
      </c>
      <c r="P407" s="1">
        <v>1.0</v>
      </c>
      <c r="Q407" s="1" t="b">
        <v>0</v>
      </c>
      <c r="R407" s="1">
        <v>100.0</v>
      </c>
      <c r="S407" s="1" t="s">
        <v>352</v>
      </c>
      <c r="T407" s="1" t="s">
        <v>423</v>
      </c>
      <c r="U407" s="1"/>
    </row>
    <row r="408">
      <c r="A408" s="218">
        <v>45187.927628101854</v>
      </c>
      <c r="B408" s="1" t="s">
        <v>125</v>
      </c>
      <c r="C408" s="1" t="s">
        <v>258</v>
      </c>
      <c r="D408" s="1">
        <v>0.0</v>
      </c>
      <c r="E408" s="1">
        <v>3.0</v>
      </c>
      <c r="F408" s="1" t="s">
        <v>1062</v>
      </c>
      <c r="G408" s="218">
        <v>45192.79166666667</v>
      </c>
      <c r="H408" s="1" t="s">
        <v>56</v>
      </c>
      <c r="I408" s="1" t="s">
        <v>935</v>
      </c>
      <c r="J408" s="219"/>
      <c r="K408" s="219"/>
      <c r="L408" s="219"/>
      <c r="M408" s="219"/>
      <c r="N408" s="1">
        <v>44.0</v>
      </c>
      <c r="O408" s="1">
        <v>130.0</v>
      </c>
      <c r="P408" s="1">
        <v>1.0</v>
      </c>
      <c r="Q408" s="1" t="b">
        <v>0</v>
      </c>
      <c r="R408" s="1">
        <v>100.0</v>
      </c>
      <c r="S408" s="1" t="s">
        <v>353</v>
      </c>
      <c r="T408" s="1" t="s">
        <v>423</v>
      </c>
      <c r="U408" s="1"/>
    </row>
    <row r="409">
      <c r="A409" s="218">
        <v>45187.927628101854</v>
      </c>
      <c r="B409" s="1" t="s">
        <v>125</v>
      </c>
      <c r="C409" s="1" t="s">
        <v>259</v>
      </c>
      <c r="D409" s="1">
        <v>3.0</v>
      </c>
      <c r="E409" s="1">
        <v>0.0</v>
      </c>
      <c r="F409" s="1" t="s">
        <v>1106</v>
      </c>
      <c r="G409" s="218">
        <v>45192.79166666667</v>
      </c>
      <c r="H409" s="1" t="s">
        <v>62</v>
      </c>
      <c r="I409" s="1" t="s">
        <v>92</v>
      </c>
      <c r="J409" s="219"/>
      <c r="K409" s="219"/>
      <c r="L409" s="219"/>
      <c r="M409" s="219"/>
      <c r="N409" s="1">
        <v>145.0</v>
      </c>
      <c r="O409" s="1">
        <v>67.0</v>
      </c>
      <c r="P409" s="1">
        <v>1.0</v>
      </c>
      <c r="Q409" s="1" t="b">
        <v>1</v>
      </c>
      <c r="R409" s="1">
        <v>100.0</v>
      </c>
      <c r="S409" s="1" t="s">
        <v>354</v>
      </c>
      <c r="T409" s="1" t="s">
        <v>422</v>
      </c>
      <c r="U409" s="1"/>
    </row>
    <row r="410">
      <c r="A410" s="218">
        <v>45187.927628101854</v>
      </c>
      <c r="B410" s="1" t="s">
        <v>125</v>
      </c>
      <c r="C410" s="1" t="s">
        <v>239</v>
      </c>
      <c r="D410" s="1">
        <v>3.0</v>
      </c>
      <c r="E410" s="1">
        <v>0.0</v>
      </c>
      <c r="F410" s="1" t="s">
        <v>1103</v>
      </c>
      <c r="G410" s="218">
        <v>45192.8125</v>
      </c>
      <c r="H410" s="1" t="s">
        <v>59</v>
      </c>
      <c r="I410" s="1" t="s">
        <v>82</v>
      </c>
      <c r="J410" s="219"/>
      <c r="K410" s="219"/>
      <c r="L410" s="219"/>
      <c r="M410" s="219"/>
      <c r="N410" s="1">
        <v>102.0</v>
      </c>
      <c r="O410" s="1">
        <v>44.0</v>
      </c>
      <c r="P410" s="1">
        <v>1.0</v>
      </c>
      <c r="Q410" s="1" t="b">
        <v>0</v>
      </c>
      <c r="R410" s="1">
        <v>100.0</v>
      </c>
      <c r="S410" s="1" t="s">
        <v>296</v>
      </c>
      <c r="T410" s="1" t="s">
        <v>422</v>
      </c>
      <c r="U410" s="1"/>
    </row>
    <row r="411">
      <c r="A411" s="218">
        <v>45187.927628101854</v>
      </c>
      <c r="B411" s="1" t="s">
        <v>125</v>
      </c>
      <c r="C411" s="1" t="s">
        <v>261</v>
      </c>
      <c r="D411" s="1">
        <v>1.0</v>
      </c>
      <c r="E411" s="1">
        <v>2.0</v>
      </c>
      <c r="F411" s="1" t="s">
        <v>1053</v>
      </c>
      <c r="G411" s="218">
        <v>45192.8125</v>
      </c>
      <c r="H411" s="1" t="s">
        <v>58</v>
      </c>
      <c r="I411" s="1" t="s">
        <v>888</v>
      </c>
      <c r="J411" s="219"/>
      <c r="K411" s="219"/>
      <c r="L411" s="219"/>
      <c r="M411" s="219"/>
      <c r="N411" s="1">
        <v>59.0</v>
      </c>
      <c r="O411" s="1">
        <v>69.0</v>
      </c>
      <c r="P411" s="1">
        <v>1.0</v>
      </c>
      <c r="Q411" s="1" t="b">
        <v>0</v>
      </c>
      <c r="R411" s="1">
        <v>100.0</v>
      </c>
      <c r="S411" s="1" t="s">
        <v>282</v>
      </c>
      <c r="T411" s="1" t="s">
        <v>422</v>
      </c>
      <c r="U411" s="1"/>
    </row>
    <row r="412">
      <c r="A412" s="218">
        <v>45187.927628101854</v>
      </c>
      <c r="B412" s="1" t="s">
        <v>125</v>
      </c>
      <c r="C412" s="1" t="s">
        <v>262</v>
      </c>
      <c r="D412" s="1">
        <v>3.0</v>
      </c>
      <c r="E412" s="1">
        <v>0.0</v>
      </c>
      <c r="F412" s="1" t="s">
        <v>1108</v>
      </c>
      <c r="G412" s="218">
        <v>45192.83333333333</v>
      </c>
      <c r="H412" s="1" t="s">
        <v>61</v>
      </c>
      <c r="I412" s="1" t="s">
        <v>1109</v>
      </c>
      <c r="J412" s="219"/>
      <c r="K412" s="219"/>
      <c r="L412" s="219"/>
      <c r="M412" s="219"/>
      <c r="N412" s="1">
        <v>90.0</v>
      </c>
      <c r="O412" s="1">
        <v>52.0</v>
      </c>
      <c r="P412" s="1">
        <v>1.0</v>
      </c>
      <c r="Q412" s="1" t="b">
        <v>1</v>
      </c>
      <c r="R412" s="1">
        <v>100.0</v>
      </c>
      <c r="S412" s="1" t="s">
        <v>355</v>
      </c>
      <c r="T412" s="1" t="s">
        <v>423</v>
      </c>
      <c r="U412" s="1"/>
    </row>
    <row r="413">
      <c r="A413" s="218">
        <v>45187.927628101854</v>
      </c>
      <c r="B413" s="1" t="s">
        <v>125</v>
      </c>
      <c r="C413" s="1" t="s">
        <v>264</v>
      </c>
      <c r="D413" s="1">
        <v>2.0</v>
      </c>
      <c r="E413" s="1">
        <v>1.0</v>
      </c>
      <c r="F413" s="1" t="s">
        <v>1057</v>
      </c>
      <c r="G413" s="218">
        <v>45192.5</v>
      </c>
      <c r="H413" s="1" t="s">
        <v>58</v>
      </c>
      <c r="I413" s="1" t="s">
        <v>76</v>
      </c>
      <c r="J413" s="219"/>
      <c r="K413" s="219"/>
      <c r="L413" s="219"/>
      <c r="M413" s="219"/>
      <c r="N413" s="1">
        <v>132.0</v>
      </c>
      <c r="O413" s="1">
        <v>61.0</v>
      </c>
      <c r="P413" s="1">
        <v>1.0</v>
      </c>
      <c r="Q413" s="1" t="b">
        <v>0</v>
      </c>
      <c r="R413" s="1">
        <v>100.0</v>
      </c>
      <c r="S413" s="1" t="s">
        <v>292</v>
      </c>
      <c r="T413" s="1" t="s">
        <v>422</v>
      </c>
      <c r="U413" s="1"/>
    </row>
    <row r="414">
      <c r="A414" s="218">
        <v>45187.927628101854</v>
      </c>
      <c r="B414" s="1" t="s">
        <v>125</v>
      </c>
      <c r="C414" s="1" t="s">
        <v>224</v>
      </c>
      <c r="D414" s="1">
        <v>3.0</v>
      </c>
      <c r="E414" s="1">
        <v>0.0</v>
      </c>
      <c r="F414" s="1" t="s">
        <v>1093</v>
      </c>
      <c r="G414" s="218">
        <v>45192.5</v>
      </c>
      <c r="H414" s="1" t="s">
        <v>70</v>
      </c>
      <c r="I414" s="1" t="s">
        <v>82</v>
      </c>
      <c r="J414" s="219"/>
      <c r="K414" s="219"/>
      <c r="L414" s="219"/>
      <c r="M414" s="219"/>
      <c r="N414" s="1">
        <v>142.0</v>
      </c>
      <c r="O414" s="1">
        <v>66.0</v>
      </c>
      <c r="P414" s="1">
        <v>1.0</v>
      </c>
      <c r="Q414" s="1" t="b">
        <v>1</v>
      </c>
      <c r="R414" s="1">
        <v>100.0</v>
      </c>
      <c r="S414" s="1" t="s">
        <v>301</v>
      </c>
      <c r="T414" s="1" t="s">
        <v>422</v>
      </c>
      <c r="U414" s="1"/>
    </row>
    <row r="415">
      <c r="A415" s="218">
        <v>45187.927628101854</v>
      </c>
      <c r="B415" s="1"/>
      <c r="C415" s="1"/>
      <c r="D415" s="1"/>
      <c r="E415" s="1"/>
      <c r="F415" s="1"/>
      <c r="G415" s="218"/>
      <c r="H415" s="1"/>
      <c r="I415" s="1"/>
      <c r="J415" s="219"/>
      <c r="K415" s="219"/>
      <c r="L415" s="219"/>
      <c r="M415" s="219"/>
      <c r="N415" s="1"/>
      <c r="O415" s="1"/>
      <c r="P415" s="1"/>
      <c r="Q415" s="1"/>
      <c r="R415" s="1"/>
      <c r="S415" s="1" t="e">
        <v>#N/A</v>
      </c>
      <c r="T415" s="1" t="e">
        <v>#N/A</v>
      </c>
      <c r="U415" s="1"/>
    </row>
    <row r="416">
      <c r="A416" s="218">
        <v>45187.927628101854</v>
      </c>
      <c r="B416" s="1" t="s">
        <v>61</v>
      </c>
      <c r="C416" s="1" t="s">
        <v>268</v>
      </c>
      <c r="D416" s="1">
        <v>2.0</v>
      </c>
      <c r="E416" s="1">
        <v>1.0</v>
      </c>
      <c r="F416" s="1" t="s">
        <v>1110</v>
      </c>
      <c r="G416" s="218">
        <v>45191.8125</v>
      </c>
      <c r="H416" s="1"/>
      <c r="I416" s="1" t="s">
        <v>76</v>
      </c>
      <c r="J416" s="219"/>
      <c r="K416" s="219"/>
      <c r="L416" s="219"/>
      <c r="M416" s="219"/>
      <c r="N416" s="1">
        <v>93.0</v>
      </c>
      <c r="O416" s="1">
        <v>66.0</v>
      </c>
      <c r="P416" s="1">
        <v>1.0</v>
      </c>
      <c r="Q416" s="1" t="b">
        <v>0</v>
      </c>
      <c r="R416" s="1">
        <v>100.0</v>
      </c>
      <c r="S416" s="1" t="s">
        <v>301</v>
      </c>
      <c r="T416" s="1" t="s">
        <v>422</v>
      </c>
      <c r="U416" s="1"/>
    </row>
    <row r="417">
      <c r="A417" s="218">
        <v>45187.927628101854</v>
      </c>
      <c r="B417" s="1" t="s">
        <v>61</v>
      </c>
      <c r="C417" s="1" t="s">
        <v>272</v>
      </c>
      <c r="D417" s="1">
        <v>1.0</v>
      </c>
      <c r="E417" s="1">
        <v>2.0</v>
      </c>
      <c r="F417" s="1" t="s">
        <v>1059</v>
      </c>
      <c r="G417" s="218">
        <v>45192.5625</v>
      </c>
      <c r="H417" s="1" t="s">
        <v>56</v>
      </c>
      <c r="I417" s="1" t="s">
        <v>935</v>
      </c>
      <c r="J417" s="219"/>
      <c r="K417" s="219"/>
      <c r="L417" s="219"/>
      <c r="M417" s="219"/>
      <c r="N417" s="1">
        <v>52.0</v>
      </c>
      <c r="O417" s="1">
        <v>106.0</v>
      </c>
      <c r="P417" s="1">
        <v>1.0</v>
      </c>
      <c r="Q417" s="1" t="b">
        <v>0</v>
      </c>
      <c r="R417" s="1">
        <v>100.0</v>
      </c>
      <c r="S417" s="1" t="s">
        <v>352</v>
      </c>
      <c r="T417" s="1" t="s">
        <v>423</v>
      </c>
      <c r="U417" s="1"/>
    </row>
    <row r="418">
      <c r="A418" s="218">
        <v>45187.927628101854</v>
      </c>
      <c r="B418" s="1" t="s">
        <v>61</v>
      </c>
      <c r="C418" s="1" t="s">
        <v>270</v>
      </c>
      <c r="D418" s="1">
        <v>1.0</v>
      </c>
      <c r="E418" s="1">
        <v>2.0</v>
      </c>
      <c r="F418" s="1" t="s">
        <v>1111</v>
      </c>
      <c r="G418" s="218">
        <v>45192.64583333333</v>
      </c>
      <c r="H418" s="1"/>
      <c r="I418" s="1" t="s">
        <v>935</v>
      </c>
      <c r="J418" s="219"/>
      <c r="K418" s="219"/>
      <c r="L418" s="219"/>
      <c r="M418" s="219"/>
      <c r="N418" s="1">
        <v>79.0</v>
      </c>
      <c r="O418" s="1">
        <v>94.0</v>
      </c>
      <c r="P418" s="1">
        <v>1.0</v>
      </c>
      <c r="Q418" s="1" t="b">
        <v>0</v>
      </c>
      <c r="R418" s="1">
        <v>100.0</v>
      </c>
      <c r="S418" s="1" t="s">
        <v>355</v>
      </c>
      <c r="T418" s="1" t="s">
        <v>423</v>
      </c>
      <c r="U418" s="1"/>
    </row>
    <row r="419">
      <c r="A419" s="218">
        <v>45187.927628101854</v>
      </c>
      <c r="B419" s="1" t="s">
        <v>61</v>
      </c>
      <c r="C419" s="1" t="s">
        <v>269</v>
      </c>
      <c r="D419" s="1">
        <v>3.0</v>
      </c>
      <c r="E419" s="1">
        <v>0.0</v>
      </c>
      <c r="F419" s="1" t="s">
        <v>1022</v>
      </c>
      <c r="G419" s="218">
        <v>45192.64583333333</v>
      </c>
      <c r="H419" s="1" t="s">
        <v>35</v>
      </c>
      <c r="I419" s="1" t="s">
        <v>82</v>
      </c>
      <c r="J419" s="219"/>
      <c r="K419" s="219"/>
      <c r="L419" s="219"/>
      <c r="M419" s="219"/>
      <c r="N419" s="1">
        <v>124.0</v>
      </c>
      <c r="O419" s="1">
        <v>91.0</v>
      </c>
      <c r="P419" s="1">
        <v>1.0</v>
      </c>
      <c r="Q419" s="1" t="b">
        <v>0</v>
      </c>
      <c r="R419" s="1">
        <v>100.0</v>
      </c>
      <c r="S419" s="1" t="s">
        <v>354</v>
      </c>
      <c r="T419" s="1" t="s">
        <v>422</v>
      </c>
      <c r="U419" s="1"/>
    </row>
    <row r="420">
      <c r="A420" s="218">
        <v>45187.927628101854</v>
      </c>
      <c r="B420" s="1" t="s">
        <v>61</v>
      </c>
      <c r="C420" s="1" t="s">
        <v>233</v>
      </c>
      <c r="D420" s="1">
        <v>2.0</v>
      </c>
      <c r="E420" s="1">
        <v>1.0</v>
      </c>
      <c r="F420" s="1" t="s">
        <v>1089</v>
      </c>
      <c r="G420" s="218">
        <v>45192.66666666667</v>
      </c>
      <c r="H420" s="1" t="s">
        <v>70</v>
      </c>
      <c r="I420" s="1" t="s">
        <v>945</v>
      </c>
      <c r="J420" s="219"/>
      <c r="K420" s="219"/>
      <c r="L420" s="219"/>
      <c r="M420" s="219"/>
      <c r="N420" s="1">
        <v>95.0</v>
      </c>
      <c r="O420" s="1">
        <v>55.0</v>
      </c>
      <c r="P420" s="1">
        <v>1.0</v>
      </c>
      <c r="Q420" s="1" t="b">
        <v>0</v>
      </c>
      <c r="R420" s="1">
        <v>100.0</v>
      </c>
      <c r="S420" s="1" t="s">
        <v>292</v>
      </c>
      <c r="T420" s="1" t="s">
        <v>422</v>
      </c>
      <c r="U420" s="1"/>
    </row>
    <row r="421">
      <c r="A421" s="218">
        <v>45187.927628101854</v>
      </c>
      <c r="B421" s="1" t="s">
        <v>61</v>
      </c>
      <c r="C421" s="1" t="s">
        <v>267</v>
      </c>
      <c r="D421" s="1">
        <v>2.0</v>
      </c>
      <c r="E421" s="1">
        <v>1.0</v>
      </c>
      <c r="F421" s="1" t="s">
        <v>1061</v>
      </c>
      <c r="G421" s="218">
        <v>45192.66666666667</v>
      </c>
      <c r="H421" s="1" t="s">
        <v>56</v>
      </c>
      <c r="I421" s="1" t="s">
        <v>96</v>
      </c>
      <c r="J421" s="219"/>
      <c r="K421" s="219"/>
      <c r="L421" s="219"/>
      <c r="M421" s="219"/>
      <c r="N421" s="1">
        <v>61.0</v>
      </c>
      <c r="O421" s="1">
        <v>61.0</v>
      </c>
      <c r="P421" s="1">
        <v>1.0</v>
      </c>
      <c r="Q421" s="1" t="b">
        <v>0</v>
      </c>
      <c r="R421" s="1">
        <v>100.0</v>
      </c>
      <c r="S421" s="1" t="s">
        <v>296</v>
      </c>
      <c r="T421" s="1" t="s">
        <v>422</v>
      </c>
      <c r="U421" s="1"/>
    </row>
    <row r="422">
      <c r="A422" s="218">
        <v>45187.927628101854</v>
      </c>
      <c r="B422" s="1" t="s">
        <v>61</v>
      </c>
      <c r="C422" s="1" t="s">
        <v>228</v>
      </c>
      <c r="D422" s="1">
        <v>1.0</v>
      </c>
      <c r="E422" s="1">
        <v>2.0</v>
      </c>
      <c r="F422" s="1" t="s">
        <v>1052</v>
      </c>
      <c r="G422" s="218">
        <v>45192.79166666667</v>
      </c>
      <c r="H422" s="1" t="s">
        <v>58</v>
      </c>
      <c r="I422" s="1" t="s">
        <v>935</v>
      </c>
      <c r="J422" s="219"/>
      <c r="K422" s="219"/>
      <c r="L422" s="219"/>
      <c r="M422" s="219"/>
      <c r="N422" s="1">
        <v>61.0</v>
      </c>
      <c r="O422" s="1">
        <v>93.0</v>
      </c>
      <c r="P422" s="1">
        <v>1.0</v>
      </c>
      <c r="Q422" s="1" t="b">
        <v>1</v>
      </c>
      <c r="R422" s="1">
        <v>100.0</v>
      </c>
      <c r="S422" s="1" t="s">
        <v>351</v>
      </c>
      <c r="T422" s="1" t="s">
        <v>423</v>
      </c>
      <c r="U422" s="1"/>
    </row>
    <row r="423">
      <c r="A423" s="218">
        <v>45187.927628101854</v>
      </c>
      <c r="B423" s="1" t="s">
        <v>61</v>
      </c>
      <c r="C423" s="1" t="s">
        <v>271</v>
      </c>
      <c r="D423" s="1">
        <v>1.0</v>
      </c>
      <c r="E423" s="1">
        <v>2.0</v>
      </c>
      <c r="F423" s="1" t="s">
        <v>1031</v>
      </c>
      <c r="G423" s="218">
        <v>45192.8125</v>
      </c>
      <c r="H423" s="1" t="s">
        <v>35</v>
      </c>
      <c r="I423" s="1" t="s">
        <v>36</v>
      </c>
      <c r="J423" s="219"/>
      <c r="K423" s="219"/>
      <c r="L423" s="219"/>
      <c r="M423" s="219"/>
      <c r="N423" s="1">
        <v>91.0</v>
      </c>
      <c r="O423" s="1">
        <v>96.0</v>
      </c>
      <c r="P423" s="1">
        <v>1.0</v>
      </c>
      <c r="Q423" s="1" t="b">
        <v>1</v>
      </c>
      <c r="R423" s="1">
        <v>100.0</v>
      </c>
      <c r="S423" s="1" t="s">
        <v>407</v>
      </c>
      <c r="T423" s="1" t="s">
        <v>423</v>
      </c>
      <c r="U423" s="1"/>
    </row>
    <row r="424">
      <c r="A424" s="218">
        <v>45187.927628101854</v>
      </c>
      <c r="B424" s="1" t="s">
        <v>61</v>
      </c>
      <c r="C424" s="1" t="s">
        <v>266</v>
      </c>
      <c r="D424" s="1">
        <v>3.0</v>
      </c>
      <c r="E424" s="1">
        <v>0.0</v>
      </c>
      <c r="F424" s="1" t="s">
        <v>1065</v>
      </c>
      <c r="G424" s="218">
        <v>45192.8125</v>
      </c>
      <c r="H424" s="1" t="s">
        <v>56</v>
      </c>
      <c r="I424" s="1" t="s">
        <v>86</v>
      </c>
      <c r="J424" s="219"/>
      <c r="K424" s="219"/>
      <c r="L424" s="219"/>
      <c r="M424" s="219"/>
      <c r="N424" s="1">
        <v>85.0</v>
      </c>
      <c r="O424" s="1">
        <v>37.0</v>
      </c>
      <c r="P424" s="1">
        <v>1.0</v>
      </c>
      <c r="Q424" s="1" t="b">
        <v>0</v>
      </c>
      <c r="R424" s="1">
        <v>100.0</v>
      </c>
      <c r="S424" s="1" t="s">
        <v>282</v>
      </c>
      <c r="T424" s="1" t="s">
        <v>422</v>
      </c>
      <c r="U424" s="1"/>
    </row>
    <row r="425">
      <c r="A425" s="218">
        <v>45194.927627638885</v>
      </c>
      <c r="B425" s="1" t="s">
        <v>35</v>
      </c>
      <c r="C425" s="1" t="s">
        <v>81</v>
      </c>
      <c r="D425" s="1">
        <v>2.0</v>
      </c>
      <c r="E425" s="1">
        <v>2.0</v>
      </c>
      <c r="F425" s="1" t="s">
        <v>1112</v>
      </c>
      <c r="G425" s="218">
        <v>45197.8125</v>
      </c>
      <c r="H425" s="1" t="s">
        <v>57</v>
      </c>
      <c r="I425" s="1" t="s">
        <v>76</v>
      </c>
      <c r="J425" s="219"/>
      <c r="K425" s="219"/>
      <c r="L425" s="219"/>
      <c r="M425" s="219"/>
      <c r="N425" s="1">
        <v>79.0</v>
      </c>
      <c r="O425" s="1">
        <v>107.0</v>
      </c>
      <c r="P425" s="1">
        <v>1.0</v>
      </c>
      <c r="Q425" s="1" t="b">
        <v>0</v>
      </c>
      <c r="R425" s="1">
        <v>100.0</v>
      </c>
      <c r="S425" s="1" t="s">
        <v>407</v>
      </c>
      <c r="T425" s="1" t="s">
        <v>423</v>
      </c>
      <c r="U425" s="1"/>
    </row>
    <row r="426">
      <c r="A426" s="218">
        <v>45194.927627638885</v>
      </c>
      <c r="B426" s="1" t="s">
        <v>35</v>
      </c>
      <c r="C426" s="1" t="s">
        <v>78</v>
      </c>
      <c r="D426" s="1">
        <v>0.0</v>
      </c>
      <c r="E426" s="1">
        <v>3.0</v>
      </c>
      <c r="F426" s="1" t="s">
        <v>1113</v>
      </c>
      <c r="G426" s="218">
        <v>45197.83333333333</v>
      </c>
      <c r="H426" s="1" t="s">
        <v>125</v>
      </c>
      <c r="I426" s="1" t="s">
        <v>40</v>
      </c>
      <c r="J426" s="219"/>
      <c r="K426" s="219"/>
      <c r="L426" s="219"/>
      <c r="M426" s="219"/>
      <c r="N426" s="1">
        <v>10.0</v>
      </c>
      <c r="O426" s="1">
        <v>65.0</v>
      </c>
      <c r="P426" s="1">
        <v>1.0</v>
      </c>
      <c r="Q426" s="1" t="b">
        <v>1</v>
      </c>
      <c r="R426" s="1">
        <v>100.0</v>
      </c>
      <c r="S426" s="1" t="s">
        <v>351</v>
      </c>
      <c r="T426" s="1" t="s">
        <v>423</v>
      </c>
      <c r="U426" s="1"/>
    </row>
    <row r="427">
      <c r="A427" s="218">
        <v>45194.927627638885</v>
      </c>
      <c r="B427" s="1" t="s">
        <v>35</v>
      </c>
      <c r="C427" s="1" t="s">
        <v>75</v>
      </c>
      <c r="D427" s="1">
        <v>1.0</v>
      </c>
      <c r="E427" s="1">
        <v>3.0</v>
      </c>
      <c r="F427" s="1" t="s">
        <v>1114</v>
      </c>
      <c r="G427" s="218">
        <v>45199.60416666667</v>
      </c>
      <c r="H427" s="1" t="s">
        <v>62</v>
      </c>
      <c r="I427" s="1" t="s">
        <v>935</v>
      </c>
      <c r="J427" s="219">
        <v>28.5</v>
      </c>
      <c r="K427" s="219">
        <v>27.5</v>
      </c>
      <c r="L427" s="219">
        <v>1600.0</v>
      </c>
      <c r="M427" s="219" t="s">
        <v>151</v>
      </c>
      <c r="N427" s="1">
        <v>60.0</v>
      </c>
      <c r="O427" s="1">
        <v>147.0</v>
      </c>
      <c r="P427" s="1">
        <v>1.0</v>
      </c>
      <c r="Q427" s="1" t="b">
        <v>1</v>
      </c>
      <c r="R427" s="1">
        <v>100.0</v>
      </c>
      <c r="S427" s="1" t="s">
        <v>352</v>
      </c>
      <c r="T427" s="1" t="s">
        <v>423</v>
      </c>
      <c r="U427" s="1"/>
    </row>
    <row r="428">
      <c r="A428" s="218">
        <v>45194.927627638885</v>
      </c>
      <c r="B428" s="1" t="s">
        <v>35</v>
      </c>
      <c r="C428" s="1" t="s">
        <v>63</v>
      </c>
      <c r="D428" s="1">
        <v>4.0</v>
      </c>
      <c r="E428" s="1">
        <v>0.0</v>
      </c>
      <c r="F428" s="1" t="s">
        <v>1115</v>
      </c>
      <c r="G428" s="218">
        <v>45199.64583333333</v>
      </c>
      <c r="H428" s="1" t="s">
        <v>58</v>
      </c>
      <c r="I428" s="1" t="s">
        <v>86</v>
      </c>
      <c r="J428" s="219"/>
      <c r="K428" s="219"/>
      <c r="L428" s="219"/>
      <c r="M428" s="219"/>
      <c r="N428" s="1">
        <v>166.0</v>
      </c>
      <c r="O428" s="1">
        <v>45.0</v>
      </c>
      <c r="P428" s="1">
        <v>1.0</v>
      </c>
      <c r="Q428" s="1" t="b">
        <v>1</v>
      </c>
      <c r="R428" s="1">
        <v>100.0</v>
      </c>
      <c r="S428" s="1" t="s">
        <v>292</v>
      </c>
      <c r="T428" s="1" t="s">
        <v>422</v>
      </c>
      <c r="U428" s="1"/>
    </row>
    <row r="429">
      <c r="A429" s="218">
        <v>45194.927627638885</v>
      </c>
      <c r="B429" s="1" t="s">
        <v>35</v>
      </c>
      <c r="C429" s="1" t="s">
        <v>80</v>
      </c>
      <c r="D429" s="1">
        <v>2.0</v>
      </c>
      <c r="E429" s="1">
        <v>2.0</v>
      </c>
      <c r="F429" s="1" t="s">
        <v>1116</v>
      </c>
      <c r="G429" s="218">
        <v>45199.64583333333</v>
      </c>
      <c r="H429" s="1" t="s">
        <v>59</v>
      </c>
      <c r="I429" s="1" t="s">
        <v>92</v>
      </c>
      <c r="J429" s="219"/>
      <c r="K429" s="219"/>
      <c r="L429" s="219"/>
      <c r="M429" s="219"/>
      <c r="N429" s="1">
        <v>87.0</v>
      </c>
      <c r="O429" s="1">
        <v>74.0</v>
      </c>
      <c r="P429" s="1">
        <v>1.0</v>
      </c>
      <c r="Q429" s="1" t="b">
        <v>0</v>
      </c>
      <c r="R429" s="1">
        <v>100.0</v>
      </c>
      <c r="S429" s="1" t="s">
        <v>282</v>
      </c>
      <c r="T429" s="1" t="s">
        <v>422</v>
      </c>
      <c r="U429" s="1"/>
    </row>
    <row r="430">
      <c r="A430" s="218">
        <v>45194.927627638885</v>
      </c>
      <c r="B430" s="1" t="s">
        <v>35</v>
      </c>
      <c r="C430" s="1" t="s">
        <v>88</v>
      </c>
      <c r="D430" s="1">
        <v>2.0</v>
      </c>
      <c r="E430" s="1">
        <v>2.0</v>
      </c>
      <c r="F430" s="1" t="s">
        <v>1117</v>
      </c>
      <c r="G430" s="218">
        <v>45199.66666666667</v>
      </c>
      <c r="H430" s="1" t="s">
        <v>46</v>
      </c>
      <c r="I430" s="1" t="s">
        <v>942</v>
      </c>
      <c r="J430" s="219"/>
      <c r="K430" s="219"/>
      <c r="L430" s="219"/>
      <c r="M430" s="219"/>
      <c r="N430" s="1">
        <v>117.0</v>
      </c>
      <c r="O430" s="1">
        <v>120.0</v>
      </c>
      <c r="P430" s="1">
        <v>1.0</v>
      </c>
      <c r="Q430" s="1" t="b">
        <v>1</v>
      </c>
      <c r="R430" s="1">
        <v>100.0</v>
      </c>
      <c r="S430" s="1" t="s">
        <v>353</v>
      </c>
      <c r="T430" s="1" t="s">
        <v>423</v>
      </c>
      <c r="U430" s="1"/>
    </row>
    <row r="431">
      <c r="A431" s="218">
        <v>45194.927627638885</v>
      </c>
      <c r="B431" s="1" t="s">
        <v>35</v>
      </c>
      <c r="C431" s="1" t="s">
        <v>38</v>
      </c>
      <c r="D431" s="1">
        <v>4.0</v>
      </c>
      <c r="E431" s="1">
        <v>0.0</v>
      </c>
      <c r="F431" s="1" t="s">
        <v>1118</v>
      </c>
      <c r="G431" s="218">
        <v>45199.77083333333</v>
      </c>
      <c r="H431" s="1" t="s">
        <v>70</v>
      </c>
      <c r="I431" s="1" t="s">
        <v>287</v>
      </c>
      <c r="J431" s="219"/>
      <c r="K431" s="219"/>
      <c r="L431" s="219"/>
      <c r="M431" s="219"/>
      <c r="N431" s="1">
        <v>216.0</v>
      </c>
      <c r="O431" s="1">
        <v>53.0</v>
      </c>
      <c r="P431" s="1">
        <v>1.0</v>
      </c>
      <c r="Q431" s="1" t="b">
        <v>0</v>
      </c>
      <c r="R431" s="1">
        <v>100.0</v>
      </c>
      <c r="S431" s="1" t="s">
        <v>354</v>
      </c>
      <c r="T431" s="1" t="s">
        <v>422</v>
      </c>
      <c r="U431" s="1"/>
    </row>
    <row r="432">
      <c r="A432" s="218">
        <v>45194.927627638885</v>
      </c>
      <c r="B432" s="1" t="s">
        <v>35</v>
      </c>
      <c r="C432" s="1" t="s">
        <v>71</v>
      </c>
      <c r="D432" s="1">
        <v>2.0</v>
      </c>
      <c r="E432" s="1">
        <v>2.0</v>
      </c>
      <c r="F432" s="1" t="s">
        <v>1119</v>
      </c>
      <c r="G432" s="218">
        <v>45199.83333333333</v>
      </c>
      <c r="H432" s="1" t="s">
        <v>67</v>
      </c>
      <c r="I432" s="1" t="s">
        <v>935</v>
      </c>
      <c r="J432" s="219"/>
      <c r="K432" s="219"/>
      <c r="L432" s="219"/>
      <c r="M432" s="219"/>
      <c r="N432" s="1">
        <v>141.0</v>
      </c>
      <c r="O432" s="1">
        <v>114.0</v>
      </c>
      <c r="P432" s="1">
        <v>1.0</v>
      </c>
      <c r="Q432" s="1" t="b">
        <v>1</v>
      </c>
      <c r="R432" s="1">
        <v>100.0</v>
      </c>
      <c r="S432" s="1" t="s">
        <v>355</v>
      </c>
      <c r="T432" s="1" t="s">
        <v>423</v>
      </c>
      <c r="U432" s="1"/>
    </row>
    <row r="433">
      <c r="A433" s="218">
        <v>45194.927627638885</v>
      </c>
      <c r="B433" s="1" t="s">
        <v>35</v>
      </c>
      <c r="C433" s="1" t="s">
        <v>74</v>
      </c>
      <c r="D433" s="1">
        <v>3.0</v>
      </c>
      <c r="E433" s="1">
        <v>1.0</v>
      </c>
      <c r="F433" s="1"/>
      <c r="G433" s="218"/>
      <c r="H433" s="1"/>
      <c r="I433" s="1"/>
      <c r="J433" s="219"/>
      <c r="K433" s="219"/>
      <c r="L433" s="219"/>
      <c r="M433" s="219"/>
      <c r="N433" s="1">
        <v>158.0</v>
      </c>
      <c r="O433" s="1">
        <v>74.0</v>
      </c>
      <c r="P433" s="1">
        <v>3.0</v>
      </c>
      <c r="Q433" s="1" t="b">
        <v>1</v>
      </c>
      <c r="R433" s="1">
        <v>100.0</v>
      </c>
      <c r="S433" s="1" t="s">
        <v>296</v>
      </c>
      <c r="T433" s="1" t="s">
        <v>422</v>
      </c>
      <c r="U433" s="1"/>
    </row>
    <row r="434">
      <c r="A434" s="218">
        <v>45194.927627638885</v>
      </c>
      <c r="B434" s="1" t="s">
        <v>35</v>
      </c>
      <c r="C434" s="1" t="s">
        <v>79</v>
      </c>
      <c r="D434" s="1">
        <v>4.0</v>
      </c>
      <c r="E434" s="1">
        <v>0.0</v>
      </c>
      <c r="F434" s="1"/>
      <c r="G434" s="218"/>
      <c r="H434" s="1"/>
      <c r="I434" s="1"/>
      <c r="J434" s="219"/>
      <c r="K434" s="219"/>
      <c r="L434" s="219"/>
      <c r="M434" s="219"/>
      <c r="N434" s="1">
        <v>175.0</v>
      </c>
      <c r="O434" s="1">
        <v>50.0</v>
      </c>
      <c r="P434" s="1">
        <v>3.0</v>
      </c>
      <c r="Q434" s="1" t="b">
        <v>1</v>
      </c>
      <c r="R434" s="1">
        <v>100.0</v>
      </c>
      <c r="S434" s="1" t="s">
        <v>301</v>
      </c>
      <c r="T434" s="1" t="s">
        <v>422</v>
      </c>
      <c r="U434" s="1"/>
    </row>
    <row r="435">
      <c r="A435" s="218">
        <v>45194.927627638885</v>
      </c>
      <c r="B435" s="1"/>
      <c r="C435" s="1"/>
      <c r="D435" s="1"/>
      <c r="E435" s="1"/>
      <c r="F435" s="1"/>
      <c r="G435" s="218"/>
      <c r="H435" s="1"/>
      <c r="I435" s="1"/>
      <c r="J435" s="219"/>
      <c r="K435" s="219"/>
      <c r="L435" s="219"/>
      <c r="M435" s="219"/>
      <c r="N435" s="1"/>
      <c r="O435" s="1"/>
      <c r="P435" s="1"/>
      <c r="Q435" s="1"/>
      <c r="R435" s="1"/>
      <c r="S435" s="1" t="e">
        <v>#N/A</v>
      </c>
      <c r="T435" s="1" t="e">
        <v>#N/A</v>
      </c>
      <c r="U435" s="1"/>
    </row>
    <row r="436">
      <c r="A436" s="218">
        <v>45194.927627638885</v>
      </c>
      <c r="B436" s="1" t="s">
        <v>58</v>
      </c>
      <c r="C436" s="1" t="s">
        <v>119</v>
      </c>
      <c r="D436" s="1">
        <v>3.0</v>
      </c>
      <c r="E436" s="1">
        <v>1.0</v>
      </c>
      <c r="F436" s="1" t="s">
        <v>1120</v>
      </c>
      <c r="G436" s="218">
        <v>45198.92708333333</v>
      </c>
      <c r="H436" s="1" t="s">
        <v>62</v>
      </c>
      <c r="I436" s="1" t="s">
        <v>76</v>
      </c>
      <c r="J436" s="219"/>
      <c r="K436" s="219"/>
      <c r="L436" s="219"/>
      <c r="M436" s="219"/>
      <c r="N436" s="1">
        <v>120.0</v>
      </c>
      <c r="O436" s="1">
        <v>85.0</v>
      </c>
      <c r="P436" s="1">
        <v>1.0</v>
      </c>
      <c r="Q436" s="1" t="b">
        <v>1</v>
      </c>
      <c r="R436" s="1">
        <v>100.0</v>
      </c>
      <c r="S436" s="1" t="s">
        <v>296</v>
      </c>
      <c r="T436" s="1" t="s">
        <v>422</v>
      </c>
      <c r="U436" s="1"/>
    </row>
    <row r="437">
      <c r="A437" s="218">
        <v>45194.927627638885</v>
      </c>
      <c r="B437" s="1" t="s">
        <v>58</v>
      </c>
      <c r="C437" s="1" t="s">
        <v>112</v>
      </c>
      <c r="D437" s="1">
        <v>3.0</v>
      </c>
      <c r="E437" s="1">
        <v>1.0</v>
      </c>
      <c r="F437" s="1" t="s">
        <v>1115</v>
      </c>
      <c r="G437" s="218">
        <v>45199.64583333333</v>
      </c>
      <c r="H437" s="1" t="s">
        <v>35</v>
      </c>
      <c r="I437" s="1" t="s">
        <v>86</v>
      </c>
      <c r="J437" s="219"/>
      <c r="K437" s="219"/>
      <c r="L437" s="219"/>
      <c r="M437" s="219"/>
      <c r="N437" s="1">
        <v>128.0</v>
      </c>
      <c r="O437" s="1">
        <v>64.0</v>
      </c>
      <c r="P437" s="1">
        <v>1.0</v>
      </c>
      <c r="Q437" s="1" t="b">
        <v>0</v>
      </c>
      <c r="R437" s="1">
        <v>100.0</v>
      </c>
      <c r="S437" s="1" t="s">
        <v>292</v>
      </c>
      <c r="T437" s="1" t="s">
        <v>422</v>
      </c>
      <c r="U437" s="1"/>
    </row>
    <row r="438">
      <c r="A438" s="218">
        <v>45194.927627638885</v>
      </c>
      <c r="B438" s="1" t="s">
        <v>58</v>
      </c>
      <c r="C438" s="1" t="s">
        <v>111</v>
      </c>
      <c r="D438" s="1">
        <v>3.0</v>
      </c>
      <c r="E438" s="1">
        <v>0.0</v>
      </c>
      <c r="F438" s="1" t="s">
        <v>1121</v>
      </c>
      <c r="G438" s="218">
        <v>45199.64583333333</v>
      </c>
      <c r="H438" s="1" t="s">
        <v>61</v>
      </c>
      <c r="I438" s="1" t="s">
        <v>935</v>
      </c>
      <c r="J438" s="219"/>
      <c r="K438" s="219"/>
      <c r="L438" s="219"/>
      <c r="M438" s="219"/>
      <c r="N438" s="1">
        <v>76.0</v>
      </c>
      <c r="O438" s="1">
        <v>47.0</v>
      </c>
      <c r="P438" s="1">
        <v>1.0</v>
      </c>
      <c r="Q438" s="1" t="b">
        <v>0</v>
      </c>
      <c r="R438" s="1">
        <v>100.0</v>
      </c>
      <c r="S438" s="1" t="s">
        <v>355</v>
      </c>
      <c r="T438" s="1" t="s">
        <v>423</v>
      </c>
      <c r="U438" s="1"/>
    </row>
    <row r="439">
      <c r="A439" s="218">
        <v>45194.927627638885</v>
      </c>
      <c r="B439" s="1" t="s">
        <v>58</v>
      </c>
      <c r="C439" s="1" t="s">
        <v>117</v>
      </c>
      <c r="D439" s="1">
        <v>1.0</v>
      </c>
      <c r="E439" s="1">
        <v>3.0</v>
      </c>
      <c r="F439" s="1" t="s">
        <v>1122</v>
      </c>
      <c r="G439" s="218">
        <v>45199.64583333333</v>
      </c>
      <c r="H439" s="1" t="s">
        <v>56</v>
      </c>
      <c r="I439" s="1" t="s">
        <v>40</v>
      </c>
      <c r="J439" s="219"/>
      <c r="K439" s="219"/>
      <c r="L439" s="219"/>
      <c r="M439" s="219"/>
      <c r="N439" s="1">
        <v>63.0</v>
      </c>
      <c r="O439" s="1">
        <v>95.0</v>
      </c>
      <c r="P439" s="1">
        <v>1.0</v>
      </c>
      <c r="Q439" s="1" t="b">
        <v>1</v>
      </c>
      <c r="R439" s="1">
        <v>100.0</v>
      </c>
      <c r="S439" s="1" t="s">
        <v>352</v>
      </c>
      <c r="T439" s="1" t="s">
        <v>423</v>
      </c>
      <c r="U439" s="1"/>
    </row>
    <row r="440">
      <c r="A440" s="218">
        <v>45194.927627638885</v>
      </c>
      <c r="B440" s="1" t="s">
        <v>58</v>
      </c>
      <c r="C440" s="1" t="s">
        <v>118</v>
      </c>
      <c r="D440" s="1">
        <v>3.0</v>
      </c>
      <c r="E440" s="1">
        <v>1.0</v>
      </c>
      <c r="F440" s="1" t="s">
        <v>1123</v>
      </c>
      <c r="G440" s="218">
        <v>45199.66666666667</v>
      </c>
      <c r="H440" s="1" t="s">
        <v>59</v>
      </c>
      <c r="I440" s="1" t="s">
        <v>36</v>
      </c>
      <c r="J440" s="219">
        <v>6.5</v>
      </c>
      <c r="K440" s="219">
        <v>6.5</v>
      </c>
      <c r="L440" s="219">
        <v>-230.0</v>
      </c>
      <c r="M440" s="219" t="s">
        <v>73</v>
      </c>
      <c r="N440" s="1">
        <v>148.0</v>
      </c>
      <c r="O440" s="1">
        <v>75.0</v>
      </c>
      <c r="P440" s="1">
        <v>1.0</v>
      </c>
      <c r="Q440" s="1" t="b">
        <v>1</v>
      </c>
      <c r="R440" s="1">
        <v>100.0</v>
      </c>
      <c r="S440" s="1" t="s">
        <v>407</v>
      </c>
      <c r="T440" s="1" t="s">
        <v>423</v>
      </c>
      <c r="U440" s="1"/>
    </row>
    <row r="441">
      <c r="A441" s="218">
        <v>45194.927627638885</v>
      </c>
      <c r="B441" s="1" t="s">
        <v>58</v>
      </c>
      <c r="C441" s="1" t="s">
        <v>105</v>
      </c>
      <c r="D441" s="1">
        <v>1.0</v>
      </c>
      <c r="E441" s="1">
        <v>2.0</v>
      </c>
      <c r="F441" s="1" t="s">
        <v>1124</v>
      </c>
      <c r="G441" s="218">
        <v>45199.79166666667</v>
      </c>
      <c r="H441" s="1"/>
      <c r="I441" s="1" t="s">
        <v>942</v>
      </c>
      <c r="J441" s="219"/>
      <c r="K441" s="219"/>
      <c r="L441" s="219"/>
      <c r="M441" s="219"/>
      <c r="N441" s="1">
        <v>90.0</v>
      </c>
      <c r="O441" s="1">
        <v>116.0</v>
      </c>
      <c r="P441" s="1">
        <v>1.0</v>
      </c>
      <c r="Q441" s="1" t="b">
        <v>0</v>
      </c>
      <c r="R441" s="1">
        <v>100.0</v>
      </c>
      <c r="S441" s="1" t="s">
        <v>353</v>
      </c>
      <c r="T441" s="1" t="s">
        <v>423</v>
      </c>
      <c r="U441" s="1"/>
    </row>
    <row r="442">
      <c r="A442" s="218">
        <v>45194.927627638885</v>
      </c>
      <c r="B442" s="1" t="s">
        <v>58</v>
      </c>
      <c r="C442" s="1" t="s">
        <v>113</v>
      </c>
      <c r="D442" s="1">
        <v>1.0</v>
      </c>
      <c r="E442" s="1">
        <v>3.0</v>
      </c>
      <c r="F442" s="1" t="s">
        <v>1125</v>
      </c>
      <c r="G442" s="218">
        <v>45199.83333333333</v>
      </c>
      <c r="H442" s="1" t="s">
        <v>69</v>
      </c>
      <c r="I442" s="1" t="s">
        <v>900</v>
      </c>
      <c r="J442" s="219"/>
      <c r="K442" s="219"/>
      <c r="L442" s="219"/>
      <c r="M442" s="219"/>
      <c r="N442" s="1">
        <v>86.0</v>
      </c>
      <c r="O442" s="1">
        <v>100.0</v>
      </c>
      <c r="P442" s="1">
        <v>1.0</v>
      </c>
      <c r="Q442" s="1" t="b">
        <v>1</v>
      </c>
      <c r="R442" s="1">
        <v>100.0</v>
      </c>
      <c r="S442" s="1" t="s">
        <v>301</v>
      </c>
      <c r="T442" s="1" t="s">
        <v>422</v>
      </c>
      <c r="U442" s="1"/>
    </row>
    <row r="443">
      <c r="A443" s="218">
        <v>45194.927627638885</v>
      </c>
      <c r="B443" s="1" t="s">
        <v>58</v>
      </c>
      <c r="C443" s="1" t="s">
        <v>116</v>
      </c>
      <c r="D443" s="1">
        <v>2.0</v>
      </c>
      <c r="E443" s="1">
        <v>2.0</v>
      </c>
      <c r="F443" s="1" t="s">
        <v>1126</v>
      </c>
      <c r="G443" s="218">
        <v>45199.5</v>
      </c>
      <c r="H443" s="1" t="s">
        <v>60</v>
      </c>
      <c r="I443" s="1" t="s">
        <v>888</v>
      </c>
      <c r="J443" s="219"/>
      <c r="K443" s="219"/>
      <c r="L443" s="219"/>
      <c r="M443" s="219"/>
      <c r="N443" s="1">
        <v>85.0</v>
      </c>
      <c r="O443" s="1">
        <v>84.0</v>
      </c>
      <c r="P443" s="1">
        <v>1.0</v>
      </c>
      <c r="Q443" s="1" t="b">
        <v>1</v>
      </c>
      <c r="R443" s="1">
        <v>100.0</v>
      </c>
      <c r="S443" s="1" t="s">
        <v>282</v>
      </c>
      <c r="T443" s="1" t="s">
        <v>422</v>
      </c>
      <c r="U443" s="1"/>
    </row>
    <row r="444">
      <c r="A444" s="218">
        <v>45194.927627638885</v>
      </c>
      <c r="B444" s="1" t="s">
        <v>58</v>
      </c>
      <c r="C444" s="1" t="s">
        <v>102</v>
      </c>
      <c r="D444" s="1">
        <v>4.0</v>
      </c>
      <c r="E444" s="1">
        <v>0.0</v>
      </c>
      <c r="F444" s="1"/>
      <c r="G444" s="218"/>
      <c r="H444" s="1"/>
      <c r="I444" s="1"/>
      <c r="J444" s="219"/>
      <c r="K444" s="219"/>
      <c r="L444" s="219"/>
      <c r="M444" s="219"/>
      <c r="N444" s="1">
        <v>160.0</v>
      </c>
      <c r="O444" s="1">
        <v>74.0</v>
      </c>
      <c r="P444" s="1">
        <v>3.0</v>
      </c>
      <c r="Q444" s="1" t="b">
        <v>1</v>
      </c>
      <c r="R444" s="1">
        <v>100.0</v>
      </c>
      <c r="S444" s="1" t="s">
        <v>351</v>
      </c>
      <c r="T444" s="1" t="s">
        <v>423</v>
      </c>
      <c r="U444" s="1"/>
    </row>
    <row r="445">
      <c r="A445" s="218">
        <v>45194.927627638885</v>
      </c>
      <c r="B445" s="1" t="s">
        <v>58</v>
      </c>
      <c r="C445" s="1" t="s">
        <v>109</v>
      </c>
      <c r="D445" s="1">
        <v>3.0</v>
      </c>
      <c r="E445" s="1">
        <v>1.0</v>
      </c>
      <c r="F445" s="1"/>
      <c r="G445" s="218"/>
      <c r="H445" s="1"/>
      <c r="I445" s="1"/>
      <c r="J445" s="219"/>
      <c r="K445" s="219"/>
      <c r="L445" s="219"/>
      <c r="M445" s="219"/>
      <c r="N445" s="1">
        <v>128.0</v>
      </c>
      <c r="O445" s="1">
        <v>44.0</v>
      </c>
      <c r="P445" s="1">
        <v>3.0</v>
      </c>
      <c r="Q445" s="1" t="b">
        <v>1</v>
      </c>
      <c r="R445" s="1">
        <v>100.0</v>
      </c>
      <c r="S445" s="1" t="s">
        <v>354</v>
      </c>
      <c r="T445" s="1" t="s">
        <v>422</v>
      </c>
      <c r="U445" s="1"/>
    </row>
    <row r="446">
      <c r="A446" s="218">
        <v>45194.927627638885</v>
      </c>
      <c r="B446" s="1"/>
      <c r="C446" s="1"/>
      <c r="D446" s="1"/>
      <c r="E446" s="1"/>
      <c r="F446" s="1"/>
      <c r="G446" s="218"/>
      <c r="H446" s="1"/>
      <c r="I446" s="1"/>
      <c r="J446" s="219"/>
      <c r="K446" s="219"/>
      <c r="L446" s="219"/>
      <c r="M446" s="219"/>
      <c r="N446" s="1"/>
      <c r="O446" s="1"/>
      <c r="P446" s="1"/>
      <c r="Q446" s="1"/>
      <c r="R446" s="1"/>
      <c r="S446" s="1" t="e">
        <v>#N/A</v>
      </c>
      <c r="T446" s="1" t="e">
        <v>#N/A</v>
      </c>
      <c r="U446" s="1"/>
    </row>
    <row r="447">
      <c r="A447" s="218">
        <v>45194.927627638885</v>
      </c>
      <c r="B447" s="1" t="s">
        <v>56</v>
      </c>
      <c r="C447" s="1" t="s">
        <v>120</v>
      </c>
      <c r="D447" s="1">
        <v>3.0</v>
      </c>
      <c r="E447" s="1">
        <v>1.0</v>
      </c>
      <c r="F447" s="1" t="s">
        <v>1122</v>
      </c>
      <c r="G447" s="218">
        <v>45199.64583333333</v>
      </c>
      <c r="H447" s="1" t="s">
        <v>58</v>
      </c>
      <c r="I447" s="1" t="s">
        <v>40</v>
      </c>
      <c r="J447" s="219"/>
      <c r="K447" s="219"/>
      <c r="L447" s="219"/>
      <c r="M447" s="219"/>
      <c r="N447" s="1">
        <v>169.0</v>
      </c>
      <c r="O447" s="1">
        <v>81.0</v>
      </c>
      <c r="P447" s="1">
        <v>1.0</v>
      </c>
      <c r="Q447" s="1" t="b">
        <v>0</v>
      </c>
      <c r="R447" s="1">
        <v>100.0</v>
      </c>
      <c r="S447" s="1" t="s">
        <v>352</v>
      </c>
      <c r="T447" s="1" t="s">
        <v>423</v>
      </c>
      <c r="U447" s="1"/>
    </row>
    <row r="448">
      <c r="A448" s="218">
        <v>45194.927627638885</v>
      </c>
      <c r="B448" s="1" t="s">
        <v>56</v>
      </c>
      <c r="C448" s="1" t="s">
        <v>126</v>
      </c>
      <c r="D448" s="1">
        <v>3.0</v>
      </c>
      <c r="E448" s="1">
        <v>1.0</v>
      </c>
      <c r="F448" s="1" t="s">
        <v>1127</v>
      </c>
      <c r="G448" s="218">
        <v>45199.79166666667</v>
      </c>
      <c r="H448" s="1" t="s">
        <v>70</v>
      </c>
      <c r="I448" s="1" t="s">
        <v>935</v>
      </c>
      <c r="J448" s="219"/>
      <c r="K448" s="219"/>
      <c r="L448" s="219"/>
      <c r="M448" s="219"/>
      <c r="N448" s="1">
        <v>167.0</v>
      </c>
      <c r="O448" s="1">
        <v>109.0</v>
      </c>
      <c r="P448" s="1">
        <v>1.0</v>
      </c>
      <c r="Q448" s="1" t="b">
        <v>0</v>
      </c>
      <c r="R448" s="1">
        <v>100.0</v>
      </c>
      <c r="S448" s="1" t="s">
        <v>355</v>
      </c>
      <c r="T448" s="1" t="s">
        <v>423</v>
      </c>
      <c r="U448" s="1"/>
    </row>
    <row r="449">
      <c r="A449" s="218">
        <v>45194.927627638885</v>
      </c>
      <c r="B449" s="1" t="s">
        <v>56</v>
      </c>
      <c r="C449" s="1" t="s">
        <v>124</v>
      </c>
      <c r="D449" s="1">
        <v>2.0</v>
      </c>
      <c r="E449" s="1">
        <v>2.0</v>
      </c>
      <c r="F449" s="1" t="s">
        <v>1128</v>
      </c>
      <c r="G449" s="218">
        <v>45199.79166666667</v>
      </c>
      <c r="H449" s="1" t="s">
        <v>60</v>
      </c>
      <c r="I449" s="1" t="s">
        <v>96</v>
      </c>
      <c r="J449" s="219"/>
      <c r="K449" s="219"/>
      <c r="L449" s="219"/>
      <c r="M449" s="219"/>
      <c r="N449" s="1">
        <v>84.0</v>
      </c>
      <c r="O449" s="1">
        <v>66.0</v>
      </c>
      <c r="P449" s="1">
        <v>1.0</v>
      </c>
      <c r="Q449" s="1" t="b">
        <v>0</v>
      </c>
      <c r="R449" s="1">
        <v>100.0</v>
      </c>
      <c r="S449" s="1" t="s">
        <v>296</v>
      </c>
      <c r="T449" s="1" t="s">
        <v>422</v>
      </c>
      <c r="U449" s="1"/>
    </row>
    <row r="450">
      <c r="A450" s="218">
        <v>45194.927627638885</v>
      </c>
      <c r="B450" s="1" t="s">
        <v>56</v>
      </c>
      <c r="C450" s="1" t="s">
        <v>128</v>
      </c>
      <c r="D450" s="1">
        <v>4.0</v>
      </c>
      <c r="E450" s="1">
        <v>1.0</v>
      </c>
      <c r="F450" s="1" t="s">
        <v>1129</v>
      </c>
      <c r="G450" s="218">
        <v>45199.8125</v>
      </c>
      <c r="H450" s="1" t="s">
        <v>46</v>
      </c>
      <c r="I450" s="1" t="s">
        <v>82</v>
      </c>
      <c r="J450" s="219"/>
      <c r="K450" s="219"/>
      <c r="L450" s="219"/>
      <c r="M450" s="219"/>
      <c r="N450" s="1">
        <v>198.0</v>
      </c>
      <c r="O450" s="1">
        <v>64.0</v>
      </c>
      <c r="P450" s="1">
        <v>1.0</v>
      </c>
      <c r="Q450" s="1" t="b">
        <v>1</v>
      </c>
      <c r="R450" s="1">
        <v>100.0</v>
      </c>
      <c r="S450" s="1" t="s">
        <v>354</v>
      </c>
      <c r="T450" s="1" t="s">
        <v>422</v>
      </c>
      <c r="U450" s="1"/>
    </row>
    <row r="451">
      <c r="A451" s="218">
        <v>45194.927627638885</v>
      </c>
      <c r="B451" s="1" t="s">
        <v>56</v>
      </c>
      <c r="C451" s="1" t="s">
        <v>135</v>
      </c>
      <c r="D451" s="1">
        <v>4.0</v>
      </c>
      <c r="E451" s="1">
        <v>0.0</v>
      </c>
      <c r="F451" s="1" t="s">
        <v>1130</v>
      </c>
      <c r="G451" s="218">
        <v>45199.5</v>
      </c>
      <c r="H451" s="1" t="s">
        <v>125</v>
      </c>
      <c r="I451" s="1" t="s">
        <v>888</v>
      </c>
      <c r="J451" s="219"/>
      <c r="K451" s="219"/>
      <c r="L451" s="219"/>
      <c r="M451" s="219"/>
      <c r="N451" s="1">
        <v>162.0</v>
      </c>
      <c r="O451" s="1">
        <v>35.0</v>
      </c>
      <c r="P451" s="1">
        <v>1.0</v>
      </c>
      <c r="Q451" s="1" t="b">
        <v>1</v>
      </c>
      <c r="R451" s="1">
        <v>100.0</v>
      </c>
      <c r="S451" s="1" t="s">
        <v>282</v>
      </c>
      <c r="T451" s="1" t="s">
        <v>422</v>
      </c>
      <c r="U451" s="1"/>
    </row>
    <row r="452">
      <c r="A452" s="218">
        <v>45194.927627638885</v>
      </c>
      <c r="B452" s="1" t="s">
        <v>56</v>
      </c>
      <c r="C452" s="1" t="s">
        <v>127</v>
      </c>
      <c r="D452" s="1">
        <v>3.0</v>
      </c>
      <c r="E452" s="1">
        <v>1.0</v>
      </c>
      <c r="F452" s="1" t="s">
        <v>1131</v>
      </c>
      <c r="G452" s="218">
        <v>45199.5</v>
      </c>
      <c r="H452" s="1" t="s">
        <v>70</v>
      </c>
      <c r="I452" s="1" t="s">
        <v>76</v>
      </c>
      <c r="J452" s="219"/>
      <c r="K452" s="219"/>
      <c r="L452" s="219"/>
      <c r="M452" s="219"/>
      <c r="N452" s="1">
        <v>111.0</v>
      </c>
      <c r="O452" s="1">
        <v>54.0</v>
      </c>
      <c r="P452" s="1">
        <v>1.0</v>
      </c>
      <c r="Q452" s="1" t="b">
        <v>0</v>
      </c>
      <c r="R452" s="1">
        <v>100.0</v>
      </c>
      <c r="S452" s="1" t="s">
        <v>292</v>
      </c>
      <c r="T452" s="1" t="s">
        <v>422</v>
      </c>
      <c r="U452" s="1"/>
    </row>
    <row r="453">
      <c r="A453" s="218">
        <v>45194.927627638885</v>
      </c>
      <c r="B453" s="1" t="s">
        <v>56</v>
      </c>
      <c r="C453" s="1" t="s">
        <v>130</v>
      </c>
      <c r="D453" s="1">
        <v>4.0</v>
      </c>
      <c r="E453" s="1">
        <v>0.0</v>
      </c>
      <c r="F453" s="1" t="s">
        <v>1132</v>
      </c>
      <c r="G453" s="218">
        <v>45199.5</v>
      </c>
      <c r="H453" s="1" t="s">
        <v>70</v>
      </c>
      <c r="I453" s="1" t="s">
        <v>82</v>
      </c>
      <c r="J453" s="219"/>
      <c r="K453" s="219"/>
      <c r="L453" s="219"/>
      <c r="M453" s="219"/>
      <c r="N453" s="1">
        <v>177.0</v>
      </c>
      <c r="O453" s="1">
        <v>43.0</v>
      </c>
      <c r="P453" s="1">
        <v>1.0</v>
      </c>
      <c r="Q453" s="1" t="b">
        <v>1</v>
      </c>
      <c r="R453" s="1">
        <v>100.0</v>
      </c>
      <c r="S453" s="1" t="s">
        <v>301</v>
      </c>
      <c r="T453" s="1" t="s">
        <v>422</v>
      </c>
      <c r="U453" s="1"/>
    </row>
    <row r="454">
      <c r="A454" s="218">
        <v>45194.927627638885</v>
      </c>
      <c r="B454" s="1" t="s">
        <v>56</v>
      </c>
      <c r="C454" s="1" t="s">
        <v>133</v>
      </c>
      <c r="D454" s="1">
        <v>1.0</v>
      </c>
      <c r="E454" s="1">
        <v>3.0</v>
      </c>
      <c r="F454" s="1"/>
      <c r="G454" s="218"/>
      <c r="H454" s="1"/>
      <c r="I454" s="1"/>
      <c r="J454" s="219"/>
      <c r="K454" s="219"/>
      <c r="L454" s="219"/>
      <c r="M454" s="219"/>
      <c r="N454" s="1">
        <v>83.0</v>
      </c>
      <c r="O454" s="1">
        <v>108.0</v>
      </c>
      <c r="P454" s="1">
        <v>3.0</v>
      </c>
      <c r="Q454" s="1" t="b">
        <v>1</v>
      </c>
      <c r="R454" s="1">
        <v>100.0</v>
      </c>
      <c r="S454" s="1" t="s">
        <v>407</v>
      </c>
      <c r="T454" s="1" t="s">
        <v>423</v>
      </c>
      <c r="U454" s="1"/>
    </row>
    <row r="455">
      <c r="A455" s="218">
        <v>45194.927627638885</v>
      </c>
      <c r="B455" s="1" t="s">
        <v>56</v>
      </c>
      <c r="C455" s="1" t="s">
        <v>123</v>
      </c>
      <c r="D455" s="1">
        <v>2.0</v>
      </c>
      <c r="E455" s="1">
        <v>2.0</v>
      </c>
      <c r="F455" s="1"/>
      <c r="G455" s="218"/>
      <c r="H455" s="1"/>
      <c r="I455" s="1"/>
      <c r="J455" s="219"/>
      <c r="K455" s="219"/>
      <c r="L455" s="219"/>
      <c r="M455" s="219"/>
      <c r="N455" s="1">
        <v>123.0</v>
      </c>
      <c r="O455" s="1">
        <v>75.0</v>
      </c>
      <c r="P455" s="1">
        <v>3.0</v>
      </c>
      <c r="Q455" s="1" t="b">
        <v>0</v>
      </c>
      <c r="R455" s="1">
        <v>100.0</v>
      </c>
      <c r="S455" s="1" t="s">
        <v>351</v>
      </c>
      <c r="T455" s="1" t="s">
        <v>423</v>
      </c>
      <c r="U455" s="1"/>
    </row>
    <row r="456">
      <c r="A456" s="218">
        <v>45194.927627638885</v>
      </c>
      <c r="B456" s="1" t="s">
        <v>56</v>
      </c>
      <c r="C456" s="1" t="s">
        <v>129</v>
      </c>
      <c r="D456" s="1">
        <v>1.0</v>
      </c>
      <c r="E456" s="1">
        <v>4.0</v>
      </c>
      <c r="F456" s="1"/>
      <c r="G456" s="218"/>
      <c r="H456" s="1"/>
      <c r="I456" s="1"/>
      <c r="J456" s="219"/>
      <c r="K456" s="219"/>
      <c r="L456" s="219"/>
      <c r="M456" s="219"/>
      <c r="N456" s="1">
        <v>141.0</v>
      </c>
      <c r="O456" s="1">
        <v>167.0</v>
      </c>
      <c r="P456" s="1">
        <v>3.0</v>
      </c>
      <c r="Q456" s="1" t="b">
        <v>1</v>
      </c>
      <c r="R456" s="1">
        <v>100.0</v>
      </c>
      <c r="S456" s="1" t="s">
        <v>353</v>
      </c>
      <c r="T456" s="1" t="s">
        <v>423</v>
      </c>
      <c r="U456" s="1"/>
    </row>
    <row r="457">
      <c r="A457" s="218">
        <v>45194.927627638885</v>
      </c>
      <c r="B457" s="1"/>
      <c r="C457" s="1"/>
      <c r="D457" s="1"/>
      <c r="E457" s="1"/>
      <c r="F457" s="1"/>
      <c r="G457" s="218"/>
      <c r="H457" s="1"/>
      <c r="I457" s="1"/>
      <c r="J457" s="219"/>
      <c r="K457" s="219"/>
      <c r="L457" s="219"/>
      <c r="M457" s="219"/>
      <c r="N457" s="1"/>
      <c r="O457" s="1"/>
      <c r="P457" s="1"/>
      <c r="Q457" s="1"/>
      <c r="R457" s="1"/>
      <c r="S457" s="1" t="e">
        <v>#N/A</v>
      </c>
      <c r="T457" s="1" t="e">
        <v>#N/A</v>
      </c>
      <c r="U457" s="1"/>
    </row>
    <row r="458">
      <c r="A458" s="218">
        <v>45194.927627638885</v>
      </c>
      <c r="B458" s="1" t="s">
        <v>60</v>
      </c>
      <c r="C458" s="1" t="s">
        <v>164</v>
      </c>
      <c r="D458" s="1">
        <v>4.0</v>
      </c>
      <c r="E458" s="1">
        <v>0.0</v>
      </c>
      <c r="F458" s="1" t="s">
        <v>1133</v>
      </c>
      <c r="G458" s="218">
        <v>45198.79166666667</v>
      </c>
      <c r="H458" s="1" t="s">
        <v>61</v>
      </c>
      <c r="I458" s="1" t="s">
        <v>76</v>
      </c>
      <c r="J458" s="219"/>
      <c r="K458" s="219"/>
      <c r="L458" s="219"/>
      <c r="M458" s="219"/>
      <c r="N458" s="1">
        <v>172.0</v>
      </c>
      <c r="O458" s="1">
        <v>76.0</v>
      </c>
      <c r="P458" s="1">
        <v>1.0</v>
      </c>
      <c r="Q458" s="1" t="b">
        <v>1</v>
      </c>
      <c r="R458" s="1">
        <v>100.0</v>
      </c>
      <c r="S458" s="1" t="s">
        <v>301</v>
      </c>
      <c r="T458" s="1" t="s">
        <v>422</v>
      </c>
      <c r="U458" s="1"/>
    </row>
    <row r="459">
      <c r="A459" s="218">
        <v>45194.927627638885</v>
      </c>
      <c r="B459" s="1" t="s">
        <v>60</v>
      </c>
      <c r="C459" s="1" t="s">
        <v>174</v>
      </c>
      <c r="D459" s="1">
        <v>1.0</v>
      </c>
      <c r="E459" s="1">
        <v>3.0</v>
      </c>
      <c r="F459" s="1" t="s">
        <v>1134</v>
      </c>
      <c r="G459" s="218">
        <v>45199.625</v>
      </c>
      <c r="H459" s="1" t="s">
        <v>69</v>
      </c>
      <c r="I459" s="1" t="s">
        <v>287</v>
      </c>
      <c r="J459" s="219"/>
      <c r="K459" s="219"/>
      <c r="L459" s="219"/>
      <c r="M459" s="219"/>
      <c r="N459" s="1">
        <v>67.0</v>
      </c>
      <c r="O459" s="1">
        <v>119.0</v>
      </c>
      <c r="P459" s="1">
        <v>1.0</v>
      </c>
      <c r="Q459" s="1" t="b">
        <v>1</v>
      </c>
      <c r="R459" s="1">
        <v>100.0</v>
      </c>
      <c r="S459" s="1" t="s">
        <v>354</v>
      </c>
      <c r="T459" s="1" t="s">
        <v>422</v>
      </c>
      <c r="U459" s="1"/>
    </row>
    <row r="460">
      <c r="A460" s="218">
        <v>45194.927627638885</v>
      </c>
      <c r="B460" s="1" t="s">
        <v>60</v>
      </c>
      <c r="C460" s="1" t="s">
        <v>177</v>
      </c>
      <c r="D460" s="1">
        <v>1.0</v>
      </c>
      <c r="E460" s="1">
        <v>3.0</v>
      </c>
      <c r="F460" s="1" t="s">
        <v>1135</v>
      </c>
      <c r="G460" s="218">
        <v>45199.64583333333</v>
      </c>
      <c r="H460" s="1" t="s">
        <v>61</v>
      </c>
      <c r="I460" s="1" t="s">
        <v>935</v>
      </c>
      <c r="J460" s="219"/>
      <c r="K460" s="219"/>
      <c r="L460" s="219"/>
      <c r="M460" s="219"/>
      <c r="N460" s="1">
        <v>65.0</v>
      </c>
      <c r="O460" s="1">
        <v>136.0</v>
      </c>
      <c r="P460" s="1">
        <v>1.0</v>
      </c>
      <c r="Q460" s="1" t="b">
        <v>1</v>
      </c>
      <c r="R460" s="1">
        <v>100.0</v>
      </c>
      <c r="S460" s="1" t="s">
        <v>352</v>
      </c>
      <c r="T460" s="1" t="s">
        <v>423</v>
      </c>
      <c r="U460" s="1"/>
    </row>
    <row r="461">
      <c r="A461" s="218">
        <v>45194.927627638885</v>
      </c>
      <c r="B461" s="1" t="s">
        <v>60</v>
      </c>
      <c r="C461" s="1" t="s">
        <v>176</v>
      </c>
      <c r="D461" s="1">
        <v>1.0</v>
      </c>
      <c r="E461" s="1">
        <v>4.0</v>
      </c>
      <c r="F461" s="1" t="s">
        <v>1136</v>
      </c>
      <c r="G461" s="218">
        <v>45199.64583333333</v>
      </c>
      <c r="H461" s="1" t="s">
        <v>69</v>
      </c>
      <c r="I461" s="1" t="s">
        <v>935</v>
      </c>
      <c r="J461" s="219"/>
      <c r="K461" s="219"/>
      <c r="L461" s="219"/>
      <c r="M461" s="219"/>
      <c r="N461" s="1">
        <v>131.0</v>
      </c>
      <c r="O461" s="1">
        <v>183.0</v>
      </c>
      <c r="P461" s="1">
        <v>1.0</v>
      </c>
      <c r="Q461" s="1" t="b">
        <v>1</v>
      </c>
      <c r="R461" s="1">
        <v>100.0</v>
      </c>
      <c r="S461" s="1" t="s">
        <v>351</v>
      </c>
      <c r="T461" s="1" t="s">
        <v>423</v>
      </c>
      <c r="U461" s="1"/>
    </row>
    <row r="462">
      <c r="A462" s="218">
        <v>45194.927627638885</v>
      </c>
      <c r="B462" s="1" t="s">
        <v>60</v>
      </c>
      <c r="C462" s="1" t="s">
        <v>173</v>
      </c>
      <c r="D462" s="1">
        <v>2.0</v>
      </c>
      <c r="E462" s="1">
        <v>3.0</v>
      </c>
      <c r="F462" s="1" t="s">
        <v>1137</v>
      </c>
      <c r="G462" s="218">
        <v>45199.66666666667</v>
      </c>
      <c r="H462" s="1" t="s">
        <v>57</v>
      </c>
      <c r="I462" s="1" t="s">
        <v>935</v>
      </c>
      <c r="J462" s="219">
        <v>-2.5</v>
      </c>
      <c r="K462" s="219">
        <v>-4.5</v>
      </c>
      <c r="L462" s="219">
        <v>140.0</v>
      </c>
      <c r="M462" s="219" t="s">
        <v>68</v>
      </c>
      <c r="N462" s="1">
        <v>113.0</v>
      </c>
      <c r="O462" s="1">
        <v>164.0</v>
      </c>
      <c r="P462" s="1">
        <v>1.0</v>
      </c>
      <c r="Q462" s="1" t="b">
        <v>1</v>
      </c>
      <c r="R462" s="1">
        <v>100.0</v>
      </c>
      <c r="S462" s="1" t="s">
        <v>353</v>
      </c>
      <c r="T462" s="1" t="s">
        <v>423</v>
      </c>
      <c r="U462" s="1"/>
    </row>
    <row r="463">
      <c r="A463" s="218">
        <v>45194.927627638885</v>
      </c>
      <c r="B463" s="1" t="s">
        <v>60</v>
      </c>
      <c r="C463" s="1" t="s">
        <v>179</v>
      </c>
      <c r="D463" s="1">
        <v>4.0</v>
      </c>
      <c r="E463" s="1">
        <v>0.0</v>
      </c>
      <c r="F463" s="1" t="s">
        <v>1128</v>
      </c>
      <c r="G463" s="218">
        <v>45199.79166666667</v>
      </c>
      <c r="H463" s="1" t="s">
        <v>56</v>
      </c>
      <c r="I463" s="1" t="s">
        <v>96</v>
      </c>
      <c r="J463" s="219"/>
      <c r="K463" s="219"/>
      <c r="L463" s="219"/>
      <c r="M463" s="219"/>
      <c r="N463" s="1">
        <v>187.0</v>
      </c>
      <c r="O463" s="1">
        <v>34.0</v>
      </c>
      <c r="P463" s="1">
        <v>1.0</v>
      </c>
      <c r="Q463" s="1" t="b">
        <v>1</v>
      </c>
      <c r="R463" s="1">
        <v>100.0</v>
      </c>
      <c r="S463" s="1" t="s">
        <v>296</v>
      </c>
      <c r="T463" s="1" t="s">
        <v>422</v>
      </c>
      <c r="U463" s="1"/>
    </row>
    <row r="464">
      <c r="A464" s="218">
        <v>45194.927627638885</v>
      </c>
      <c r="B464" s="1" t="s">
        <v>60</v>
      </c>
      <c r="C464" s="1" t="s">
        <v>178</v>
      </c>
      <c r="D464" s="1">
        <v>2.0</v>
      </c>
      <c r="E464" s="1">
        <v>2.0</v>
      </c>
      <c r="F464" s="1" t="s">
        <v>1138</v>
      </c>
      <c r="G464" s="218">
        <v>45199.8125</v>
      </c>
      <c r="H464" s="1" t="s">
        <v>61</v>
      </c>
      <c r="I464" s="1" t="s">
        <v>90</v>
      </c>
      <c r="J464" s="219"/>
      <c r="K464" s="219"/>
      <c r="L464" s="219"/>
      <c r="M464" s="219"/>
      <c r="N464" s="1">
        <v>92.0</v>
      </c>
      <c r="O464" s="1">
        <v>93.0</v>
      </c>
      <c r="P464" s="1">
        <v>1.0</v>
      </c>
      <c r="Q464" s="1" t="b">
        <v>1</v>
      </c>
      <c r="R464" s="1">
        <v>100.0</v>
      </c>
      <c r="S464" s="1" t="s">
        <v>282</v>
      </c>
      <c r="T464" s="1" t="s">
        <v>422</v>
      </c>
      <c r="U464" s="1"/>
    </row>
    <row r="465">
      <c r="A465" s="218">
        <v>45194.927627638885</v>
      </c>
      <c r="B465" s="1" t="s">
        <v>60</v>
      </c>
      <c r="C465" s="1" t="s">
        <v>139</v>
      </c>
      <c r="D465" s="1">
        <v>2.0</v>
      </c>
      <c r="E465" s="1">
        <v>2.0</v>
      </c>
      <c r="F465" s="1" t="s">
        <v>1139</v>
      </c>
      <c r="G465" s="218">
        <v>45199.8125</v>
      </c>
      <c r="H465" s="1" t="s">
        <v>69</v>
      </c>
      <c r="I465" s="1" t="s">
        <v>40</v>
      </c>
      <c r="J465" s="219"/>
      <c r="K465" s="219"/>
      <c r="L465" s="219"/>
      <c r="M465" s="219"/>
      <c r="N465" s="1">
        <v>135.0</v>
      </c>
      <c r="O465" s="1">
        <v>76.0</v>
      </c>
      <c r="P465" s="1">
        <v>1.0</v>
      </c>
      <c r="Q465" s="1" t="b">
        <v>1</v>
      </c>
      <c r="R465" s="1">
        <v>100.0</v>
      </c>
      <c r="S465" s="1" t="s">
        <v>407</v>
      </c>
      <c r="T465" s="1" t="s">
        <v>423</v>
      </c>
      <c r="U465" s="1"/>
    </row>
    <row r="466">
      <c r="A466" s="218">
        <v>45194.927627638885</v>
      </c>
      <c r="B466" s="1" t="s">
        <v>60</v>
      </c>
      <c r="C466" s="1" t="s">
        <v>137</v>
      </c>
      <c r="D466" s="1">
        <v>3.0</v>
      </c>
      <c r="E466" s="1">
        <v>1.0</v>
      </c>
      <c r="F466" s="1" t="s">
        <v>1140</v>
      </c>
      <c r="G466" s="218">
        <v>45199.875</v>
      </c>
      <c r="H466" s="1" t="s">
        <v>62</v>
      </c>
      <c r="I466" s="1" t="s">
        <v>76</v>
      </c>
      <c r="J466" s="219"/>
      <c r="K466" s="219"/>
      <c r="L466" s="219"/>
      <c r="M466" s="219"/>
      <c r="N466" s="1">
        <v>121.0</v>
      </c>
      <c r="O466" s="1">
        <v>54.0</v>
      </c>
      <c r="P466" s="1">
        <v>1.0</v>
      </c>
      <c r="Q466" s="1" t="b">
        <v>1</v>
      </c>
      <c r="R466" s="1">
        <v>100.0</v>
      </c>
      <c r="S466" s="1" t="s">
        <v>292</v>
      </c>
      <c r="T466" s="1" t="s">
        <v>422</v>
      </c>
      <c r="U466" s="1"/>
    </row>
    <row r="467">
      <c r="A467" s="218">
        <v>45194.927627638885</v>
      </c>
      <c r="B467" s="1" t="s">
        <v>60</v>
      </c>
      <c r="C467" s="1" t="s">
        <v>175</v>
      </c>
      <c r="D467" s="1">
        <v>3.0</v>
      </c>
      <c r="E467" s="1">
        <v>1.0</v>
      </c>
      <c r="F467" s="1" t="s">
        <v>1126</v>
      </c>
      <c r="G467" s="218">
        <v>45199.5</v>
      </c>
      <c r="H467" s="1" t="s">
        <v>58</v>
      </c>
      <c r="I467" s="1" t="s">
        <v>888</v>
      </c>
      <c r="J467" s="219"/>
      <c r="K467" s="219"/>
      <c r="L467" s="219"/>
      <c r="M467" s="219"/>
      <c r="N467" s="1">
        <v>155.0</v>
      </c>
      <c r="O467" s="1">
        <v>110.0</v>
      </c>
      <c r="P467" s="1">
        <v>1.0</v>
      </c>
      <c r="Q467" s="1" t="b">
        <v>0</v>
      </c>
      <c r="R467" s="1">
        <v>100.0</v>
      </c>
      <c r="S467" s="1" t="s">
        <v>355</v>
      </c>
      <c r="T467" s="1" t="s">
        <v>423</v>
      </c>
      <c r="U467" s="1"/>
    </row>
    <row r="468">
      <c r="A468" s="218">
        <v>45194.927627638885</v>
      </c>
      <c r="B468" s="1"/>
      <c r="C468" s="1"/>
      <c r="D468" s="1"/>
      <c r="E468" s="1"/>
      <c r="F468" s="1"/>
      <c r="G468" s="218"/>
      <c r="H468" s="1"/>
      <c r="I468" s="1"/>
      <c r="J468" s="219"/>
      <c r="K468" s="219"/>
      <c r="L468" s="219"/>
      <c r="M468" s="219"/>
      <c r="N468" s="1"/>
      <c r="O468" s="1"/>
      <c r="P468" s="1"/>
      <c r="Q468" s="1"/>
      <c r="R468" s="1"/>
      <c r="S468" s="1" t="e">
        <v>#N/A</v>
      </c>
      <c r="T468" s="1" t="e">
        <v>#N/A</v>
      </c>
      <c r="U468" s="1"/>
    </row>
    <row r="469">
      <c r="A469" s="218">
        <v>45194.927627638885</v>
      </c>
      <c r="B469" s="1" t="s">
        <v>46</v>
      </c>
      <c r="C469" s="1" t="s">
        <v>188</v>
      </c>
      <c r="D469" s="1">
        <v>1.0</v>
      </c>
      <c r="E469" s="1">
        <v>3.0</v>
      </c>
      <c r="F469" s="1" t="s">
        <v>1141</v>
      </c>
      <c r="G469" s="218">
        <v>45199.64583333333</v>
      </c>
      <c r="H469" s="1" t="s">
        <v>57</v>
      </c>
      <c r="I469" s="1" t="s">
        <v>1142</v>
      </c>
      <c r="J469" s="219"/>
      <c r="K469" s="219"/>
      <c r="L469" s="219"/>
      <c r="M469" s="219"/>
      <c r="N469" s="1">
        <v>117.0</v>
      </c>
      <c r="O469" s="1">
        <v>96.0</v>
      </c>
      <c r="P469" s="1">
        <v>1.0</v>
      </c>
      <c r="Q469" s="1" t="b">
        <v>1</v>
      </c>
      <c r="R469" s="1">
        <v>100.0</v>
      </c>
      <c r="S469" s="1" t="s">
        <v>296</v>
      </c>
      <c r="T469" s="1" t="s">
        <v>422</v>
      </c>
      <c r="U469" s="1"/>
    </row>
    <row r="470">
      <c r="A470" s="218">
        <v>45194.927627638885</v>
      </c>
      <c r="B470" s="1" t="s">
        <v>46</v>
      </c>
      <c r="C470" s="1" t="s">
        <v>186</v>
      </c>
      <c r="D470" s="1">
        <v>2.0</v>
      </c>
      <c r="E470" s="1">
        <v>2.0</v>
      </c>
      <c r="F470" s="1" t="s">
        <v>1143</v>
      </c>
      <c r="G470" s="218">
        <v>45199.64583333333</v>
      </c>
      <c r="H470" s="1" t="s">
        <v>67</v>
      </c>
      <c r="I470" s="1" t="s">
        <v>958</v>
      </c>
      <c r="J470" s="219"/>
      <c r="K470" s="219"/>
      <c r="L470" s="219"/>
      <c r="M470" s="219"/>
      <c r="N470" s="1">
        <v>89.0</v>
      </c>
      <c r="O470" s="1">
        <v>109.0</v>
      </c>
      <c r="P470" s="1">
        <v>1.0</v>
      </c>
      <c r="Q470" s="1" t="b">
        <v>1</v>
      </c>
      <c r="R470" s="1">
        <v>100.0</v>
      </c>
      <c r="S470" s="1" t="s">
        <v>282</v>
      </c>
      <c r="T470" s="1" t="s">
        <v>422</v>
      </c>
      <c r="U470" s="1"/>
    </row>
    <row r="471">
      <c r="A471" s="218">
        <v>45194.927627638885</v>
      </c>
      <c r="B471" s="1" t="s">
        <v>46</v>
      </c>
      <c r="C471" s="1" t="s">
        <v>185</v>
      </c>
      <c r="D471" s="1">
        <v>3.0</v>
      </c>
      <c r="E471" s="1">
        <v>1.0</v>
      </c>
      <c r="F471" s="1" t="s">
        <v>1144</v>
      </c>
      <c r="G471" s="218">
        <v>45199.64583333333</v>
      </c>
      <c r="H471" s="1"/>
      <c r="I471" s="1" t="s">
        <v>888</v>
      </c>
      <c r="J471" s="219"/>
      <c r="K471" s="219"/>
      <c r="L471" s="219"/>
      <c r="M471" s="219"/>
      <c r="N471" s="1">
        <v>102.0</v>
      </c>
      <c r="O471" s="1">
        <v>61.0</v>
      </c>
      <c r="P471" s="1">
        <v>1.0</v>
      </c>
      <c r="Q471" s="1" t="b">
        <v>0</v>
      </c>
      <c r="R471" s="1">
        <v>100.0</v>
      </c>
      <c r="S471" s="1" t="s">
        <v>351</v>
      </c>
      <c r="T471" s="1" t="s">
        <v>423</v>
      </c>
      <c r="U471" s="1"/>
    </row>
    <row r="472">
      <c r="A472" s="218">
        <v>45194.927627638885</v>
      </c>
      <c r="B472" s="1" t="s">
        <v>46</v>
      </c>
      <c r="C472" s="1" t="s">
        <v>183</v>
      </c>
      <c r="D472" s="1">
        <v>3.0</v>
      </c>
      <c r="E472" s="1">
        <v>1.0</v>
      </c>
      <c r="F472" s="1" t="s">
        <v>1117</v>
      </c>
      <c r="G472" s="218">
        <v>45199.66666666667</v>
      </c>
      <c r="H472" s="1" t="s">
        <v>35</v>
      </c>
      <c r="I472" s="1" t="s">
        <v>942</v>
      </c>
      <c r="J472" s="219">
        <v>-2.5</v>
      </c>
      <c r="K472" s="219">
        <v>-2.5</v>
      </c>
      <c r="L472" s="219">
        <v>120.0</v>
      </c>
      <c r="M472" s="219" t="s">
        <v>867</v>
      </c>
      <c r="N472" s="1">
        <v>98.0</v>
      </c>
      <c r="O472" s="1">
        <v>100.0</v>
      </c>
      <c r="P472" s="1">
        <v>1.0</v>
      </c>
      <c r="Q472" s="1" t="b">
        <v>0</v>
      </c>
      <c r="R472" s="1">
        <v>100.0</v>
      </c>
      <c r="S472" s="1" t="s">
        <v>353</v>
      </c>
      <c r="T472" s="1" t="s">
        <v>423</v>
      </c>
      <c r="U472" s="1"/>
    </row>
    <row r="473">
      <c r="A473" s="218">
        <v>45194.927627638885</v>
      </c>
      <c r="B473" s="1" t="s">
        <v>46</v>
      </c>
      <c r="C473" s="1" t="s">
        <v>181</v>
      </c>
      <c r="D473" s="1">
        <v>2.0</v>
      </c>
      <c r="E473" s="1">
        <v>2.0</v>
      </c>
      <c r="F473" s="1" t="s">
        <v>1145</v>
      </c>
      <c r="G473" s="218">
        <v>45199.79166666667</v>
      </c>
      <c r="H473" s="1" t="s">
        <v>59</v>
      </c>
      <c r="I473" s="1" t="s">
        <v>935</v>
      </c>
      <c r="J473" s="219"/>
      <c r="K473" s="219"/>
      <c r="L473" s="219"/>
      <c r="M473" s="219"/>
      <c r="N473" s="1">
        <v>102.0</v>
      </c>
      <c r="O473" s="1">
        <v>112.0</v>
      </c>
      <c r="P473" s="1">
        <v>1.0</v>
      </c>
      <c r="Q473" s="1" t="b">
        <v>1</v>
      </c>
      <c r="R473" s="1">
        <v>100.0</v>
      </c>
      <c r="S473" s="1" t="s">
        <v>355</v>
      </c>
      <c r="T473" s="1" t="s">
        <v>423</v>
      </c>
      <c r="U473" s="1"/>
    </row>
    <row r="474">
      <c r="A474" s="218">
        <v>45194.927627638885</v>
      </c>
      <c r="B474" s="1" t="s">
        <v>46</v>
      </c>
      <c r="C474" s="1" t="s">
        <v>184</v>
      </c>
      <c r="D474" s="1">
        <v>2.0</v>
      </c>
      <c r="E474" s="1">
        <v>2.0</v>
      </c>
      <c r="F474" s="1" t="s">
        <v>1146</v>
      </c>
      <c r="G474" s="218">
        <v>45199.8125</v>
      </c>
      <c r="H474" s="1" t="s">
        <v>61</v>
      </c>
      <c r="I474" s="1" t="s">
        <v>945</v>
      </c>
      <c r="J474" s="219"/>
      <c r="K474" s="219"/>
      <c r="L474" s="219"/>
      <c r="M474" s="219"/>
      <c r="N474" s="1">
        <v>115.0</v>
      </c>
      <c r="O474" s="1">
        <v>106.0</v>
      </c>
      <c r="P474" s="1">
        <v>1.0</v>
      </c>
      <c r="Q474" s="1" t="b">
        <v>0</v>
      </c>
      <c r="R474" s="1">
        <v>100.0</v>
      </c>
      <c r="S474" s="1" t="s">
        <v>292</v>
      </c>
      <c r="T474" s="1" t="s">
        <v>422</v>
      </c>
      <c r="U474" s="1"/>
    </row>
    <row r="475">
      <c r="A475" s="218">
        <v>45194.927627638885</v>
      </c>
      <c r="B475" s="1" t="s">
        <v>46</v>
      </c>
      <c r="C475" s="1" t="s">
        <v>187</v>
      </c>
      <c r="D475" s="1">
        <v>4.0</v>
      </c>
      <c r="E475" s="1">
        <v>0.0</v>
      </c>
      <c r="F475" s="1" t="s">
        <v>1129</v>
      </c>
      <c r="G475" s="218">
        <v>45199.8125</v>
      </c>
      <c r="H475" s="1" t="s">
        <v>56</v>
      </c>
      <c r="I475" s="1" t="s">
        <v>82</v>
      </c>
      <c r="J475" s="219"/>
      <c r="K475" s="219"/>
      <c r="L475" s="219"/>
      <c r="M475" s="219"/>
      <c r="N475" s="1">
        <v>149.0</v>
      </c>
      <c r="O475" s="1">
        <v>35.0</v>
      </c>
      <c r="P475" s="1">
        <v>1.0</v>
      </c>
      <c r="Q475" s="1" t="b">
        <v>0</v>
      </c>
      <c r="R475" s="1">
        <v>100.0</v>
      </c>
      <c r="S475" s="1" t="s">
        <v>301</v>
      </c>
      <c r="T475" s="1" t="s">
        <v>422</v>
      </c>
      <c r="U475" s="1"/>
    </row>
    <row r="476">
      <c r="A476" s="218">
        <v>45194.927627638885</v>
      </c>
      <c r="B476" s="1" t="s">
        <v>46</v>
      </c>
      <c r="C476" s="1" t="s">
        <v>180</v>
      </c>
      <c r="D476" s="1">
        <v>4.0</v>
      </c>
      <c r="E476" s="1">
        <v>0.0</v>
      </c>
      <c r="F476" s="1" t="s">
        <v>1147</v>
      </c>
      <c r="G476" s="218">
        <v>45199.91666666667</v>
      </c>
      <c r="H476" s="1" t="s">
        <v>67</v>
      </c>
      <c r="I476" s="1" t="s">
        <v>287</v>
      </c>
      <c r="J476" s="219"/>
      <c r="K476" s="219"/>
      <c r="L476" s="219"/>
      <c r="M476" s="219"/>
      <c r="N476" s="1">
        <v>199.0</v>
      </c>
      <c r="O476" s="1">
        <v>68.0</v>
      </c>
      <c r="P476" s="1">
        <v>1.0</v>
      </c>
      <c r="Q476" s="1" t="b">
        <v>0</v>
      </c>
      <c r="R476" s="1">
        <v>100.0</v>
      </c>
      <c r="S476" s="1" t="s">
        <v>354</v>
      </c>
      <c r="T476" s="1" t="s">
        <v>422</v>
      </c>
      <c r="U476" s="1"/>
    </row>
    <row r="477">
      <c r="A477" s="218">
        <v>45194.927627638885</v>
      </c>
      <c r="B477" s="1" t="s">
        <v>46</v>
      </c>
      <c r="C477" s="1" t="s">
        <v>182</v>
      </c>
      <c r="D477" s="1">
        <v>3.0</v>
      </c>
      <c r="E477" s="1">
        <v>1.0</v>
      </c>
      <c r="F477" s="1" t="s">
        <v>1148</v>
      </c>
      <c r="G477" s="218">
        <v>45199.5</v>
      </c>
      <c r="H477" s="1" t="s">
        <v>61</v>
      </c>
      <c r="I477" s="1" t="s">
        <v>36</v>
      </c>
      <c r="J477" s="219"/>
      <c r="K477" s="219"/>
      <c r="L477" s="219"/>
      <c r="M477" s="219"/>
      <c r="N477" s="1">
        <v>114.0</v>
      </c>
      <c r="O477" s="1">
        <v>64.0</v>
      </c>
      <c r="P477" s="1">
        <v>1.0</v>
      </c>
      <c r="Q477" s="1" t="b">
        <v>1</v>
      </c>
      <c r="R477" s="1">
        <v>100.0</v>
      </c>
      <c r="S477" s="1" t="s">
        <v>407</v>
      </c>
      <c r="T477" s="1" t="s">
        <v>423</v>
      </c>
      <c r="U477" s="1"/>
    </row>
    <row r="478">
      <c r="A478" s="218">
        <v>45194.927627638885</v>
      </c>
      <c r="B478" s="1" t="s">
        <v>46</v>
      </c>
      <c r="C478" s="1" t="s">
        <v>189</v>
      </c>
      <c r="D478" s="1">
        <v>1.0</v>
      </c>
      <c r="E478" s="1">
        <v>3.0</v>
      </c>
      <c r="F478" s="1" t="s">
        <v>1149</v>
      </c>
      <c r="G478" s="218">
        <v>45199.5</v>
      </c>
      <c r="H478" s="1" t="s">
        <v>70</v>
      </c>
      <c r="I478" s="1" t="s">
        <v>935</v>
      </c>
      <c r="J478" s="219">
        <v>17.5</v>
      </c>
      <c r="K478" s="219">
        <v>16.5</v>
      </c>
      <c r="L478" s="219">
        <v>540.0</v>
      </c>
      <c r="M478" s="219" t="s">
        <v>906</v>
      </c>
      <c r="N478" s="1">
        <v>75.0</v>
      </c>
      <c r="O478" s="1">
        <v>109.0</v>
      </c>
      <c r="P478" s="1">
        <v>1.0</v>
      </c>
      <c r="Q478" s="1" t="b">
        <v>1</v>
      </c>
      <c r="R478" s="1">
        <v>100.0</v>
      </c>
      <c r="S478" s="1" t="s">
        <v>352</v>
      </c>
      <c r="T478" s="1" t="s">
        <v>423</v>
      </c>
      <c r="U478" s="1"/>
    </row>
    <row r="479">
      <c r="A479" s="218">
        <v>45194.927627638885</v>
      </c>
      <c r="B479" s="1"/>
      <c r="C479" s="1"/>
      <c r="D479" s="1"/>
      <c r="E479" s="1"/>
      <c r="F479" s="1"/>
      <c r="G479" s="218"/>
      <c r="H479" s="1"/>
      <c r="I479" s="1"/>
      <c r="J479" s="219"/>
      <c r="K479" s="219"/>
      <c r="L479" s="219"/>
      <c r="M479" s="219"/>
      <c r="N479" s="1"/>
      <c r="O479" s="1"/>
      <c r="P479" s="1"/>
      <c r="Q479" s="1"/>
      <c r="R479" s="1"/>
      <c r="S479" s="1" t="e">
        <v>#N/A</v>
      </c>
      <c r="T479" s="1" t="e">
        <v>#N/A</v>
      </c>
      <c r="U479" s="1"/>
    </row>
    <row r="480">
      <c r="A480" s="218">
        <v>45194.927627638885</v>
      </c>
      <c r="B480" s="1" t="s">
        <v>70</v>
      </c>
      <c r="C480" s="1" t="s">
        <v>194</v>
      </c>
      <c r="D480" s="1">
        <v>1.0</v>
      </c>
      <c r="E480" s="1">
        <v>4.0</v>
      </c>
      <c r="F480" s="1" t="s">
        <v>1150</v>
      </c>
      <c r="G480" s="218">
        <v>45198.875</v>
      </c>
      <c r="H480" s="1" t="s">
        <v>69</v>
      </c>
      <c r="I480" s="1" t="s">
        <v>99</v>
      </c>
      <c r="J480" s="219"/>
      <c r="K480" s="219"/>
      <c r="L480" s="219"/>
      <c r="M480" s="219"/>
      <c r="N480" s="1">
        <v>87.0</v>
      </c>
      <c r="O480" s="1">
        <v>145.0</v>
      </c>
      <c r="P480" s="1">
        <v>1.0</v>
      </c>
      <c r="Q480" s="1" t="b">
        <v>1</v>
      </c>
      <c r="R480" s="1">
        <v>100.0</v>
      </c>
      <c r="S480" s="1" t="s">
        <v>351</v>
      </c>
      <c r="T480" s="1" t="s">
        <v>423</v>
      </c>
      <c r="U480" s="1"/>
    </row>
    <row r="481">
      <c r="A481" s="218">
        <v>45194.927627638885</v>
      </c>
      <c r="B481" s="1" t="s">
        <v>70</v>
      </c>
      <c r="C481" s="1" t="s">
        <v>192</v>
      </c>
      <c r="D481" s="1">
        <v>4.0</v>
      </c>
      <c r="E481" s="1">
        <v>0.0</v>
      </c>
      <c r="F481" s="1" t="s">
        <v>1151</v>
      </c>
      <c r="G481" s="218">
        <v>45199.64583333333</v>
      </c>
      <c r="H481" s="1" t="s">
        <v>125</v>
      </c>
      <c r="I481" s="1" t="s">
        <v>82</v>
      </c>
      <c r="J481" s="219"/>
      <c r="K481" s="219"/>
      <c r="L481" s="219"/>
      <c r="M481" s="219"/>
      <c r="N481" s="1">
        <v>151.0</v>
      </c>
      <c r="O481" s="1">
        <v>91.0</v>
      </c>
      <c r="P481" s="1">
        <v>1.0</v>
      </c>
      <c r="Q481" s="1" t="b">
        <v>1</v>
      </c>
      <c r="R481" s="1">
        <v>100.0</v>
      </c>
      <c r="S481" s="1" t="s">
        <v>296</v>
      </c>
      <c r="T481" s="1" t="s">
        <v>422</v>
      </c>
      <c r="U481" s="1"/>
    </row>
    <row r="482">
      <c r="A482" s="218">
        <v>45194.927627638885</v>
      </c>
      <c r="B482" s="1" t="s">
        <v>70</v>
      </c>
      <c r="C482" s="1" t="s">
        <v>195</v>
      </c>
      <c r="D482" s="1">
        <v>2.0</v>
      </c>
      <c r="E482" s="1">
        <v>2.0</v>
      </c>
      <c r="F482" s="1" t="s">
        <v>1152</v>
      </c>
      <c r="G482" s="218">
        <v>45199.64583333333</v>
      </c>
      <c r="H482" s="1" t="s">
        <v>62</v>
      </c>
      <c r="I482" s="1" t="s">
        <v>888</v>
      </c>
      <c r="J482" s="219"/>
      <c r="K482" s="219"/>
      <c r="L482" s="219"/>
      <c r="M482" s="219"/>
      <c r="N482" s="1">
        <v>87.0</v>
      </c>
      <c r="O482" s="1">
        <v>78.0</v>
      </c>
      <c r="P482" s="1">
        <v>1.0</v>
      </c>
      <c r="Q482" s="1" t="b">
        <v>0</v>
      </c>
      <c r="R482" s="1">
        <v>100.0</v>
      </c>
      <c r="S482" s="1" t="s">
        <v>282</v>
      </c>
      <c r="T482" s="1" t="s">
        <v>422</v>
      </c>
      <c r="U482" s="1"/>
    </row>
    <row r="483">
      <c r="A483" s="218">
        <v>45194.927627638885</v>
      </c>
      <c r="B483" s="1" t="s">
        <v>70</v>
      </c>
      <c r="C483" s="1" t="s">
        <v>193</v>
      </c>
      <c r="D483" s="1">
        <v>1.0</v>
      </c>
      <c r="E483" s="1">
        <v>3.0</v>
      </c>
      <c r="F483" s="1" t="s">
        <v>1118</v>
      </c>
      <c r="G483" s="218">
        <v>45199.77083333333</v>
      </c>
      <c r="H483" s="1" t="s">
        <v>35</v>
      </c>
      <c r="I483" s="1" t="s">
        <v>287</v>
      </c>
      <c r="J483" s="219"/>
      <c r="K483" s="219"/>
      <c r="L483" s="219"/>
      <c r="M483" s="219"/>
      <c r="N483" s="1">
        <v>90.0</v>
      </c>
      <c r="O483" s="1">
        <v>131.0</v>
      </c>
      <c r="P483" s="1">
        <v>1.0</v>
      </c>
      <c r="Q483" s="1" t="b">
        <v>1</v>
      </c>
      <c r="R483" s="1">
        <v>100.0</v>
      </c>
      <c r="S483" s="1" t="s">
        <v>354</v>
      </c>
      <c r="T483" s="1" t="s">
        <v>422</v>
      </c>
      <c r="U483" s="1"/>
    </row>
    <row r="484">
      <c r="A484" s="218">
        <v>45194.927627638885</v>
      </c>
      <c r="B484" s="1" t="s">
        <v>70</v>
      </c>
      <c r="C484" s="1" t="s">
        <v>197</v>
      </c>
      <c r="D484" s="1">
        <v>1.0</v>
      </c>
      <c r="E484" s="1">
        <v>3.0</v>
      </c>
      <c r="F484" s="1" t="s">
        <v>1127</v>
      </c>
      <c r="G484" s="218">
        <v>45199.79166666667</v>
      </c>
      <c r="H484" s="1" t="s">
        <v>56</v>
      </c>
      <c r="I484" s="1" t="s">
        <v>935</v>
      </c>
      <c r="J484" s="219"/>
      <c r="K484" s="219"/>
      <c r="L484" s="219"/>
      <c r="M484" s="219"/>
      <c r="N484" s="1">
        <v>93.0</v>
      </c>
      <c r="O484" s="1">
        <v>145.0</v>
      </c>
      <c r="P484" s="1">
        <v>1.0</v>
      </c>
      <c r="Q484" s="1" t="b">
        <v>1</v>
      </c>
      <c r="R484" s="1">
        <v>100.0</v>
      </c>
      <c r="S484" s="1" t="s">
        <v>355</v>
      </c>
      <c r="T484" s="1" t="s">
        <v>423</v>
      </c>
      <c r="U484" s="1"/>
    </row>
    <row r="485">
      <c r="A485" s="218">
        <v>45194.927627638885</v>
      </c>
      <c r="B485" s="1" t="s">
        <v>70</v>
      </c>
      <c r="C485" s="1" t="s">
        <v>190</v>
      </c>
      <c r="D485" s="1">
        <v>2.0</v>
      </c>
      <c r="E485" s="1">
        <v>3.0</v>
      </c>
      <c r="F485" s="1" t="s">
        <v>1153</v>
      </c>
      <c r="G485" s="218">
        <v>45199.83333333333</v>
      </c>
      <c r="H485" s="1" t="s">
        <v>69</v>
      </c>
      <c r="I485" s="1" t="s">
        <v>99</v>
      </c>
      <c r="J485" s="219"/>
      <c r="K485" s="219"/>
      <c r="L485" s="219"/>
      <c r="M485" s="219"/>
      <c r="N485" s="1">
        <v>106.0</v>
      </c>
      <c r="O485" s="1">
        <v>136.0</v>
      </c>
      <c r="P485" s="1">
        <v>1.0</v>
      </c>
      <c r="Q485" s="1" t="b">
        <v>0</v>
      </c>
      <c r="R485" s="1">
        <v>100.0</v>
      </c>
      <c r="S485" s="1" t="s">
        <v>353</v>
      </c>
      <c r="T485" s="1" t="s">
        <v>423</v>
      </c>
      <c r="U485" s="1"/>
    </row>
    <row r="486">
      <c r="A486" s="218">
        <v>45194.927627638885</v>
      </c>
      <c r="B486" s="1" t="s">
        <v>70</v>
      </c>
      <c r="C486" s="1" t="s">
        <v>199</v>
      </c>
      <c r="D486" s="1">
        <v>0.0</v>
      </c>
      <c r="E486" s="1">
        <v>4.0</v>
      </c>
      <c r="F486" s="1" t="s">
        <v>1149</v>
      </c>
      <c r="G486" s="218">
        <v>45199.5</v>
      </c>
      <c r="H486" s="1" t="s">
        <v>46</v>
      </c>
      <c r="I486" s="1" t="s">
        <v>935</v>
      </c>
      <c r="J486" s="219"/>
      <c r="K486" s="219"/>
      <c r="L486" s="219"/>
      <c r="M486" s="219"/>
      <c r="N486" s="1">
        <v>119.0</v>
      </c>
      <c r="O486" s="1">
        <v>178.0</v>
      </c>
      <c r="P486" s="1">
        <v>1.0</v>
      </c>
      <c r="Q486" s="1" t="b">
        <v>0</v>
      </c>
      <c r="R486" s="1">
        <v>100.0</v>
      </c>
      <c r="S486" s="1" t="s">
        <v>352</v>
      </c>
      <c r="T486" s="1" t="s">
        <v>423</v>
      </c>
      <c r="U486" s="1"/>
    </row>
    <row r="487">
      <c r="A487" s="218">
        <v>45194.927627638885</v>
      </c>
      <c r="B487" s="1" t="s">
        <v>70</v>
      </c>
      <c r="C487" s="1" t="s">
        <v>196</v>
      </c>
      <c r="D487" s="1">
        <v>4.0</v>
      </c>
      <c r="E487" s="1">
        <v>0.0</v>
      </c>
      <c r="F487" s="1" t="s">
        <v>1131</v>
      </c>
      <c r="G487" s="218">
        <v>45199.5</v>
      </c>
      <c r="H487" s="1" t="s">
        <v>56</v>
      </c>
      <c r="I487" s="1" t="s">
        <v>76</v>
      </c>
      <c r="J487" s="219"/>
      <c r="K487" s="219"/>
      <c r="L487" s="219"/>
      <c r="M487" s="219"/>
      <c r="N487" s="1">
        <v>152.0</v>
      </c>
      <c r="O487" s="1">
        <v>62.0</v>
      </c>
      <c r="P487" s="1">
        <v>1.0</v>
      </c>
      <c r="Q487" s="1" t="b">
        <v>1</v>
      </c>
      <c r="R487" s="1">
        <v>100.0</v>
      </c>
      <c r="S487" s="1" t="s">
        <v>292</v>
      </c>
      <c r="T487" s="1" t="s">
        <v>422</v>
      </c>
      <c r="U487" s="1"/>
    </row>
    <row r="488">
      <c r="A488" s="218">
        <v>45194.927627638885</v>
      </c>
      <c r="B488" s="1" t="s">
        <v>70</v>
      </c>
      <c r="C488" s="1" t="s">
        <v>191</v>
      </c>
      <c r="D488" s="1">
        <v>2.0</v>
      </c>
      <c r="E488" s="1">
        <v>2.0</v>
      </c>
      <c r="F488" s="1" t="s">
        <v>1132</v>
      </c>
      <c r="G488" s="218">
        <v>45199.5</v>
      </c>
      <c r="H488" s="1" t="s">
        <v>56</v>
      </c>
      <c r="I488" s="1" t="s">
        <v>82</v>
      </c>
      <c r="J488" s="219"/>
      <c r="K488" s="219"/>
      <c r="L488" s="219"/>
      <c r="M488" s="219"/>
      <c r="N488" s="1">
        <v>145.0</v>
      </c>
      <c r="O488" s="1">
        <v>90.0</v>
      </c>
      <c r="P488" s="1">
        <v>1.0</v>
      </c>
      <c r="Q488" s="1" t="b">
        <v>0</v>
      </c>
      <c r="R488" s="1">
        <v>100.0</v>
      </c>
      <c r="S488" s="1" t="s">
        <v>301</v>
      </c>
      <c r="T488" s="1" t="s">
        <v>422</v>
      </c>
      <c r="U488" s="1"/>
    </row>
    <row r="489">
      <c r="A489" s="218">
        <v>45194.927627638885</v>
      </c>
      <c r="B489" s="1" t="s">
        <v>70</v>
      </c>
      <c r="C489" s="1" t="s">
        <v>198</v>
      </c>
      <c r="D489" s="1">
        <v>1.0</v>
      </c>
      <c r="E489" s="1">
        <v>3.0</v>
      </c>
      <c r="F489" s="1"/>
      <c r="G489" s="218"/>
      <c r="H489" s="1"/>
      <c r="I489" s="1"/>
      <c r="J489" s="219"/>
      <c r="K489" s="219"/>
      <c r="L489" s="219"/>
      <c r="M489" s="219"/>
      <c r="N489" s="1">
        <v>77.0</v>
      </c>
      <c r="O489" s="1">
        <v>112.0</v>
      </c>
      <c r="P489" s="1">
        <v>3.0</v>
      </c>
      <c r="Q489" s="1" t="b">
        <v>1</v>
      </c>
      <c r="R489" s="1">
        <v>100.0</v>
      </c>
      <c r="S489" s="1" t="s">
        <v>407</v>
      </c>
      <c r="T489" s="1" t="s">
        <v>423</v>
      </c>
      <c r="U489" s="1"/>
    </row>
    <row r="490">
      <c r="A490" s="218">
        <v>45194.927627638885</v>
      </c>
      <c r="B490" s="1"/>
      <c r="C490" s="1"/>
      <c r="D490" s="1"/>
      <c r="E490" s="1"/>
      <c r="F490" s="1"/>
      <c r="G490" s="218"/>
      <c r="H490" s="1"/>
      <c r="I490" s="1"/>
      <c r="J490" s="219"/>
      <c r="K490" s="219"/>
      <c r="L490" s="219"/>
      <c r="M490" s="219"/>
      <c r="N490" s="1"/>
      <c r="O490" s="1"/>
      <c r="P490" s="1"/>
      <c r="Q490" s="1"/>
      <c r="R490" s="1"/>
      <c r="S490" s="1" t="e">
        <v>#N/A</v>
      </c>
      <c r="T490" s="1" t="e">
        <v>#N/A</v>
      </c>
      <c r="U490" s="1"/>
    </row>
    <row r="491">
      <c r="A491" s="218">
        <v>45194.927627638885</v>
      </c>
      <c r="B491" s="1" t="s">
        <v>57</v>
      </c>
      <c r="C491" s="1" t="s">
        <v>207</v>
      </c>
      <c r="D491" s="1">
        <v>2.0</v>
      </c>
      <c r="E491" s="1">
        <v>2.0</v>
      </c>
      <c r="F491" s="1" t="s">
        <v>1112</v>
      </c>
      <c r="G491" s="218">
        <v>45197.8125</v>
      </c>
      <c r="H491" s="1" t="s">
        <v>35</v>
      </c>
      <c r="I491" s="1" t="s">
        <v>76</v>
      </c>
      <c r="J491" s="219"/>
      <c r="K491" s="219"/>
      <c r="L491" s="219"/>
      <c r="M491" s="219"/>
      <c r="N491" s="1">
        <v>91.0</v>
      </c>
      <c r="O491" s="1">
        <v>130.0</v>
      </c>
      <c r="P491" s="1">
        <v>1.0</v>
      </c>
      <c r="Q491" s="1" t="b">
        <v>1</v>
      </c>
      <c r="R491" s="1">
        <v>100.0</v>
      </c>
      <c r="S491" s="1" t="s">
        <v>407</v>
      </c>
      <c r="T491" s="1" t="s">
        <v>423</v>
      </c>
      <c r="U491" s="1"/>
    </row>
    <row r="492">
      <c r="A492" s="218">
        <v>45194.927627638885</v>
      </c>
      <c r="B492" s="1" t="s">
        <v>57</v>
      </c>
      <c r="C492" s="1" t="s">
        <v>210</v>
      </c>
      <c r="D492" s="1">
        <v>2.0</v>
      </c>
      <c r="E492" s="1">
        <v>2.0</v>
      </c>
      <c r="F492" s="1" t="s">
        <v>1141</v>
      </c>
      <c r="G492" s="218">
        <v>45199.64583333333</v>
      </c>
      <c r="H492" s="1" t="s">
        <v>46</v>
      </c>
      <c r="I492" s="1" t="s">
        <v>1142</v>
      </c>
      <c r="J492" s="219"/>
      <c r="K492" s="219"/>
      <c r="L492" s="219"/>
      <c r="M492" s="219"/>
      <c r="N492" s="1">
        <v>109.0</v>
      </c>
      <c r="O492" s="1">
        <v>100.0</v>
      </c>
      <c r="P492" s="1">
        <v>1.0</v>
      </c>
      <c r="Q492" s="1" t="b">
        <v>0</v>
      </c>
      <c r="R492" s="1">
        <v>100.0</v>
      </c>
      <c r="S492" s="1" t="s">
        <v>296</v>
      </c>
      <c r="T492" s="1" t="s">
        <v>422</v>
      </c>
      <c r="U492" s="1"/>
    </row>
    <row r="493">
      <c r="A493" s="218">
        <v>45194.927627638885</v>
      </c>
      <c r="B493" s="1" t="s">
        <v>57</v>
      </c>
      <c r="C493" s="1" t="s">
        <v>202</v>
      </c>
      <c r="D493" s="1">
        <v>3.0</v>
      </c>
      <c r="E493" s="1">
        <v>1.0</v>
      </c>
      <c r="F493" s="1" t="s">
        <v>1137</v>
      </c>
      <c r="G493" s="218">
        <v>45199.66666666667</v>
      </c>
      <c r="H493" s="1" t="s">
        <v>60</v>
      </c>
      <c r="I493" s="1" t="s">
        <v>935</v>
      </c>
      <c r="J493" s="219"/>
      <c r="K493" s="219"/>
      <c r="L493" s="219"/>
      <c r="M493" s="219"/>
      <c r="N493" s="1">
        <v>136.0</v>
      </c>
      <c r="O493" s="1">
        <v>114.0</v>
      </c>
      <c r="P493" s="1">
        <v>1.0</v>
      </c>
      <c r="Q493" s="1" t="b">
        <v>0</v>
      </c>
      <c r="R493" s="1">
        <v>100.0</v>
      </c>
      <c r="S493" s="1" t="s">
        <v>353</v>
      </c>
      <c r="T493" s="1" t="s">
        <v>423</v>
      </c>
      <c r="U493" s="1"/>
    </row>
    <row r="494">
      <c r="A494" s="218">
        <v>45194.927627638885</v>
      </c>
      <c r="B494" s="1" t="s">
        <v>57</v>
      </c>
      <c r="C494" s="1" t="s">
        <v>206</v>
      </c>
      <c r="D494" s="1">
        <v>2.0</v>
      </c>
      <c r="E494" s="1">
        <v>2.0</v>
      </c>
      <c r="F494" s="1" t="s">
        <v>1154</v>
      </c>
      <c r="G494" s="218">
        <v>45199.79166666667</v>
      </c>
      <c r="H494" s="1" t="s">
        <v>62</v>
      </c>
      <c r="I494" s="1" t="s">
        <v>981</v>
      </c>
      <c r="J494" s="219"/>
      <c r="K494" s="219"/>
      <c r="L494" s="219"/>
      <c r="M494" s="219"/>
      <c r="N494" s="1">
        <v>126.0</v>
      </c>
      <c r="O494" s="1">
        <v>80.0</v>
      </c>
      <c r="P494" s="1">
        <v>1.0</v>
      </c>
      <c r="Q494" s="1" t="b">
        <v>1</v>
      </c>
      <c r="R494" s="1">
        <v>100.0</v>
      </c>
      <c r="S494" s="1" t="s">
        <v>355</v>
      </c>
      <c r="T494" s="1" t="s">
        <v>423</v>
      </c>
      <c r="U494" s="1"/>
    </row>
    <row r="495">
      <c r="A495" s="218">
        <v>45194.927627638885</v>
      </c>
      <c r="B495" s="1" t="s">
        <v>57</v>
      </c>
      <c r="C495" s="1" t="s">
        <v>204</v>
      </c>
      <c r="D495" s="1">
        <v>4.0</v>
      </c>
      <c r="E495" s="1">
        <v>0.0</v>
      </c>
      <c r="F495" s="1" t="s">
        <v>1155</v>
      </c>
      <c r="G495" s="218">
        <v>45199.5</v>
      </c>
      <c r="H495" s="1" t="s">
        <v>61</v>
      </c>
      <c r="I495" s="1" t="s">
        <v>888</v>
      </c>
      <c r="J495" s="219"/>
      <c r="K495" s="219"/>
      <c r="L495" s="219"/>
      <c r="M495" s="219"/>
      <c r="N495" s="1">
        <v>220.0</v>
      </c>
      <c r="O495" s="1">
        <v>80.0</v>
      </c>
      <c r="P495" s="1">
        <v>1.0</v>
      </c>
      <c r="Q495" s="1" t="b">
        <v>0</v>
      </c>
      <c r="R495" s="1">
        <v>100.0</v>
      </c>
      <c r="S495" s="1" t="s">
        <v>354</v>
      </c>
      <c r="T495" s="1" t="s">
        <v>422</v>
      </c>
      <c r="U495" s="1"/>
    </row>
    <row r="496">
      <c r="A496" s="218">
        <v>45194.927627638885</v>
      </c>
      <c r="B496" s="1" t="s">
        <v>57</v>
      </c>
      <c r="C496" s="1" t="s">
        <v>213</v>
      </c>
      <c r="D496" s="1">
        <v>2.0</v>
      </c>
      <c r="E496" s="1">
        <v>2.0</v>
      </c>
      <c r="F496" s="1" t="s">
        <v>1156</v>
      </c>
      <c r="G496" s="218">
        <v>45199.5</v>
      </c>
      <c r="H496" s="1" t="s">
        <v>125</v>
      </c>
      <c r="I496" s="1" t="s">
        <v>945</v>
      </c>
      <c r="J496" s="219"/>
      <c r="K496" s="219"/>
      <c r="L496" s="219"/>
      <c r="M496" s="219"/>
      <c r="N496" s="1">
        <v>146.0</v>
      </c>
      <c r="O496" s="1">
        <v>91.0</v>
      </c>
      <c r="P496" s="1">
        <v>1.0</v>
      </c>
      <c r="Q496" s="1" t="b">
        <v>0</v>
      </c>
      <c r="R496" s="1">
        <v>100.0</v>
      </c>
      <c r="S496" s="1" t="s">
        <v>292</v>
      </c>
      <c r="T496" s="1" t="s">
        <v>422</v>
      </c>
      <c r="U496" s="1"/>
    </row>
    <row r="497">
      <c r="A497" s="218">
        <v>45194.927627638885</v>
      </c>
      <c r="B497" s="1" t="s">
        <v>57</v>
      </c>
      <c r="C497" s="1" t="s">
        <v>201</v>
      </c>
      <c r="D497" s="1">
        <v>2.0</v>
      </c>
      <c r="E497" s="1">
        <v>3.0</v>
      </c>
      <c r="F497" s="1"/>
      <c r="G497" s="218"/>
      <c r="H497" s="1"/>
      <c r="I497" s="1"/>
      <c r="J497" s="219"/>
      <c r="K497" s="219"/>
      <c r="L497" s="219"/>
      <c r="M497" s="219"/>
      <c r="N497" s="1">
        <v>149.0</v>
      </c>
      <c r="O497" s="1">
        <v>132.0</v>
      </c>
      <c r="P497" s="1">
        <v>3.0</v>
      </c>
      <c r="Q497" s="1" t="b">
        <v>1</v>
      </c>
      <c r="R497" s="1">
        <v>100.0</v>
      </c>
      <c r="S497" s="1" t="s">
        <v>351</v>
      </c>
      <c r="T497" s="1" t="s">
        <v>423</v>
      </c>
      <c r="U497" s="1"/>
    </row>
    <row r="498">
      <c r="A498" s="218">
        <v>45194.927627638885</v>
      </c>
      <c r="B498" s="1" t="s">
        <v>57</v>
      </c>
      <c r="C498" s="1" t="s">
        <v>200</v>
      </c>
      <c r="D498" s="1">
        <v>4.0</v>
      </c>
      <c r="E498" s="1">
        <v>0.0</v>
      </c>
      <c r="F498" s="1"/>
      <c r="G498" s="218"/>
      <c r="H498" s="1"/>
      <c r="I498" s="1"/>
      <c r="J498" s="219"/>
      <c r="K498" s="219"/>
      <c r="L498" s="219"/>
      <c r="M498" s="219"/>
      <c r="N498" s="1">
        <v>138.0</v>
      </c>
      <c r="O498" s="1">
        <v>34.0</v>
      </c>
      <c r="P498" s="1">
        <v>3.0</v>
      </c>
      <c r="Q498" s="1" t="b">
        <v>1</v>
      </c>
      <c r="R498" s="1">
        <v>100.0</v>
      </c>
      <c r="S498" s="1" t="s">
        <v>282</v>
      </c>
      <c r="T498" s="1" t="s">
        <v>422</v>
      </c>
      <c r="U498" s="1"/>
    </row>
    <row r="499">
      <c r="A499" s="218">
        <v>45194.927627638885</v>
      </c>
      <c r="B499" s="1" t="s">
        <v>57</v>
      </c>
      <c r="C499" s="1" t="s">
        <v>208</v>
      </c>
      <c r="D499" s="1">
        <v>3.0</v>
      </c>
      <c r="E499" s="1">
        <v>1.0</v>
      </c>
      <c r="F499" s="1"/>
      <c r="G499" s="218"/>
      <c r="H499" s="1"/>
      <c r="I499" s="1"/>
      <c r="J499" s="219"/>
      <c r="K499" s="219"/>
      <c r="L499" s="219"/>
      <c r="M499" s="219"/>
      <c r="N499" s="1">
        <v>116.0</v>
      </c>
      <c r="O499" s="1">
        <v>91.0</v>
      </c>
      <c r="P499" s="1">
        <v>3.0</v>
      </c>
      <c r="Q499" s="1" t="b">
        <v>1</v>
      </c>
      <c r="R499" s="1">
        <v>100.0</v>
      </c>
      <c r="S499" s="1" t="s">
        <v>301</v>
      </c>
      <c r="T499" s="1" t="s">
        <v>422</v>
      </c>
      <c r="U499" s="1"/>
    </row>
    <row r="500">
      <c r="A500" s="218">
        <v>45194.927627638885</v>
      </c>
      <c r="B500" s="1" t="s">
        <v>57</v>
      </c>
      <c r="C500" s="1" t="s">
        <v>214</v>
      </c>
      <c r="D500" s="1">
        <v>4.0</v>
      </c>
      <c r="E500" s="1">
        <v>1.0</v>
      </c>
      <c r="F500" s="1"/>
      <c r="G500" s="218"/>
      <c r="H500" s="1"/>
      <c r="I500" s="1"/>
      <c r="J500" s="219"/>
      <c r="K500" s="219"/>
      <c r="L500" s="219"/>
      <c r="M500" s="219"/>
      <c r="N500" s="1">
        <v>105.0</v>
      </c>
      <c r="O500" s="1">
        <v>54.0</v>
      </c>
      <c r="P500" s="1">
        <v>3.0</v>
      </c>
      <c r="Q500" s="1" t="b">
        <v>1</v>
      </c>
      <c r="R500" s="1">
        <v>100.0</v>
      </c>
      <c r="S500" s="1" t="s">
        <v>352</v>
      </c>
      <c r="T500" s="1" t="s">
        <v>423</v>
      </c>
      <c r="U500" s="1"/>
    </row>
    <row r="501">
      <c r="A501" s="218">
        <v>45194.927627638885</v>
      </c>
      <c r="B501" s="1"/>
      <c r="C501" s="1"/>
      <c r="D501" s="1"/>
      <c r="E501" s="1"/>
      <c r="F501" s="1"/>
      <c r="G501" s="218"/>
      <c r="H501" s="1"/>
      <c r="I501" s="1"/>
      <c r="J501" s="219"/>
      <c r="K501" s="219"/>
      <c r="L501" s="219"/>
      <c r="M501" s="219"/>
      <c r="N501" s="1"/>
      <c r="O501" s="1"/>
      <c r="P501" s="1"/>
      <c r="Q501" s="1"/>
      <c r="R501" s="1"/>
      <c r="S501" s="1" t="e">
        <v>#N/A</v>
      </c>
      <c r="T501" s="1" t="e">
        <v>#N/A</v>
      </c>
      <c r="U501" s="1"/>
    </row>
    <row r="502">
      <c r="A502" s="218">
        <v>45194.927627638885</v>
      </c>
      <c r="B502" s="1" t="s">
        <v>67</v>
      </c>
      <c r="C502" s="1" t="s">
        <v>226</v>
      </c>
      <c r="D502" s="1">
        <v>1.0</v>
      </c>
      <c r="E502" s="1">
        <v>3.0</v>
      </c>
      <c r="F502" s="1" t="s">
        <v>1157</v>
      </c>
      <c r="G502" s="218">
        <v>45199.64583333333</v>
      </c>
      <c r="H502" s="1" t="s">
        <v>59</v>
      </c>
      <c r="I502" s="1" t="s">
        <v>900</v>
      </c>
      <c r="J502" s="219"/>
      <c r="K502" s="219"/>
      <c r="L502" s="219"/>
      <c r="M502" s="219"/>
      <c r="N502" s="1">
        <v>75.0</v>
      </c>
      <c r="O502" s="1">
        <v>118.0</v>
      </c>
      <c r="P502" s="1">
        <v>1.0</v>
      </c>
      <c r="Q502" s="1" t="b">
        <v>1</v>
      </c>
      <c r="R502" s="1">
        <v>100.0</v>
      </c>
      <c r="S502" s="1" t="s">
        <v>352</v>
      </c>
      <c r="T502" s="1" t="s">
        <v>423</v>
      </c>
      <c r="U502" s="1"/>
    </row>
    <row r="503">
      <c r="A503" s="218">
        <v>45194.927627638885</v>
      </c>
      <c r="B503" s="1" t="s">
        <v>67</v>
      </c>
      <c r="C503" s="1" t="s">
        <v>222</v>
      </c>
      <c r="D503" s="1">
        <v>1.0</v>
      </c>
      <c r="E503" s="1">
        <v>3.0</v>
      </c>
      <c r="F503" s="1" t="s">
        <v>1143</v>
      </c>
      <c r="G503" s="218">
        <v>45199.64583333333</v>
      </c>
      <c r="H503" s="1" t="s">
        <v>46</v>
      </c>
      <c r="I503" s="1" t="s">
        <v>958</v>
      </c>
      <c r="J503" s="219"/>
      <c r="K503" s="219"/>
      <c r="L503" s="219"/>
      <c r="M503" s="219"/>
      <c r="N503" s="1">
        <v>96.0</v>
      </c>
      <c r="O503" s="1">
        <v>129.0</v>
      </c>
      <c r="P503" s="1">
        <v>1.0</v>
      </c>
      <c r="Q503" s="1" t="b">
        <v>0</v>
      </c>
      <c r="R503" s="1">
        <v>100.0</v>
      </c>
      <c r="S503" s="1" t="s">
        <v>282</v>
      </c>
      <c r="T503" s="1" t="s">
        <v>422</v>
      </c>
      <c r="U503" s="1"/>
    </row>
    <row r="504">
      <c r="A504" s="218">
        <v>45194.927627638885</v>
      </c>
      <c r="B504" s="1" t="s">
        <v>67</v>
      </c>
      <c r="C504" s="1" t="s">
        <v>225</v>
      </c>
      <c r="D504" s="1">
        <v>3.0</v>
      </c>
      <c r="E504" s="1">
        <v>1.0</v>
      </c>
      <c r="F504" s="1" t="s">
        <v>1158</v>
      </c>
      <c r="G504" s="218">
        <v>45199.75</v>
      </c>
      <c r="H504" s="1" t="s">
        <v>69</v>
      </c>
      <c r="I504" s="1" t="s">
        <v>76</v>
      </c>
      <c r="J504" s="219"/>
      <c r="K504" s="219"/>
      <c r="L504" s="219"/>
      <c r="M504" s="219"/>
      <c r="N504" s="1">
        <v>168.0</v>
      </c>
      <c r="O504" s="1">
        <v>74.0</v>
      </c>
      <c r="P504" s="1">
        <v>1.0</v>
      </c>
      <c r="Q504" s="1" t="b">
        <v>0</v>
      </c>
      <c r="R504" s="1">
        <v>100.0</v>
      </c>
      <c r="S504" s="1" t="s">
        <v>292</v>
      </c>
      <c r="T504" s="1" t="s">
        <v>422</v>
      </c>
      <c r="U504" s="1"/>
    </row>
    <row r="505">
      <c r="A505" s="218">
        <v>45194.927627638885</v>
      </c>
      <c r="B505" s="1" t="s">
        <v>67</v>
      </c>
      <c r="C505" s="1" t="s">
        <v>221</v>
      </c>
      <c r="D505" s="1">
        <v>1.0</v>
      </c>
      <c r="E505" s="1">
        <v>2.0</v>
      </c>
      <c r="F505" s="1" t="s">
        <v>1159</v>
      </c>
      <c r="G505" s="218">
        <v>45199.79166666667</v>
      </c>
      <c r="H505" s="1"/>
      <c r="I505" s="1" t="s">
        <v>935</v>
      </c>
      <c r="J505" s="219"/>
      <c r="K505" s="219"/>
      <c r="L505" s="219"/>
      <c r="M505" s="219"/>
      <c r="N505" s="1">
        <v>100.0</v>
      </c>
      <c r="O505" s="1">
        <v>141.0</v>
      </c>
      <c r="P505" s="1">
        <v>1.0</v>
      </c>
      <c r="Q505" s="1" t="b">
        <v>0</v>
      </c>
      <c r="R505" s="1">
        <v>100.0</v>
      </c>
      <c r="S505" s="1" t="s">
        <v>407</v>
      </c>
      <c r="T505" s="1" t="s">
        <v>423</v>
      </c>
      <c r="U505" s="1"/>
    </row>
    <row r="506">
      <c r="A506" s="218">
        <v>45194.927627638885</v>
      </c>
      <c r="B506" s="1" t="s">
        <v>67</v>
      </c>
      <c r="C506" s="1" t="s">
        <v>218</v>
      </c>
      <c r="D506" s="1">
        <v>2.0</v>
      </c>
      <c r="E506" s="1">
        <v>1.0</v>
      </c>
      <c r="F506" s="1" t="s">
        <v>1119</v>
      </c>
      <c r="G506" s="218">
        <v>45199.83333333333</v>
      </c>
      <c r="H506" s="1" t="s">
        <v>35</v>
      </c>
      <c r="I506" s="1" t="s">
        <v>935</v>
      </c>
      <c r="J506" s="219"/>
      <c r="K506" s="219"/>
      <c r="L506" s="219"/>
      <c r="M506" s="219"/>
      <c r="N506" s="1">
        <v>44.0</v>
      </c>
      <c r="O506" s="1">
        <v>74.0</v>
      </c>
      <c r="P506" s="1">
        <v>1.0</v>
      </c>
      <c r="Q506" s="1" t="b">
        <v>0</v>
      </c>
      <c r="R506" s="1">
        <v>100.0</v>
      </c>
      <c r="S506" s="1" t="s">
        <v>353</v>
      </c>
      <c r="T506" s="1" t="s">
        <v>423</v>
      </c>
      <c r="U506" s="1"/>
    </row>
    <row r="507">
      <c r="A507" s="218">
        <v>45194.927627638885</v>
      </c>
      <c r="B507" s="1" t="s">
        <v>67</v>
      </c>
      <c r="C507" s="1" t="s">
        <v>223</v>
      </c>
      <c r="D507" s="1">
        <v>3.0</v>
      </c>
      <c r="E507" s="1">
        <v>1.0</v>
      </c>
      <c r="F507" s="1" t="s">
        <v>1160</v>
      </c>
      <c r="G507" s="218">
        <v>45199.83333333333</v>
      </c>
      <c r="H507" s="1"/>
      <c r="I507" s="1" t="s">
        <v>36</v>
      </c>
      <c r="J507" s="219"/>
      <c r="K507" s="219"/>
      <c r="L507" s="219"/>
      <c r="M507" s="219"/>
      <c r="N507" s="1">
        <v>153.0</v>
      </c>
      <c r="O507" s="1">
        <v>81.0</v>
      </c>
      <c r="P507" s="1">
        <v>1.0</v>
      </c>
      <c r="Q507" s="1" t="b">
        <v>1</v>
      </c>
      <c r="R507" s="1">
        <v>100.0</v>
      </c>
      <c r="S507" s="1" t="s">
        <v>296</v>
      </c>
      <c r="T507" s="1" t="s">
        <v>422</v>
      </c>
      <c r="U507" s="1"/>
    </row>
    <row r="508">
      <c r="A508" s="218">
        <v>45194.927627638885</v>
      </c>
      <c r="B508" s="1" t="s">
        <v>67</v>
      </c>
      <c r="C508" s="1" t="s">
        <v>217</v>
      </c>
      <c r="D508" s="1">
        <v>3.0</v>
      </c>
      <c r="E508" s="1">
        <v>1.0</v>
      </c>
      <c r="F508" s="1" t="s">
        <v>1147</v>
      </c>
      <c r="G508" s="218">
        <v>45199.91666666667</v>
      </c>
      <c r="H508" s="1" t="s">
        <v>46</v>
      </c>
      <c r="I508" s="1" t="s">
        <v>287</v>
      </c>
      <c r="J508" s="219"/>
      <c r="K508" s="219"/>
      <c r="L508" s="219"/>
      <c r="M508" s="219"/>
      <c r="N508" s="1">
        <v>114.0</v>
      </c>
      <c r="O508" s="1">
        <v>64.0</v>
      </c>
      <c r="P508" s="1">
        <v>1.0</v>
      </c>
      <c r="Q508" s="1" t="b">
        <v>1</v>
      </c>
      <c r="R508" s="1">
        <v>100.0</v>
      </c>
      <c r="S508" s="1" t="s">
        <v>354</v>
      </c>
      <c r="T508" s="1" t="s">
        <v>422</v>
      </c>
      <c r="U508" s="1"/>
    </row>
    <row r="509">
      <c r="A509" s="218">
        <v>45194.927627638885</v>
      </c>
      <c r="B509" s="1" t="s">
        <v>67</v>
      </c>
      <c r="C509" s="1" t="s">
        <v>205</v>
      </c>
      <c r="D509" s="1">
        <v>2.0</v>
      </c>
      <c r="E509" s="1">
        <v>2.0</v>
      </c>
      <c r="F509" s="1" t="s">
        <v>1161</v>
      </c>
      <c r="G509" s="218">
        <v>45199.5</v>
      </c>
      <c r="H509" s="1" t="s">
        <v>125</v>
      </c>
      <c r="I509" s="1" t="s">
        <v>40</v>
      </c>
      <c r="J509" s="219">
        <v>-14.5</v>
      </c>
      <c r="K509" s="219">
        <v>-16.5</v>
      </c>
      <c r="L509" s="219">
        <v>520.0</v>
      </c>
      <c r="M509" s="219" t="s">
        <v>906</v>
      </c>
      <c r="N509" s="1">
        <v>115.0</v>
      </c>
      <c r="O509" s="1">
        <v>95.0</v>
      </c>
      <c r="P509" s="1">
        <v>1.0</v>
      </c>
      <c r="Q509" s="1" t="b">
        <v>0</v>
      </c>
      <c r="R509" s="1">
        <v>100.0</v>
      </c>
      <c r="S509" s="1" t="s">
        <v>355</v>
      </c>
      <c r="T509" s="1" t="s">
        <v>423</v>
      </c>
      <c r="U509" s="1"/>
    </row>
    <row r="510">
      <c r="A510" s="218">
        <v>45194.927627638885</v>
      </c>
      <c r="B510" s="1" t="s">
        <v>67</v>
      </c>
      <c r="C510" s="1" t="s">
        <v>216</v>
      </c>
      <c r="D510" s="1">
        <v>4.0</v>
      </c>
      <c r="E510" s="1">
        <v>0.0</v>
      </c>
      <c r="F510" s="1"/>
      <c r="G510" s="218"/>
      <c r="H510" s="1"/>
      <c r="I510" s="1"/>
      <c r="J510" s="219"/>
      <c r="K510" s="219"/>
      <c r="L510" s="219"/>
      <c r="M510" s="219"/>
      <c r="N510" s="1">
        <v>143.0</v>
      </c>
      <c r="O510" s="1">
        <v>88.0</v>
      </c>
      <c r="P510" s="1">
        <v>3.0</v>
      </c>
      <c r="Q510" s="1" t="b">
        <v>1</v>
      </c>
      <c r="R510" s="1">
        <v>100.0</v>
      </c>
      <c r="S510" s="1" t="s">
        <v>301</v>
      </c>
      <c r="T510" s="1" t="s">
        <v>422</v>
      </c>
      <c r="U510" s="1"/>
    </row>
    <row r="511">
      <c r="A511" s="218">
        <v>45194.927627638885</v>
      </c>
      <c r="B511" s="1" t="s">
        <v>67</v>
      </c>
      <c r="C511" s="1" t="s">
        <v>220</v>
      </c>
      <c r="D511" s="1">
        <v>3.0</v>
      </c>
      <c r="E511" s="1">
        <v>2.0</v>
      </c>
      <c r="F511" s="1"/>
      <c r="G511" s="218"/>
      <c r="H511" s="1"/>
      <c r="I511" s="1"/>
      <c r="J511" s="219"/>
      <c r="K511" s="219"/>
      <c r="L511" s="219"/>
      <c r="M511" s="219"/>
      <c r="N511" s="1">
        <v>107.0</v>
      </c>
      <c r="O511" s="1">
        <v>128.0</v>
      </c>
      <c r="P511" s="1">
        <v>3.0</v>
      </c>
      <c r="Q511" s="1" t="b">
        <v>1</v>
      </c>
      <c r="R511" s="1">
        <v>100.0</v>
      </c>
      <c r="S511" s="1" t="s">
        <v>351</v>
      </c>
      <c r="T511" s="1" t="s">
        <v>423</v>
      </c>
      <c r="U511" s="1"/>
    </row>
    <row r="512">
      <c r="A512" s="218">
        <v>45194.927627638885</v>
      </c>
      <c r="B512" s="1"/>
      <c r="C512" s="1"/>
      <c r="D512" s="1"/>
      <c r="E512" s="1"/>
      <c r="F512" s="1"/>
      <c r="G512" s="218"/>
      <c r="H512" s="1"/>
      <c r="I512" s="1"/>
      <c r="J512" s="219"/>
      <c r="K512" s="219"/>
      <c r="L512" s="219"/>
      <c r="M512" s="219"/>
      <c r="N512" s="1"/>
      <c r="O512" s="1"/>
      <c r="P512" s="1"/>
      <c r="Q512" s="1"/>
      <c r="R512" s="1"/>
      <c r="S512" s="1" t="e">
        <v>#N/A</v>
      </c>
      <c r="T512" s="1" t="e">
        <v>#N/A</v>
      </c>
      <c r="U512" s="1"/>
    </row>
    <row r="513">
      <c r="A513" s="218">
        <v>45194.927627638885</v>
      </c>
      <c r="B513" s="1" t="s">
        <v>59</v>
      </c>
      <c r="C513" s="1" t="s">
        <v>231</v>
      </c>
      <c r="D513" s="1">
        <v>4.0</v>
      </c>
      <c r="E513" s="1">
        <v>0.0</v>
      </c>
      <c r="F513" s="1" t="s">
        <v>1162</v>
      </c>
      <c r="G513" s="218">
        <v>45198.875</v>
      </c>
      <c r="H513" s="1" t="s">
        <v>62</v>
      </c>
      <c r="I513" s="1" t="s">
        <v>96</v>
      </c>
      <c r="J513" s="219"/>
      <c r="K513" s="219"/>
      <c r="L513" s="219"/>
      <c r="M513" s="219"/>
      <c r="N513" s="1">
        <v>89.0</v>
      </c>
      <c r="O513" s="1">
        <v>38.0</v>
      </c>
      <c r="P513" s="1">
        <v>1.0</v>
      </c>
      <c r="Q513" s="1" t="b">
        <v>1</v>
      </c>
      <c r="R513" s="1">
        <v>100.0</v>
      </c>
      <c r="S513" s="1" t="s">
        <v>354</v>
      </c>
      <c r="T513" s="1" t="s">
        <v>422</v>
      </c>
      <c r="U513" s="1"/>
    </row>
    <row r="514">
      <c r="A514" s="218">
        <v>45194.927627638885</v>
      </c>
      <c r="B514" s="1" t="s">
        <v>59</v>
      </c>
      <c r="C514" s="1" t="s">
        <v>238</v>
      </c>
      <c r="D514" s="1">
        <v>2.0</v>
      </c>
      <c r="E514" s="1">
        <v>2.0</v>
      </c>
      <c r="F514" s="1" t="s">
        <v>1163</v>
      </c>
      <c r="G514" s="218">
        <v>45199.5625</v>
      </c>
      <c r="H514" s="1" t="s">
        <v>125</v>
      </c>
      <c r="I514" s="1" t="s">
        <v>935</v>
      </c>
      <c r="J514" s="219"/>
      <c r="K514" s="219"/>
      <c r="L514" s="219"/>
      <c r="M514" s="219"/>
      <c r="N514" s="1">
        <v>58.0</v>
      </c>
      <c r="O514" s="1">
        <v>86.0</v>
      </c>
      <c r="P514" s="1">
        <v>1.0</v>
      </c>
      <c r="Q514" s="1" t="b">
        <v>0</v>
      </c>
      <c r="R514" s="1">
        <v>100.0</v>
      </c>
      <c r="S514" s="1" t="s">
        <v>352</v>
      </c>
      <c r="T514" s="1" t="s">
        <v>423</v>
      </c>
      <c r="U514" s="1"/>
    </row>
    <row r="515">
      <c r="A515" s="218">
        <v>45194.927627638885</v>
      </c>
      <c r="B515" s="1" t="s">
        <v>59</v>
      </c>
      <c r="C515" s="1" t="s">
        <v>234</v>
      </c>
      <c r="D515" s="1">
        <v>1.0</v>
      </c>
      <c r="E515" s="1">
        <v>2.0</v>
      </c>
      <c r="F515" s="1" t="s">
        <v>1164</v>
      </c>
      <c r="G515" s="218">
        <v>45199.64583333333</v>
      </c>
      <c r="H515" s="1" t="s">
        <v>69</v>
      </c>
      <c r="I515" s="1" t="s">
        <v>99</v>
      </c>
      <c r="J515" s="219"/>
      <c r="K515" s="219"/>
      <c r="L515" s="219"/>
      <c r="M515" s="219"/>
      <c r="N515" s="1">
        <v>51.0</v>
      </c>
      <c r="O515" s="1">
        <v>70.0</v>
      </c>
      <c r="P515" s="1">
        <v>1.0</v>
      </c>
      <c r="Q515" s="1" t="b">
        <v>0</v>
      </c>
      <c r="R515" s="1">
        <v>100.0</v>
      </c>
      <c r="S515" s="1" t="s">
        <v>407</v>
      </c>
      <c r="T515" s="1" t="s">
        <v>423</v>
      </c>
      <c r="U515" s="1"/>
    </row>
    <row r="516">
      <c r="A516" s="218">
        <v>45194.927627638885</v>
      </c>
      <c r="B516" s="1" t="s">
        <v>59</v>
      </c>
      <c r="C516" s="1" t="s">
        <v>230</v>
      </c>
      <c r="D516" s="1">
        <v>1.0</v>
      </c>
      <c r="E516" s="1">
        <v>3.0</v>
      </c>
      <c r="F516" s="1" t="s">
        <v>1165</v>
      </c>
      <c r="G516" s="218">
        <v>45199.64583333333</v>
      </c>
      <c r="H516" s="1" t="s">
        <v>69</v>
      </c>
      <c r="I516" s="1" t="s">
        <v>96</v>
      </c>
      <c r="J516" s="219"/>
      <c r="K516" s="219"/>
      <c r="L516" s="219"/>
      <c r="M516" s="219"/>
      <c r="N516" s="1">
        <v>80.0</v>
      </c>
      <c r="O516" s="1">
        <v>107.0</v>
      </c>
      <c r="P516" s="1">
        <v>1.0</v>
      </c>
      <c r="Q516" s="1" t="b">
        <v>1</v>
      </c>
      <c r="R516" s="1">
        <v>100.0</v>
      </c>
      <c r="S516" s="1" t="s">
        <v>296</v>
      </c>
      <c r="T516" s="1" t="s">
        <v>422</v>
      </c>
      <c r="U516" s="1"/>
    </row>
    <row r="517">
      <c r="A517" s="218">
        <v>45194.927627638885</v>
      </c>
      <c r="B517" s="1" t="s">
        <v>59</v>
      </c>
      <c r="C517" s="1" t="s">
        <v>229</v>
      </c>
      <c r="D517" s="1">
        <v>2.0</v>
      </c>
      <c r="E517" s="1">
        <v>2.0</v>
      </c>
      <c r="F517" s="1" t="s">
        <v>1157</v>
      </c>
      <c r="G517" s="218">
        <v>45199.64583333333</v>
      </c>
      <c r="H517" s="1" t="s">
        <v>67</v>
      </c>
      <c r="I517" s="1" t="s">
        <v>900</v>
      </c>
      <c r="J517" s="219"/>
      <c r="K517" s="219"/>
      <c r="L517" s="219"/>
      <c r="M517" s="219"/>
      <c r="N517" s="1">
        <v>135.0</v>
      </c>
      <c r="O517" s="1">
        <v>116.0</v>
      </c>
      <c r="P517" s="1">
        <v>1.0</v>
      </c>
      <c r="Q517" s="1" t="b">
        <v>0</v>
      </c>
      <c r="R517" s="1">
        <v>100.0</v>
      </c>
      <c r="S517" s="1" t="s">
        <v>301</v>
      </c>
      <c r="T517" s="1" t="s">
        <v>422</v>
      </c>
      <c r="U517" s="1"/>
    </row>
    <row r="518">
      <c r="A518" s="218">
        <v>45194.927627638885</v>
      </c>
      <c r="B518" s="1" t="s">
        <v>59</v>
      </c>
      <c r="C518" s="1" t="s">
        <v>209</v>
      </c>
      <c r="D518" s="1">
        <v>4.0</v>
      </c>
      <c r="E518" s="1">
        <v>0.0</v>
      </c>
      <c r="F518" s="1" t="s">
        <v>1116</v>
      </c>
      <c r="G518" s="218">
        <v>45199.64583333333</v>
      </c>
      <c r="H518" s="1" t="s">
        <v>35</v>
      </c>
      <c r="I518" s="1" t="s">
        <v>92</v>
      </c>
      <c r="J518" s="219"/>
      <c r="K518" s="219"/>
      <c r="L518" s="219"/>
      <c r="M518" s="219"/>
      <c r="N518" s="1">
        <v>127.0</v>
      </c>
      <c r="O518" s="1">
        <v>23.0</v>
      </c>
      <c r="P518" s="1">
        <v>1.0</v>
      </c>
      <c r="Q518" s="1" t="b">
        <v>1</v>
      </c>
      <c r="R518" s="1">
        <v>100.0</v>
      </c>
      <c r="S518" s="1" t="s">
        <v>282</v>
      </c>
      <c r="T518" s="1" t="s">
        <v>422</v>
      </c>
      <c r="U518" s="1"/>
    </row>
    <row r="519">
      <c r="A519" s="218">
        <v>45194.927627638885</v>
      </c>
      <c r="B519" s="1" t="s">
        <v>59</v>
      </c>
      <c r="C519" s="1" t="s">
        <v>237</v>
      </c>
      <c r="D519" s="1">
        <v>4.0</v>
      </c>
      <c r="E519" s="1">
        <v>0.0</v>
      </c>
      <c r="F519" s="1" t="s">
        <v>1166</v>
      </c>
      <c r="G519" s="218">
        <v>45199.66666666667</v>
      </c>
      <c r="H519" s="1"/>
      <c r="I519" s="1" t="s">
        <v>945</v>
      </c>
      <c r="J519" s="219"/>
      <c r="K519" s="219"/>
      <c r="L519" s="219"/>
      <c r="M519" s="219"/>
      <c r="N519" s="1">
        <v>122.0</v>
      </c>
      <c r="O519" s="1">
        <v>83.0</v>
      </c>
      <c r="P519" s="1">
        <v>1.0</v>
      </c>
      <c r="Q519" s="1" t="b">
        <v>1</v>
      </c>
      <c r="R519" s="1">
        <v>100.0</v>
      </c>
      <c r="S519" s="1" t="s">
        <v>292</v>
      </c>
      <c r="T519" s="1" t="s">
        <v>422</v>
      </c>
      <c r="U519" s="1"/>
    </row>
    <row r="520">
      <c r="A520" s="218">
        <v>45194.927627638885</v>
      </c>
      <c r="B520" s="1" t="s">
        <v>59</v>
      </c>
      <c r="C520" s="1" t="s">
        <v>227</v>
      </c>
      <c r="D520" s="1">
        <v>2.0</v>
      </c>
      <c r="E520" s="1">
        <v>2.0</v>
      </c>
      <c r="F520" s="1" t="s">
        <v>1123</v>
      </c>
      <c r="G520" s="218">
        <v>45199.66666666667</v>
      </c>
      <c r="H520" s="1" t="s">
        <v>58</v>
      </c>
      <c r="I520" s="1" t="s">
        <v>36</v>
      </c>
      <c r="J520" s="219"/>
      <c r="K520" s="219"/>
      <c r="L520" s="219"/>
      <c r="M520" s="219"/>
      <c r="N520" s="1">
        <v>111.0</v>
      </c>
      <c r="O520" s="1">
        <v>123.0</v>
      </c>
      <c r="P520" s="1">
        <v>1.0</v>
      </c>
      <c r="Q520" s="1" t="b">
        <v>0</v>
      </c>
      <c r="R520" s="1">
        <v>100.0</v>
      </c>
      <c r="S520" s="1" t="s">
        <v>353</v>
      </c>
      <c r="T520" s="1" t="s">
        <v>423</v>
      </c>
      <c r="U520" s="1"/>
    </row>
    <row r="521">
      <c r="A521" s="218">
        <v>45194.927627638885</v>
      </c>
      <c r="B521" s="1" t="s">
        <v>59</v>
      </c>
      <c r="C521" s="1" t="s">
        <v>232</v>
      </c>
      <c r="D521" s="1">
        <v>4.0</v>
      </c>
      <c r="E521" s="1">
        <v>0.0</v>
      </c>
      <c r="F521" s="1" t="s">
        <v>1145</v>
      </c>
      <c r="G521" s="218">
        <v>45199.79166666667</v>
      </c>
      <c r="H521" s="1" t="s">
        <v>46</v>
      </c>
      <c r="I521" s="1" t="s">
        <v>935</v>
      </c>
      <c r="J521" s="219"/>
      <c r="K521" s="219"/>
      <c r="L521" s="219"/>
      <c r="M521" s="219"/>
      <c r="N521" s="1">
        <v>148.0</v>
      </c>
      <c r="O521" s="1">
        <v>91.0</v>
      </c>
      <c r="P521" s="1">
        <v>1.0</v>
      </c>
      <c r="Q521" s="1" t="b">
        <v>0</v>
      </c>
      <c r="R521" s="1">
        <v>100.0</v>
      </c>
      <c r="S521" s="1" t="s">
        <v>355</v>
      </c>
      <c r="T521" s="1" t="s">
        <v>423</v>
      </c>
      <c r="U521" s="1"/>
    </row>
    <row r="522">
      <c r="A522" s="218">
        <v>45194.927627638885</v>
      </c>
      <c r="B522" s="1" t="s">
        <v>59</v>
      </c>
      <c r="C522" s="1" t="s">
        <v>236</v>
      </c>
      <c r="D522" s="1">
        <v>0.0</v>
      </c>
      <c r="E522" s="1">
        <v>4.0</v>
      </c>
      <c r="F522" s="1" t="s">
        <v>1167</v>
      </c>
      <c r="G522" s="218">
        <v>45199.5</v>
      </c>
      <c r="H522" s="1" t="s">
        <v>61</v>
      </c>
      <c r="I522" s="1" t="s">
        <v>99</v>
      </c>
      <c r="J522" s="219"/>
      <c r="K522" s="219"/>
      <c r="L522" s="219"/>
      <c r="M522" s="219"/>
      <c r="N522" s="1">
        <v>52.0</v>
      </c>
      <c r="O522" s="1">
        <v>124.0</v>
      </c>
      <c r="P522" s="1">
        <v>1.0</v>
      </c>
      <c r="Q522" s="1" t="b">
        <v>1</v>
      </c>
      <c r="R522" s="1">
        <v>100.0</v>
      </c>
      <c r="S522" s="1" t="s">
        <v>351</v>
      </c>
      <c r="T522" s="1" t="s">
        <v>423</v>
      </c>
      <c r="U522" s="1"/>
    </row>
    <row r="523">
      <c r="A523" s="218">
        <v>45194.927627638885</v>
      </c>
      <c r="B523" s="1"/>
      <c r="C523" s="1"/>
      <c r="D523" s="1"/>
      <c r="E523" s="1"/>
      <c r="F523" s="1"/>
      <c r="G523" s="218"/>
      <c r="H523" s="1"/>
      <c r="I523" s="1"/>
      <c r="J523" s="219"/>
      <c r="K523" s="219"/>
      <c r="L523" s="219"/>
      <c r="M523" s="219"/>
      <c r="N523" s="1"/>
      <c r="O523" s="1"/>
      <c r="P523" s="1"/>
      <c r="Q523" s="1"/>
      <c r="R523" s="1"/>
      <c r="S523" s="1" t="e">
        <v>#N/A</v>
      </c>
      <c r="T523" s="1" t="e">
        <v>#N/A</v>
      </c>
      <c r="U523" s="1"/>
    </row>
    <row r="524">
      <c r="A524" s="218">
        <v>45194.927627638885</v>
      </c>
      <c r="B524" s="1" t="s">
        <v>62</v>
      </c>
      <c r="C524" s="1" t="s">
        <v>215</v>
      </c>
      <c r="D524" s="1">
        <v>2.0</v>
      </c>
      <c r="E524" s="1">
        <v>2.0</v>
      </c>
      <c r="F524" s="1" t="s">
        <v>1168</v>
      </c>
      <c r="G524" s="218">
        <v>45197.8125</v>
      </c>
      <c r="H524" s="1" t="s">
        <v>61</v>
      </c>
      <c r="I524" s="1" t="s">
        <v>99</v>
      </c>
      <c r="J524" s="219"/>
      <c r="K524" s="219"/>
      <c r="L524" s="219"/>
      <c r="M524" s="219"/>
      <c r="N524" s="1">
        <v>127.0</v>
      </c>
      <c r="O524" s="1">
        <v>136.0</v>
      </c>
      <c r="P524" s="1">
        <v>1.0</v>
      </c>
      <c r="Q524" s="1" t="b">
        <v>0</v>
      </c>
      <c r="R524" s="1">
        <v>100.0</v>
      </c>
      <c r="S524" s="1" t="s">
        <v>351</v>
      </c>
      <c r="T524" s="1" t="s">
        <v>423</v>
      </c>
      <c r="U524" s="1"/>
    </row>
    <row r="525">
      <c r="A525" s="218">
        <v>45194.927627638885</v>
      </c>
      <c r="B525" s="1" t="s">
        <v>62</v>
      </c>
      <c r="C525" s="1" t="s">
        <v>247</v>
      </c>
      <c r="D525" s="1">
        <v>3.0</v>
      </c>
      <c r="E525" s="1">
        <v>1.0</v>
      </c>
      <c r="F525" s="1" t="s">
        <v>1162</v>
      </c>
      <c r="G525" s="218">
        <v>45198.875</v>
      </c>
      <c r="H525" s="1" t="s">
        <v>59</v>
      </c>
      <c r="I525" s="1" t="s">
        <v>96</v>
      </c>
      <c r="J525" s="219"/>
      <c r="K525" s="219"/>
      <c r="L525" s="219"/>
      <c r="M525" s="219"/>
      <c r="N525" s="1">
        <v>158.0</v>
      </c>
      <c r="O525" s="1">
        <v>71.0</v>
      </c>
      <c r="P525" s="1">
        <v>1.0</v>
      </c>
      <c r="Q525" s="1" t="b">
        <v>0</v>
      </c>
      <c r="R525" s="1">
        <v>100.0</v>
      </c>
      <c r="S525" s="1" t="s">
        <v>354</v>
      </c>
      <c r="T525" s="1" t="s">
        <v>422</v>
      </c>
      <c r="U525" s="1"/>
    </row>
    <row r="526">
      <c r="A526" s="218">
        <v>45194.927627638885</v>
      </c>
      <c r="B526" s="1" t="s">
        <v>62</v>
      </c>
      <c r="C526" s="1" t="s">
        <v>242</v>
      </c>
      <c r="D526" s="1">
        <v>2.0</v>
      </c>
      <c r="E526" s="1">
        <v>2.0</v>
      </c>
      <c r="F526" s="1" t="s">
        <v>1120</v>
      </c>
      <c r="G526" s="218">
        <v>45198.92708333333</v>
      </c>
      <c r="H526" s="1" t="s">
        <v>58</v>
      </c>
      <c r="I526" s="1" t="s">
        <v>76</v>
      </c>
      <c r="J526" s="219"/>
      <c r="K526" s="219"/>
      <c r="L526" s="219"/>
      <c r="M526" s="219"/>
      <c r="N526" s="1">
        <v>123.0</v>
      </c>
      <c r="O526" s="1">
        <v>85.0</v>
      </c>
      <c r="P526" s="1">
        <v>1.0</v>
      </c>
      <c r="Q526" s="1" t="b">
        <v>0</v>
      </c>
      <c r="R526" s="1">
        <v>100.0</v>
      </c>
      <c r="S526" s="1" t="s">
        <v>296</v>
      </c>
      <c r="T526" s="1" t="s">
        <v>422</v>
      </c>
      <c r="U526" s="1"/>
    </row>
    <row r="527">
      <c r="A527" s="218">
        <v>45194.927627638885</v>
      </c>
      <c r="B527" s="1" t="s">
        <v>62</v>
      </c>
      <c r="C527" s="1" t="s">
        <v>248</v>
      </c>
      <c r="D527" s="1">
        <v>1.0</v>
      </c>
      <c r="E527" s="1">
        <v>3.0</v>
      </c>
      <c r="F527" s="1" t="s">
        <v>1169</v>
      </c>
      <c r="G527" s="218">
        <v>45199.58333333333</v>
      </c>
      <c r="H527" s="1"/>
      <c r="I527" s="1" t="s">
        <v>1019</v>
      </c>
      <c r="J527" s="219"/>
      <c r="K527" s="219"/>
      <c r="L527" s="219"/>
      <c r="M527" s="219"/>
      <c r="N527" s="1">
        <v>112.0</v>
      </c>
      <c r="O527" s="1">
        <v>142.0</v>
      </c>
      <c r="P527" s="1">
        <v>1.0</v>
      </c>
      <c r="Q527" s="1" t="b">
        <v>0</v>
      </c>
      <c r="R527" s="1">
        <v>100.0</v>
      </c>
      <c r="S527" s="1" t="s">
        <v>301</v>
      </c>
      <c r="T527" s="1" t="s">
        <v>422</v>
      </c>
      <c r="U527" s="1"/>
    </row>
    <row r="528">
      <c r="A528" s="218">
        <v>45194.927627638885</v>
      </c>
      <c r="B528" s="1" t="s">
        <v>62</v>
      </c>
      <c r="C528" s="1" t="s">
        <v>240</v>
      </c>
      <c r="D528" s="1">
        <v>3.0</v>
      </c>
      <c r="E528" s="1">
        <v>1.0</v>
      </c>
      <c r="F528" s="1" t="s">
        <v>1114</v>
      </c>
      <c r="G528" s="218">
        <v>45199.60416666667</v>
      </c>
      <c r="H528" s="1" t="s">
        <v>35</v>
      </c>
      <c r="I528" s="1"/>
      <c r="J528" s="219"/>
      <c r="K528" s="219"/>
      <c r="L528" s="219"/>
      <c r="M528" s="219"/>
      <c r="N528" s="1">
        <v>137.0</v>
      </c>
      <c r="O528" s="1">
        <v>110.0</v>
      </c>
      <c r="P528" s="1">
        <v>1.0</v>
      </c>
      <c r="Q528" s="1" t="b">
        <v>0</v>
      </c>
      <c r="R528" s="1">
        <v>100.0</v>
      </c>
      <c r="S528" s="1" t="s">
        <v>352</v>
      </c>
      <c r="T528" s="1" t="s">
        <v>423</v>
      </c>
      <c r="U528" s="1"/>
    </row>
    <row r="529">
      <c r="A529" s="218">
        <v>45194.927627638885</v>
      </c>
      <c r="B529" s="1" t="s">
        <v>62</v>
      </c>
      <c r="C529" s="1" t="s">
        <v>244</v>
      </c>
      <c r="D529" s="1">
        <v>4.0</v>
      </c>
      <c r="E529" s="1">
        <v>0.0</v>
      </c>
      <c r="F529" s="1" t="s">
        <v>1152</v>
      </c>
      <c r="G529" s="218">
        <v>45199.64583333333</v>
      </c>
      <c r="H529" s="1" t="s">
        <v>70</v>
      </c>
      <c r="I529" s="1" t="s">
        <v>888</v>
      </c>
      <c r="J529" s="219"/>
      <c r="K529" s="219"/>
      <c r="L529" s="219"/>
      <c r="M529" s="219"/>
      <c r="N529" s="1">
        <v>149.0</v>
      </c>
      <c r="O529" s="1">
        <v>49.0</v>
      </c>
      <c r="P529" s="1">
        <v>1.0</v>
      </c>
      <c r="Q529" s="1" t="b">
        <v>1</v>
      </c>
      <c r="R529" s="1">
        <v>100.0</v>
      </c>
      <c r="S529" s="1" t="s">
        <v>282</v>
      </c>
      <c r="T529" s="1" t="s">
        <v>422</v>
      </c>
      <c r="U529" s="1"/>
    </row>
    <row r="530">
      <c r="A530" s="218">
        <v>45194.927627638885</v>
      </c>
      <c r="B530" s="1" t="s">
        <v>62</v>
      </c>
      <c r="C530" s="1" t="s">
        <v>246</v>
      </c>
      <c r="D530" s="1">
        <v>1.0</v>
      </c>
      <c r="E530" s="1">
        <v>3.0</v>
      </c>
      <c r="F530" s="1" t="s">
        <v>1170</v>
      </c>
      <c r="G530" s="218">
        <v>45199.79166666667</v>
      </c>
      <c r="H530" s="1" t="s">
        <v>125</v>
      </c>
      <c r="I530" s="1" t="s">
        <v>935</v>
      </c>
      <c r="J530" s="219"/>
      <c r="K530" s="219"/>
      <c r="L530" s="219"/>
      <c r="M530" s="219"/>
      <c r="N530" s="1">
        <v>88.0</v>
      </c>
      <c r="O530" s="1">
        <v>104.0</v>
      </c>
      <c r="P530" s="1">
        <v>1.0</v>
      </c>
      <c r="Q530" s="1" t="b">
        <v>1</v>
      </c>
      <c r="R530" s="1">
        <v>100.0</v>
      </c>
      <c r="S530" s="1" t="s">
        <v>407</v>
      </c>
      <c r="T530" s="1" t="s">
        <v>423</v>
      </c>
      <c r="U530" s="1"/>
    </row>
    <row r="531">
      <c r="A531" s="218">
        <v>45194.927627638885</v>
      </c>
      <c r="B531" s="1" t="s">
        <v>62</v>
      </c>
      <c r="C531" s="1" t="s">
        <v>245</v>
      </c>
      <c r="D531" s="1">
        <v>3.0</v>
      </c>
      <c r="E531" s="1">
        <v>1.0</v>
      </c>
      <c r="F531" s="1" t="s">
        <v>1154</v>
      </c>
      <c r="G531" s="218">
        <v>45199.79166666667</v>
      </c>
      <c r="H531" s="1" t="s">
        <v>57</v>
      </c>
      <c r="I531" s="1" t="s">
        <v>981</v>
      </c>
      <c r="J531" s="219"/>
      <c r="K531" s="219"/>
      <c r="L531" s="219"/>
      <c r="M531" s="219"/>
      <c r="N531" s="1">
        <v>137.0</v>
      </c>
      <c r="O531" s="1">
        <v>73.0</v>
      </c>
      <c r="P531" s="1">
        <v>1.0</v>
      </c>
      <c r="Q531" s="1" t="b">
        <v>0</v>
      </c>
      <c r="R531" s="1">
        <v>100.0</v>
      </c>
      <c r="S531" s="1" t="s">
        <v>355</v>
      </c>
      <c r="T531" s="1" t="s">
        <v>423</v>
      </c>
      <c r="U531" s="1"/>
    </row>
    <row r="532">
      <c r="A532" s="218">
        <v>45194.927627638885</v>
      </c>
      <c r="B532" s="1" t="s">
        <v>62</v>
      </c>
      <c r="C532" s="1" t="s">
        <v>249</v>
      </c>
      <c r="D532" s="1">
        <v>2.0</v>
      </c>
      <c r="E532" s="1">
        <v>2.0</v>
      </c>
      <c r="F532" s="1" t="s">
        <v>1140</v>
      </c>
      <c r="G532" s="218">
        <v>45199.875</v>
      </c>
      <c r="H532" s="1" t="s">
        <v>60</v>
      </c>
      <c r="I532" s="1" t="s">
        <v>76</v>
      </c>
      <c r="J532" s="219"/>
      <c r="K532" s="219"/>
      <c r="L532" s="219"/>
      <c r="M532" s="219"/>
      <c r="N532" s="1">
        <v>123.0</v>
      </c>
      <c r="O532" s="1">
        <v>109.0</v>
      </c>
      <c r="P532" s="1">
        <v>1.0</v>
      </c>
      <c r="Q532" s="1" t="b">
        <v>0</v>
      </c>
      <c r="R532" s="1">
        <v>100.0</v>
      </c>
      <c r="S532" s="1" t="s">
        <v>292</v>
      </c>
      <c r="T532" s="1" t="s">
        <v>422</v>
      </c>
      <c r="U532" s="1"/>
    </row>
    <row r="533">
      <c r="A533" s="218">
        <v>45194.927627638885</v>
      </c>
      <c r="B533" s="1" t="s">
        <v>62</v>
      </c>
      <c r="C533" s="1" t="s">
        <v>241</v>
      </c>
      <c r="D533" s="1">
        <v>4.0</v>
      </c>
      <c r="E533" s="1">
        <v>0.0</v>
      </c>
      <c r="F533" s="1" t="s">
        <v>1171</v>
      </c>
      <c r="G533" s="218">
        <v>45199.9375</v>
      </c>
      <c r="H533" s="1" t="s">
        <v>125</v>
      </c>
      <c r="I533" s="1" t="s">
        <v>96</v>
      </c>
      <c r="J533" s="219"/>
      <c r="K533" s="219"/>
      <c r="L533" s="219"/>
      <c r="M533" s="219"/>
      <c r="N533" s="1">
        <v>155.0</v>
      </c>
      <c r="O533" s="1">
        <v>76.0</v>
      </c>
      <c r="P533" s="1">
        <v>1.0</v>
      </c>
      <c r="Q533" s="1" t="b">
        <v>0</v>
      </c>
      <c r="R533" s="1">
        <v>100.0</v>
      </c>
      <c r="S533" s="1" t="s">
        <v>353</v>
      </c>
      <c r="T533" s="1" t="s">
        <v>423</v>
      </c>
      <c r="U533" s="1"/>
    </row>
    <row r="534">
      <c r="A534" s="218">
        <v>45194.927627638885</v>
      </c>
      <c r="B534" s="1"/>
      <c r="C534" s="1"/>
      <c r="D534" s="1"/>
      <c r="E534" s="1"/>
      <c r="F534" s="1"/>
      <c r="G534" s="218"/>
      <c r="H534" s="1"/>
      <c r="I534" s="1"/>
      <c r="J534" s="219"/>
      <c r="K534" s="219"/>
      <c r="L534" s="219"/>
      <c r="M534" s="219"/>
      <c r="N534" s="1"/>
      <c r="O534" s="1"/>
      <c r="P534" s="1"/>
      <c r="Q534" s="1"/>
      <c r="R534" s="1"/>
      <c r="S534" s="1" t="e">
        <v>#N/A</v>
      </c>
      <c r="T534" s="1" t="e">
        <v>#N/A</v>
      </c>
      <c r="U534" s="1"/>
    </row>
    <row r="535">
      <c r="A535" s="218">
        <v>45194.927627638885</v>
      </c>
      <c r="B535" s="1" t="s">
        <v>69</v>
      </c>
      <c r="C535" s="1" t="s">
        <v>250</v>
      </c>
      <c r="D535" s="1">
        <v>2.0</v>
      </c>
      <c r="E535" s="1">
        <v>3.0</v>
      </c>
      <c r="F535" s="1" t="s">
        <v>1150</v>
      </c>
      <c r="G535" s="218">
        <v>45198.875</v>
      </c>
      <c r="H535" s="1" t="s">
        <v>70</v>
      </c>
      <c r="I535" s="1" t="s">
        <v>99</v>
      </c>
      <c r="J535" s="219"/>
      <c r="K535" s="219"/>
      <c r="L535" s="219"/>
      <c r="M535" s="219"/>
      <c r="N535" s="1">
        <v>138.0</v>
      </c>
      <c r="O535" s="1">
        <v>144.0</v>
      </c>
      <c r="P535" s="1">
        <v>1.0</v>
      </c>
      <c r="Q535" s="1" t="b">
        <v>0</v>
      </c>
      <c r="R535" s="1">
        <v>100.0</v>
      </c>
      <c r="S535" s="1" t="s">
        <v>351</v>
      </c>
      <c r="T535" s="1" t="s">
        <v>423</v>
      </c>
      <c r="U535" s="1"/>
    </row>
    <row r="536">
      <c r="A536" s="218">
        <v>45194.927627638885</v>
      </c>
      <c r="B536" s="1" t="s">
        <v>69</v>
      </c>
      <c r="C536" s="1" t="s">
        <v>251</v>
      </c>
      <c r="D536" s="1">
        <v>2.0</v>
      </c>
      <c r="E536" s="1">
        <v>2.0</v>
      </c>
      <c r="F536" s="1" t="s">
        <v>1134</v>
      </c>
      <c r="G536" s="218">
        <v>45199.625</v>
      </c>
      <c r="H536" s="1" t="s">
        <v>60</v>
      </c>
      <c r="I536" s="1"/>
      <c r="J536" s="219"/>
      <c r="K536" s="219"/>
      <c r="L536" s="219"/>
      <c r="M536" s="219"/>
      <c r="N536" s="1">
        <v>131.0</v>
      </c>
      <c r="O536" s="1">
        <v>111.0</v>
      </c>
      <c r="P536" s="1">
        <v>1.0</v>
      </c>
      <c r="Q536" s="1" t="b">
        <v>0</v>
      </c>
      <c r="R536" s="1">
        <v>100.0</v>
      </c>
      <c r="S536" s="1" t="s">
        <v>354</v>
      </c>
      <c r="T536" s="1" t="s">
        <v>422</v>
      </c>
      <c r="U536" s="1"/>
    </row>
    <row r="537">
      <c r="A537" s="218">
        <v>45194.927627638885</v>
      </c>
      <c r="B537" s="1" t="s">
        <v>69</v>
      </c>
      <c r="C537" s="1" t="s">
        <v>257</v>
      </c>
      <c r="D537" s="1">
        <v>3.0</v>
      </c>
      <c r="E537" s="1">
        <v>1.0</v>
      </c>
      <c r="F537" s="1" t="s">
        <v>1165</v>
      </c>
      <c r="G537" s="218">
        <v>45199.64583333333</v>
      </c>
      <c r="H537" s="1" t="s">
        <v>59</v>
      </c>
      <c r="I537" s="1" t="s">
        <v>96</v>
      </c>
      <c r="J537" s="219"/>
      <c r="K537" s="219"/>
      <c r="L537" s="219"/>
      <c r="M537" s="219"/>
      <c r="N537" s="1">
        <v>153.0</v>
      </c>
      <c r="O537" s="1">
        <v>80.0</v>
      </c>
      <c r="P537" s="1">
        <v>1.0</v>
      </c>
      <c r="Q537" s="1" t="b">
        <v>0</v>
      </c>
      <c r="R537" s="1">
        <v>100.0</v>
      </c>
      <c r="S537" s="1" t="s">
        <v>296</v>
      </c>
      <c r="T537" s="1" t="s">
        <v>422</v>
      </c>
      <c r="U537" s="1"/>
    </row>
    <row r="538">
      <c r="A538" s="218">
        <v>45194.927627638885</v>
      </c>
      <c r="B538" s="1" t="s">
        <v>69</v>
      </c>
      <c r="C538" s="1" t="s">
        <v>254</v>
      </c>
      <c r="D538" s="1">
        <v>2.0</v>
      </c>
      <c r="E538" s="1">
        <v>2.0</v>
      </c>
      <c r="F538" s="1" t="s">
        <v>1136</v>
      </c>
      <c r="G538" s="218">
        <v>45199.64583333333</v>
      </c>
      <c r="H538" s="1" t="s">
        <v>60</v>
      </c>
      <c r="I538" s="1" t="s">
        <v>935</v>
      </c>
      <c r="J538" s="219"/>
      <c r="K538" s="219"/>
      <c r="L538" s="219"/>
      <c r="M538" s="219"/>
      <c r="N538" s="1">
        <v>78.0</v>
      </c>
      <c r="O538" s="1">
        <v>154.0</v>
      </c>
      <c r="P538" s="1">
        <v>1.0</v>
      </c>
      <c r="Q538" s="1" t="b">
        <v>0</v>
      </c>
      <c r="R538" s="1">
        <v>100.0</v>
      </c>
      <c r="S538" s="1" t="s">
        <v>355</v>
      </c>
      <c r="T538" s="1" t="s">
        <v>423</v>
      </c>
      <c r="U538" s="1"/>
    </row>
    <row r="539">
      <c r="A539" s="218">
        <v>45194.927627638885</v>
      </c>
      <c r="B539" s="1" t="s">
        <v>69</v>
      </c>
      <c r="C539" s="1" t="s">
        <v>253</v>
      </c>
      <c r="D539" s="1">
        <v>2.0</v>
      </c>
      <c r="E539" s="1">
        <v>2.0</v>
      </c>
      <c r="F539" s="1" t="s">
        <v>1164</v>
      </c>
      <c r="G539" s="218">
        <v>45199.64583333333</v>
      </c>
      <c r="H539" s="1" t="s">
        <v>59</v>
      </c>
      <c r="I539" s="1" t="s">
        <v>99</v>
      </c>
      <c r="J539" s="219"/>
      <c r="K539" s="219"/>
      <c r="L539" s="219"/>
      <c r="M539" s="219"/>
      <c r="N539" s="1">
        <v>107.0</v>
      </c>
      <c r="O539" s="1">
        <v>111.0</v>
      </c>
      <c r="P539" s="1">
        <v>1.0</v>
      </c>
      <c r="Q539" s="1" t="b">
        <v>1</v>
      </c>
      <c r="R539" s="1">
        <v>100.0</v>
      </c>
      <c r="S539" s="1" t="s">
        <v>407</v>
      </c>
      <c r="T539" s="1" t="s">
        <v>423</v>
      </c>
      <c r="U539" s="1"/>
    </row>
    <row r="540">
      <c r="A540" s="218">
        <v>45194.927627638885</v>
      </c>
      <c r="B540" s="1" t="s">
        <v>69</v>
      </c>
      <c r="C540" s="1" t="s">
        <v>219</v>
      </c>
      <c r="D540" s="1">
        <v>3.0</v>
      </c>
      <c r="E540" s="1">
        <v>1.0</v>
      </c>
      <c r="F540" s="1" t="s">
        <v>1158</v>
      </c>
      <c r="G540" s="218">
        <v>45199.75</v>
      </c>
      <c r="H540" s="1" t="s">
        <v>67</v>
      </c>
      <c r="I540" s="1" t="s">
        <v>76</v>
      </c>
      <c r="J540" s="219"/>
      <c r="K540" s="219"/>
      <c r="L540" s="219"/>
      <c r="M540" s="219"/>
      <c r="N540" s="1">
        <v>171.0</v>
      </c>
      <c r="O540" s="1">
        <v>100.0</v>
      </c>
      <c r="P540" s="1">
        <v>1.0</v>
      </c>
      <c r="Q540" s="1" t="b">
        <v>1</v>
      </c>
      <c r="R540" s="1">
        <v>100.0</v>
      </c>
      <c r="S540" s="1" t="s">
        <v>292</v>
      </c>
      <c r="T540" s="1" t="s">
        <v>422</v>
      </c>
      <c r="U540" s="1"/>
    </row>
    <row r="541">
      <c r="A541" s="218">
        <v>45194.927627638885</v>
      </c>
      <c r="B541" s="1" t="s">
        <v>69</v>
      </c>
      <c r="C541" s="1" t="s">
        <v>252</v>
      </c>
      <c r="D541" s="1">
        <v>1.0</v>
      </c>
      <c r="E541" s="1">
        <v>3.0</v>
      </c>
      <c r="F541" s="1" t="s">
        <v>1139</v>
      </c>
      <c r="G541" s="218">
        <v>45199.8125</v>
      </c>
      <c r="H541" s="1" t="s">
        <v>60</v>
      </c>
      <c r="I541" s="1" t="s">
        <v>40</v>
      </c>
      <c r="J541" s="219"/>
      <c r="K541" s="219"/>
      <c r="L541" s="219"/>
      <c r="M541" s="219"/>
      <c r="N541" s="1">
        <v>76.0</v>
      </c>
      <c r="O541" s="1">
        <v>104.0</v>
      </c>
      <c r="P541" s="1">
        <v>1.0</v>
      </c>
      <c r="Q541" s="1" t="b">
        <v>0</v>
      </c>
      <c r="R541" s="1">
        <v>100.0</v>
      </c>
      <c r="S541" s="1" t="s">
        <v>352</v>
      </c>
      <c r="T541" s="1" t="s">
        <v>423</v>
      </c>
      <c r="U541" s="1"/>
    </row>
    <row r="542">
      <c r="A542" s="218">
        <v>45194.927627638885</v>
      </c>
      <c r="B542" s="1" t="s">
        <v>69</v>
      </c>
      <c r="C542" s="1" t="s">
        <v>256</v>
      </c>
      <c r="D542" s="1">
        <v>1.0</v>
      </c>
      <c r="E542" s="1">
        <v>3.0</v>
      </c>
      <c r="F542" s="1" t="s">
        <v>1125</v>
      </c>
      <c r="G542" s="218">
        <v>45199.83333333333</v>
      </c>
      <c r="H542" s="1" t="s">
        <v>58</v>
      </c>
      <c r="I542" s="1"/>
      <c r="J542" s="219"/>
      <c r="K542" s="219"/>
      <c r="L542" s="219"/>
      <c r="M542" s="219"/>
      <c r="N542" s="1">
        <v>96.0</v>
      </c>
      <c r="O542" s="1">
        <v>92.0</v>
      </c>
      <c r="P542" s="1">
        <v>1.0</v>
      </c>
      <c r="Q542" s="1" t="b">
        <v>0</v>
      </c>
      <c r="R542" s="1">
        <v>100.0</v>
      </c>
      <c r="S542" s="1" t="s">
        <v>301</v>
      </c>
      <c r="T542" s="1" t="s">
        <v>422</v>
      </c>
      <c r="U542" s="1"/>
    </row>
    <row r="543">
      <c r="A543" s="218">
        <v>45194.927627638885</v>
      </c>
      <c r="B543" s="1" t="s">
        <v>69</v>
      </c>
      <c r="C543" s="1" t="s">
        <v>243</v>
      </c>
      <c r="D543" s="1">
        <v>4.0</v>
      </c>
      <c r="E543" s="1">
        <v>0.0</v>
      </c>
      <c r="F543" s="1" t="s">
        <v>1153</v>
      </c>
      <c r="G543" s="218">
        <v>45199.83333333333</v>
      </c>
      <c r="H543" s="1" t="s">
        <v>70</v>
      </c>
      <c r="I543" s="1" t="s">
        <v>99</v>
      </c>
      <c r="J543" s="219"/>
      <c r="K543" s="219"/>
      <c r="L543" s="219"/>
      <c r="M543" s="219"/>
      <c r="N543" s="1">
        <v>139.0</v>
      </c>
      <c r="O543" s="1">
        <v>51.0</v>
      </c>
      <c r="P543" s="1">
        <v>1.0</v>
      </c>
      <c r="Q543" s="1" t="b">
        <v>1</v>
      </c>
      <c r="R543" s="1">
        <v>100.0</v>
      </c>
      <c r="S543" s="1" t="s">
        <v>353</v>
      </c>
      <c r="T543" s="1" t="s">
        <v>423</v>
      </c>
      <c r="U543" s="1"/>
    </row>
    <row r="544">
      <c r="A544" s="218">
        <v>45194.927627638885</v>
      </c>
      <c r="B544" s="1" t="s">
        <v>69</v>
      </c>
      <c r="C544" s="1" t="s">
        <v>255</v>
      </c>
      <c r="D544" s="1">
        <v>3.0</v>
      </c>
      <c r="E544" s="1">
        <v>1.0</v>
      </c>
      <c r="F544" s="1"/>
      <c r="G544" s="218"/>
      <c r="H544" s="1"/>
      <c r="I544" s="1"/>
      <c r="J544" s="219"/>
      <c r="K544" s="219"/>
      <c r="L544" s="219"/>
      <c r="M544" s="219"/>
      <c r="N544" s="1">
        <v>133.0</v>
      </c>
      <c r="O544" s="1">
        <v>79.0</v>
      </c>
      <c r="P544" s="1">
        <v>3.0</v>
      </c>
      <c r="Q544" s="1" t="b">
        <v>1</v>
      </c>
      <c r="R544" s="1">
        <v>100.0</v>
      </c>
      <c r="S544" s="1" t="s">
        <v>282</v>
      </c>
      <c r="T544" s="1" t="s">
        <v>422</v>
      </c>
      <c r="U544" s="1"/>
    </row>
    <row r="545">
      <c r="A545" s="218">
        <v>45194.927627638885</v>
      </c>
      <c r="B545" s="1"/>
      <c r="C545" s="1"/>
      <c r="D545" s="1"/>
      <c r="E545" s="1"/>
      <c r="F545" s="1"/>
      <c r="G545" s="218"/>
      <c r="H545" s="1"/>
      <c r="I545" s="1"/>
      <c r="J545" s="219"/>
      <c r="K545" s="219"/>
      <c r="L545" s="219"/>
      <c r="M545" s="219"/>
      <c r="N545" s="1"/>
      <c r="O545" s="1"/>
      <c r="P545" s="1"/>
      <c r="Q545" s="1"/>
      <c r="R545" s="1"/>
      <c r="S545" s="1" t="e">
        <v>#N/A</v>
      </c>
      <c r="T545" s="1" t="e">
        <v>#N/A</v>
      </c>
      <c r="U545" s="1"/>
    </row>
    <row r="546">
      <c r="A546" s="218">
        <v>45194.927627638885</v>
      </c>
      <c r="B546" s="1" t="s">
        <v>125</v>
      </c>
      <c r="C546" s="1" t="s">
        <v>260</v>
      </c>
      <c r="D546" s="1">
        <v>3.0</v>
      </c>
      <c r="E546" s="1">
        <v>1.0</v>
      </c>
      <c r="F546" s="1" t="s">
        <v>1113</v>
      </c>
      <c r="G546" s="218">
        <v>45197.83333333333</v>
      </c>
      <c r="H546" s="1" t="s">
        <v>35</v>
      </c>
      <c r="I546" s="1" t="s">
        <v>40</v>
      </c>
      <c r="J546" s="219"/>
      <c r="K546" s="219"/>
      <c r="L546" s="219"/>
      <c r="M546" s="219"/>
      <c r="N546" s="1">
        <v>103.0</v>
      </c>
      <c r="O546" s="1">
        <v>47.0</v>
      </c>
      <c r="P546" s="1">
        <v>1.0</v>
      </c>
      <c r="Q546" s="1" t="b">
        <v>0</v>
      </c>
      <c r="R546" s="1">
        <v>100.0</v>
      </c>
      <c r="S546" s="1" t="s">
        <v>351</v>
      </c>
      <c r="T546" s="1" t="s">
        <v>423</v>
      </c>
      <c r="U546" s="1"/>
    </row>
    <row r="547">
      <c r="A547" s="218">
        <v>45194.927627638885</v>
      </c>
      <c r="B547" s="1" t="s">
        <v>125</v>
      </c>
      <c r="C547" s="1" t="s">
        <v>265</v>
      </c>
      <c r="D547" s="1">
        <v>2.0</v>
      </c>
      <c r="E547" s="1">
        <v>2.0</v>
      </c>
      <c r="F547" s="1" t="s">
        <v>1163</v>
      </c>
      <c r="G547" s="218">
        <v>45199.5625</v>
      </c>
      <c r="H547" s="1" t="s">
        <v>59</v>
      </c>
      <c r="I547" s="1" t="s">
        <v>935</v>
      </c>
      <c r="J547" s="219"/>
      <c r="K547" s="219"/>
      <c r="L547" s="219"/>
      <c r="M547" s="219"/>
      <c r="N547" s="1">
        <v>103.0</v>
      </c>
      <c r="O547" s="1">
        <v>144.0</v>
      </c>
      <c r="P547" s="1">
        <v>1.0</v>
      </c>
      <c r="Q547" s="1" t="b">
        <v>1</v>
      </c>
      <c r="R547" s="1">
        <v>100.0</v>
      </c>
      <c r="S547" s="1" t="s">
        <v>352</v>
      </c>
      <c r="T547" s="1" t="s">
        <v>423</v>
      </c>
      <c r="U547" s="1"/>
    </row>
    <row r="548">
      <c r="A548" s="218">
        <v>45194.927627638885</v>
      </c>
      <c r="B548" s="1" t="s">
        <v>125</v>
      </c>
      <c r="C548" s="1" t="s">
        <v>239</v>
      </c>
      <c r="D548" s="1">
        <v>4.0</v>
      </c>
      <c r="E548" s="1">
        <v>0.0</v>
      </c>
      <c r="F548" s="1" t="s">
        <v>1151</v>
      </c>
      <c r="G548" s="218">
        <v>45199.64583333333</v>
      </c>
      <c r="H548" s="1" t="s">
        <v>70</v>
      </c>
      <c r="I548" s="1" t="s">
        <v>82</v>
      </c>
      <c r="J548" s="219"/>
      <c r="K548" s="219"/>
      <c r="L548" s="219"/>
      <c r="M548" s="219"/>
      <c r="N548" s="1">
        <v>140.0</v>
      </c>
      <c r="O548" s="1">
        <v>50.0</v>
      </c>
      <c r="P548" s="1">
        <v>1.0</v>
      </c>
      <c r="Q548" s="1" t="b">
        <v>0</v>
      </c>
      <c r="R548" s="1">
        <v>100.0</v>
      </c>
      <c r="S548" s="1" t="s">
        <v>296</v>
      </c>
      <c r="T548" s="1" t="s">
        <v>422</v>
      </c>
      <c r="U548" s="1"/>
    </row>
    <row r="549">
      <c r="A549" s="218">
        <v>45194.927627638885</v>
      </c>
      <c r="B549" s="1" t="s">
        <v>125</v>
      </c>
      <c r="C549" s="1" t="s">
        <v>263</v>
      </c>
      <c r="D549" s="1">
        <v>2.0</v>
      </c>
      <c r="E549" s="1">
        <v>2.0</v>
      </c>
      <c r="F549" s="1" t="s">
        <v>1170</v>
      </c>
      <c r="G549" s="218">
        <v>45199.79166666667</v>
      </c>
      <c r="H549" s="1" t="s">
        <v>62</v>
      </c>
      <c r="I549" s="1" t="s">
        <v>935</v>
      </c>
      <c r="J549" s="219"/>
      <c r="K549" s="219"/>
      <c r="L549" s="219"/>
      <c r="M549" s="219"/>
      <c r="N549" s="1">
        <v>141.0</v>
      </c>
      <c r="O549" s="1">
        <v>127.0</v>
      </c>
      <c r="P549" s="1">
        <v>1.0</v>
      </c>
      <c r="Q549" s="1" t="b">
        <v>0</v>
      </c>
      <c r="R549" s="1">
        <v>100.0</v>
      </c>
      <c r="S549" s="1" t="s">
        <v>407</v>
      </c>
      <c r="T549" s="1" t="s">
        <v>423</v>
      </c>
      <c r="U549" s="1"/>
    </row>
    <row r="550">
      <c r="A550" s="218">
        <v>45194.927627638885</v>
      </c>
      <c r="B550" s="1" t="s">
        <v>125</v>
      </c>
      <c r="C550" s="1" t="s">
        <v>258</v>
      </c>
      <c r="D550" s="1">
        <v>0.0</v>
      </c>
      <c r="E550" s="1">
        <v>4.0</v>
      </c>
      <c r="F550" s="1" t="s">
        <v>1171</v>
      </c>
      <c r="G550" s="218">
        <v>45199.9375</v>
      </c>
      <c r="H550" s="1" t="s">
        <v>62</v>
      </c>
      <c r="I550" s="1" t="s">
        <v>96</v>
      </c>
      <c r="J550" s="219"/>
      <c r="K550" s="219"/>
      <c r="L550" s="219"/>
      <c r="M550" s="219"/>
      <c r="N550" s="1">
        <v>68.0</v>
      </c>
      <c r="O550" s="1">
        <v>165.0</v>
      </c>
      <c r="P550" s="1">
        <v>1.0</v>
      </c>
      <c r="Q550" s="1" t="b">
        <v>1</v>
      </c>
      <c r="R550" s="1">
        <v>100.0</v>
      </c>
      <c r="S550" s="1" t="s">
        <v>353</v>
      </c>
      <c r="T550" s="1" t="s">
        <v>423</v>
      </c>
      <c r="U550" s="1"/>
    </row>
    <row r="551">
      <c r="A551" s="218">
        <v>45194.927627638885</v>
      </c>
      <c r="B551" s="1" t="s">
        <v>125</v>
      </c>
      <c r="C551" s="1" t="s">
        <v>262</v>
      </c>
      <c r="D551" s="1">
        <v>4.0</v>
      </c>
      <c r="E551" s="1">
        <v>0.0</v>
      </c>
      <c r="F551" s="1" t="s">
        <v>1161</v>
      </c>
      <c r="G551" s="218">
        <v>45199.5</v>
      </c>
      <c r="H551" s="1" t="s">
        <v>67</v>
      </c>
      <c r="I551" s="1" t="s">
        <v>40</v>
      </c>
      <c r="J551" s="219"/>
      <c r="K551" s="219"/>
      <c r="L551" s="219"/>
      <c r="M551" s="219"/>
      <c r="N551" s="1">
        <v>135.0</v>
      </c>
      <c r="O551" s="1">
        <v>90.0</v>
      </c>
      <c r="P551" s="1">
        <v>1.0</v>
      </c>
      <c r="Q551" s="1" t="b">
        <v>1</v>
      </c>
      <c r="R551" s="1">
        <v>100.0</v>
      </c>
      <c r="S551" s="1" t="s">
        <v>355</v>
      </c>
      <c r="T551" s="1" t="s">
        <v>423</v>
      </c>
      <c r="U551" s="1"/>
    </row>
    <row r="552">
      <c r="A552" s="218">
        <v>45194.927627638885</v>
      </c>
      <c r="B552" s="1" t="s">
        <v>125</v>
      </c>
      <c r="C552" s="1" t="s">
        <v>264</v>
      </c>
      <c r="D552" s="1">
        <v>3.0</v>
      </c>
      <c r="E552" s="1">
        <v>1.0</v>
      </c>
      <c r="F552" s="1" t="s">
        <v>1156</v>
      </c>
      <c r="G552" s="218">
        <v>45199.5</v>
      </c>
      <c r="H552" s="1" t="s">
        <v>57</v>
      </c>
      <c r="I552" s="1" t="s">
        <v>945</v>
      </c>
      <c r="J552" s="219"/>
      <c r="K552" s="219"/>
      <c r="L552" s="219"/>
      <c r="M552" s="219"/>
      <c r="N552" s="1">
        <v>159.0</v>
      </c>
      <c r="O552" s="1">
        <v>71.0</v>
      </c>
      <c r="P552" s="1">
        <v>1.0</v>
      </c>
      <c r="Q552" s="1" t="b">
        <v>1</v>
      </c>
      <c r="R552" s="1">
        <v>100.0</v>
      </c>
      <c r="S552" s="1" t="s">
        <v>292</v>
      </c>
      <c r="T552" s="1" t="s">
        <v>422</v>
      </c>
      <c r="U552" s="1"/>
    </row>
    <row r="553">
      <c r="A553" s="218">
        <v>45194.927627638885</v>
      </c>
      <c r="B553" s="1" t="s">
        <v>125</v>
      </c>
      <c r="C553" s="1" t="s">
        <v>261</v>
      </c>
      <c r="D553" s="1">
        <v>2.0</v>
      </c>
      <c r="E553" s="1">
        <v>2.0</v>
      </c>
      <c r="F553" s="1" t="s">
        <v>1130</v>
      </c>
      <c r="G553" s="218">
        <v>45199.5</v>
      </c>
      <c r="H553" s="1" t="s">
        <v>56</v>
      </c>
      <c r="I553" s="1" t="s">
        <v>888</v>
      </c>
      <c r="J553" s="219"/>
      <c r="K553" s="219"/>
      <c r="L553" s="219"/>
      <c r="M553" s="219"/>
      <c r="N553" s="1">
        <v>96.0</v>
      </c>
      <c r="O553" s="1">
        <v>103.0</v>
      </c>
      <c r="P553" s="1">
        <v>1.0</v>
      </c>
      <c r="Q553" s="1" t="b">
        <v>0</v>
      </c>
      <c r="R553" s="1">
        <v>100.0</v>
      </c>
      <c r="S553" s="1" t="s">
        <v>282</v>
      </c>
      <c r="T553" s="1" t="s">
        <v>422</v>
      </c>
      <c r="U553" s="1"/>
    </row>
    <row r="554">
      <c r="A554" s="218">
        <v>45194.927627638885</v>
      </c>
      <c r="B554" s="1" t="s">
        <v>125</v>
      </c>
      <c r="C554" s="1" t="s">
        <v>259</v>
      </c>
      <c r="D554" s="1">
        <v>4.0</v>
      </c>
      <c r="E554" s="1">
        <v>0.0</v>
      </c>
      <c r="F554" s="1"/>
      <c r="G554" s="218"/>
      <c r="H554" s="1"/>
      <c r="I554" s="1"/>
      <c r="J554" s="219"/>
      <c r="K554" s="219"/>
      <c r="L554" s="219"/>
      <c r="M554" s="219"/>
      <c r="N554" s="1">
        <v>183.0</v>
      </c>
      <c r="O554" s="1">
        <v>102.0</v>
      </c>
      <c r="P554" s="1">
        <v>3.0</v>
      </c>
      <c r="Q554" s="1" t="b">
        <v>1</v>
      </c>
      <c r="R554" s="1">
        <v>100.0</v>
      </c>
      <c r="S554" s="1" t="s">
        <v>354</v>
      </c>
      <c r="T554" s="1" t="s">
        <v>422</v>
      </c>
      <c r="U554" s="1"/>
    </row>
    <row r="555">
      <c r="A555" s="218">
        <v>45194.927627638885</v>
      </c>
      <c r="B555" s="1" t="s">
        <v>125</v>
      </c>
      <c r="C555" s="1" t="s">
        <v>224</v>
      </c>
      <c r="D555" s="1">
        <v>4.0</v>
      </c>
      <c r="E555" s="1">
        <v>0.0</v>
      </c>
      <c r="F555" s="1"/>
      <c r="G555" s="218"/>
      <c r="H555" s="1"/>
      <c r="I555" s="1"/>
      <c r="J555" s="219"/>
      <c r="K555" s="219"/>
      <c r="L555" s="219"/>
      <c r="M555" s="219"/>
      <c r="N555" s="1">
        <v>173.0</v>
      </c>
      <c r="O555" s="1">
        <v>90.0</v>
      </c>
      <c r="P555" s="1">
        <v>3.0</v>
      </c>
      <c r="Q555" s="1" t="b">
        <v>1</v>
      </c>
      <c r="R555" s="1">
        <v>100.0</v>
      </c>
      <c r="S555" s="1" t="s">
        <v>301</v>
      </c>
      <c r="T555" s="1" t="s">
        <v>422</v>
      </c>
      <c r="U555" s="1"/>
    </row>
    <row r="556">
      <c r="A556" s="218">
        <v>45194.927627638885</v>
      </c>
      <c r="B556" s="1"/>
      <c r="C556" s="1"/>
      <c r="D556" s="1"/>
      <c r="E556" s="1"/>
      <c r="F556" s="1"/>
      <c r="G556" s="218"/>
      <c r="H556" s="1"/>
      <c r="I556" s="1"/>
      <c r="J556" s="219"/>
      <c r="K556" s="219"/>
      <c r="L556" s="219"/>
      <c r="M556" s="219"/>
      <c r="N556" s="1"/>
      <c r="O556" s="1"/>
      <c r="P556" s="1"/>
      <c r="Q556" s="1"/>
      <c r="R556" s="1"/>
      <c r="S556" s="1" t="e">
        <v>#N/A</v>
      </c>
      <c r="T556" s="1" t="e">
        <v>#N/A</v>
      </c>
      <c r="U556" s="1"/>
    </row>
    <row r="557">
      <c r="A557" s="218">
        <v>45194.927627638885</v>
      </c>
      <c r="B557" s="1" t="s">
        <v>61</v>
      </c>
      <c r="C557" s="1" t="s">
        <v>228</v>
      </c>
      <c r="D557" s="1">
        <v>1.0</v>
      </c>
      <c r="E557" s="1">
        <v>3.0</v>
      </c>
      <c r="F557" s="1" t="s">
        <v>1168</v>
      </c>
      <c r="G557" s="218">
        <v>45197.8125</v>
      </c>
      <c r="H557" s="1" t="s">
        <v>62</v>
      </c>
      <c r="I557" s="1" t="s">
        <v>99</v>
      </c>
      <c r="J557" s="219"/>
      <c r="K557" s="219"/>
      <c r="L557" s="219"/>
      <c r="M557" s="219"/>
      <c r="N557" s="1">
        <v>84.0</v>
      </c>
      <c r="O557" s="1">
        <v>124.0</v>
      </c>
      <c r="P557" s="1">
        <v>1.0</v>
      </c>
      <c r="Q557" s="1" t="b">
        <v>1</v>
      </c>
      <c r="R557" s="1">
        <v>100.0</v>
      </c>
      <c r="S557" s="1" t="s">
        <v>351</v>
      </c>
      <c r="T557" s="1" t="s">
        <v>423</v>
      </c>
      <c r="U557" s="1"/>
    </row>
    <row r="558">
      <c r="A558" s="218">
        <v>45194.927627638885</v>
      </c>
      <c r="B558" s="1" t="s">
        <v>61</v>
      </c>
      <c r="C558" s="1" t="s">
        <v>268</v>
      </c>
      <c r="D558" s="1">
        <v>3.0</v>
      </c>
      <c r="E558" s="1">
        <v>1.0</v>
      </c>
      <c r="F558" s="1" t="s">
        <v>1133</v>
      </c>
      <c r="G558" s="218">
        <v>45198.79166666667</v>
      </c>
      <c r="H558" s="1" t="s">
        <v>60</v>
      </c>
      <c r="I558" s="1" t="s">
        <v>76</v>
      </c>
      <c r="J558" s="219"/>
      <c r="K558" s="219"/>
      <c r="L558" s="219"/>
      <c r="M558" s="219"/>
      <c r="N558" s="1">
        <v>117.0</v>
      </c>
      <c r="O558" s="1">
        <v>87.0</v>
      </c>
      <c r="P558" s="1">
        <v>1.0</v>
      </c>
      <c r="Q558" s="1" t="b">
        <v>0</v>
      </c>
      <c r="R558" s="1">
        <v>100.0</v>
      </c>
      <c r="S558" s="1" t="s">
        <v>301</v>
      </c>
      <c r="T558" s="1" t="s">
        <v>422</v>
      </c>
      <c r="U558" s="1"/>
    </row>
    <row r="559">
      <c r="A559" s="218">
        <v>45194.927627638885</v>
      </c>
      <c r="B559" s="1" t="s">
        <v>61</v>
      </c>
      <c r="C559" s="1" t="s">
        <v>270</v>
      </c>
      <c r="D559" s="1">
        <v>2.0</v>
      </c>
      <c r="E559" s="1">
        <v>2.0</v>
      </c>
      <c r="F559" s="1" t="s">
        <v>1121</v>
      </c>
      <c r="G559" s="218">
        <v>45199.64583333333</v>
      </c>
      <c r="H559" s="1" t="s">
        <v>58</v>
      </c>
      <c r="I559" s="1" t="s">
        <v>935</v>
      </c>
      <c r="J559" s="219"/>
      <c r="K559" s="219"/>
      <c r="L559" s="219"/>
      <c r="M559" s="219"/>
      <c r="N559" s="1">
        <v>89.0</v>
      </c>
      <c r="O559" s="1">
        <v>103.0</v>
      </c>
      <c r="P559" s="1">
        <v>1.0</v>
      </c>
      <c r="Q559" s="1" t="b">
        <v>1</v>
      </c>
      <c r="R559" s="1">
        <v>100.0</v>
      </c>
      <c r="S559" s="1" t="s">
        <v>355</v>
      </c>
      <c r="T559" s="1" t="s">
        <v>423</v>
      </c>
      <c r="U559" s="1"/>
    </row>
    <row r="560">
      <c r="A560" s="218">
        <v>45194.927627638885</v>
      </c>
      <c r="B560" s="1" t="s">
        <v>61</v>
      </c>
      <c r="C560" s="1" t="s">
        <v>272</v>
      </c>
      <c r="D560" s="1">
        <v>1.0</v>
      </c>
      <c r="E560" s="1">
        <v>3.0</v>
      </c>
      <c r="F560" s="1" t="s">
        <v>1135</v>
      </c>
      <c r="G560" s="218">
        <v>45199.64583333333</v>
      </c>
      <c r="H560" s="1" t="s">
        <v>60</v>
      </c>
      <c r="I560" s="1" t="s">
        <v>935</v>
      </c>
      <c r="J560" s="219"/>
      <c r="K560" s="219"/>
      <c r="L560" s="219"/>
      <c r="M560" s="219"/>
      <c r="N560" s="1">
        <v>83.0</v>
      </c>
      <c r="O560" s="1">
        <v>155.0</v>
      </c>
      <c r="P560" s="1">
        <v>1.0</v>
      </c>
      <c r="Q560" s="1" t="b">
        <v>0</v>
      </c>
      <c r="R560" s="1">
        <v>100.0</v>
      </c>
      <c r="S560" s="1" t="s">
        <v>352</v>
      </c>
      <c r="T560" s="1" t="s">
        <v>423</v>
      </c>
      <c r="U560" s="1"/>
    </row>
    <row r="561">
      <c r="A561" s="218">
        <v>45194.927627638885</v>
      </c>
      <c r="B561" s="1" t="s">
        <v>61</v>
      </c>
      <c r="C561" s="1" t="s">
        <v>266</v>
      </c>
      <c r="D561" s="1">
        <v>3.0</v>
      </c>
      <c r="E561" s="1">
        <v>1.0</v>
      </c>
      <c r="F561" s="1" t="s">
        <v>1138</v>
      </c>
      <c r="G561" s="218">
        <v>45199.8125</v>
      </c>
      <c r="H561" s="1" t="s">
        <v>60</v>
      </c>
      <c r="I561" s="1" t="s">
        <v>90</v>
      </c>
      <c r="J561" s="219"/>
      <c r="K561" s="219"/>
      <c r="L561" s="219"/>
      <c r="M561" s="219"/>
      <c r="N561" s="1">
        <v>85.0</v>
      </c>
      <c r="O561" s="1">
        <v>68.0</v>
      </c>
      <c r="P561" s="1">
        <v>1.0</v>
      </c>
      <c r="Q561" s="1" t="b">
        <v>0</v>
      </c>
      <c r="R561" s="1">
        <v>100.0</v>
      </c>
      <c r="S561" s="1" t="s">
        <v>282</v>
      </c>
      <c r="T561" s="1" t="s">
        <v>422</v>
      </c>
      <c r="U561" s="1"/>
    </row>
    <row r="562">
      <c r="A562" s="218">
        <v>45194.927627638885</v>
      </c>
      <c r="B562" s="1" t="s">
        <v>61</v>
      </c>
      <c r="C562" s="1" t="s">
        <v>233</v>
      </c>
      <c r="D562" s="1">
        <v>3.0</v>
      </c>
      <c r="E562" s="1">
        <v>1.0</v>
      </c>
      <c r="F562" s="1" t="s">
        <v>1146</v>
      </c>
      <c r="G562" s="218">
        <v>45199.8125</v>
      </c>
      <c r="H562" s="1" t="s">
        <v>46</v>
      </c>
      <c r="I562" s="1" t="s">
        <v>945</v>
      </c>
      <c r="J562" s="219"/>
      <c r="K562" s="219"/>
      <c r="L562" s="219"/>
      <c r="M562" s="219"/>
      <c r="N562" s="1">
        <v>140.0</v>
      </c>
      <c r="O562" s="1">
        <v>69.0</v>
      </c>
      <c r="P562" s="1">
        <v>1.0</v>
      </c>
      <c r="Q562" s="1" t="b">
        <v>1</v>
      </c>
      <c r="R562" s="1">
        <v>100.0</v>
      </c>
      <c r="S562" s="1" t="s">
        <v>292</v>
      </c>
      <c r="T562" s="1" t="s">
        <v>422</v>
      </c>
      <c r="U562" s="1"/>
    </row>
    <row r="563">
      <c r="A563" s="218">
        <v>45194.927627638885</v>
      </c>
      <c r="B563" s="1" t="s">
        <v>61</v>
      </c>
      <c r="C563" s="1" t="s">
        <v>273</v>
      </c>
      <c r="D563" s="1">
        <v>1.0</v>
      </c>
      <c r="E563" s="1">
        <v>3.0</v>
      </c>
      <c r="F563" s="1" t="s">
        <v>1167</v>
      </c>
      <c r="G563" s="218">
        <v>45199.5</v>
      </c>
      <c r="H563" s="1" t="s">
        <v>59</v>
      </c>
      <c r="I563" s="1" t="s">
        <v>99</v>
      </c>
      <c r="J563" s="219"/>
      <c r="K563" s="219"/>
      <c r="L563" s="219"/>
      <c r="M563" s="219"/>
      <c r="N563" s="1">
        <v>151.0</v>
      </c>
      <c r="O563" s="1">
        <v>136.0</v>
      </c>
      <c r="P563" s="1">
        <v>1.0</v>
      </c>
      <c r="Q563" s="1" t="b">
        <v>0</v>
      </c>
      <c r="R563" s="1">
        <v>100.0</v>
      </c>
      <c r="S563" s="1" t="s">
        <v>353</v>
      </c>
      <c r="T563" s="1" t="s">
        <v>423</v>
      </c>
      <c r="U563" s="1"/>
    </row>
    <row r="564">
      <c r="A564" s="218">
        <v>45194.927627638885</v>
      </c>
      <c r="B564" s="1" t="s">
        <v>61</v>
      </c>
      <c r="C564" s="1" t="s">
        <v>271</v>
      </c>
      <c r="D564" s="1">
        <v>1.0</v>
      </c>
      <c r="E564" s="1">
        <v>3.0</v>
      </c>
      <c r="F564" s="1" t="s">
        <v>1148</v>
      </c>
      <c r="G564" s="218">
        <v>45199.5</v>
      </c>
      <c r="H564" s="1" t="s">
        <v>46</v>
      </c>
      <c r="I564" s="1" t="s">
        <v>36</v>
      </c>
      <c r="J564" s="219"/>
      <c r="K564" s="219"/>
      <c r="L564" s="219"/>
      <c r="M564" s="219"/>
      <c r="N564" s="1">
        <v>112.0</v>
      </c>
      <c r="O564" s="1">
        <v>145.0</v>
      </c>
      <c r="P564" s="1">
        <v>1.0</v>
      </c>
      <c r="Q564" s="1" t="b">
        <v>0</v>
      </c>
      <c r="R564" s="1">
        <v>100.0</v>
      </c>
      <c r="S564" s="1" t="s">
        <v>407</v>
      </c>
      <c r="T564" s="1" t="s">
        <v>423</v>
      </c>
      <c r="U564" s="1"/>
    </row>
    <row r="565">
      <c r="A565" s="218">
        <v>45194.927627638885</v>
      </c>
      <c r="B565" s="1" t="s">
        <v>61</v>
      </c>
      <c r="C565" s="1" t="s">
        <v>269</v>
      </c>
      <c r="D565" s="1">
        <v>3.0</v>
      </c>
      <c r="E565" s="1">
        <v>1.0</v>
      </c>
      <c r="F565" s="1" t="s">
        <v>1155</v>
      </c>
      <c r="G565" s="218">
        <v>45199.5</v>
      </c>
      <c r="H565" s="1" t="s">
        <v>57</v>
      </c>
      <c r="I565" s="1" t="s">
        <v>888</v>
      </c>
      <c r="J565" s="219"/>
      <c r="K565" s="219"/>
      <c r="L565" s="219"/>
      <c r="M565" s="219"/>
      <c r="N565" s="1">
        <v>130.0</v>
      </c>
      <c r="O565" s="1">
        <v>133.0</v>
      </c>
      <c r="P565" s="1">
        <v>1.0</v>
      </c>
      <c r="Q565" s="1" t="b">
        <v>1</v>
      </c>
      <c r="R565" s="1">
        <v>100.0</v>
      </c>
      <c r="S565" s="1" t="s">
        <v>354</v>
      </c>
      <c r="T565" s="1" t="s">
        <v>422</v>
      </c>
      <c r="U565" s="1"/>
    </row>
    <row r="566">
      <c r="A566" s="218">
        <v>45201.927627384255</v>
      </c>
      <c r="B566" s="1" t="s">
        <v>35</v>
      </c>
      <c r="C566" s="1" t="s">
        <v>78</v>
      </c>
      <c r="D566" s="1">
        <v>0.0</v>
      </c>
      <c r="E566" s="1">
        <v>4.0</v>
      </c>
      <c r="F566" s="1" t="s">
        <v>1172</v>
      </c>
      <c r="G566" s="218">
        <v>45204.79166666667</v>
      </c>
      <c r="H566" s="1" t="s">
        <v>58</v>
      </c>
      <c r="I566" s="1" t="s">
        <v>99</v>
      </c>
      <c r="J566" s="219"/>
      <c r="K566" s="219"/>
      <c r="L566" s="219"/>
      <c r="M566" s="219"/>
      <c r="N566" s="1">
        <v>38.0</v>
      </c>
      <c r="O566" s="1">
        <v>100.0</v>
      </c>
      <c r="P566" s="1">
        <v>1.0</v>
      </c>
      <c r="Q566" s="1" t="b">
        <v>0</v>
      </c>
      <c r="R566" s="1">
        <v>100.0</v>
      </c>
      <c r="S566" s="1" t="s">
        <v>351</v>
      </c>
      <c r="T566" s="1" t="s">
        <v>423</v>
      </c>
      <c r="U566" s="1"/>
    </row>
    <row r="567">
      <c r="A567" s="218">
        <v>45201.927627384255</v>
      </c>
      <c r="B567" s="1" t="s">
        <v>35</v>
      </c>
      <c r="C567" s="1" t="s">
        <v>74</v>
      </c>
      <c r="D567" s="1">
        <v>3.0</v>
      </c>
      <c r="E567" s="1">
        <v>1.0</v>
      </c>
      <c r="F567" s="1" t="s">
        <v>1173</v>
      </c>
      <c r="G567" s="218">
        <v>45205.8125</v>
      </c>
      <c r="H567" s="1" t="s">
        <v>61</v>
      </c>
      <c r="I567" s="1" t="s">
        <v>76</v>
      </c>
      <c r="J567" s="219"/>
      <c r="K567" s="219"/>
      <c r="L567" s="219"/>
      <c r="M567" s="219"/>
      <c r="N567" s="1">
        <v>158.0</v>
      </c>
      <c r="O567" s="1">
        <v>74.0</v>
      </c>
      <c r="P567" s="1">
        <v>1.0</v>
      </c>
      <c r="Q567" s="1" t="b">
        <v>0</v>
      </c>
      <c r="R567" s="1">
        <v>100.0</v>
      </c>
      <c r="S567" s="1" t="s">
        <v>296</v>
      </c>
      <c r="T567" s="1" t="s">
        <v>422</v>
      </c>
      <c r="U567" s="1"/>
    </row>
    <row r="568">
      <c r="A568" s="218">
        <v>45201.927627384255</v>
      </c>
      <c r="B568" s="1" t="s">
        <v>35</v>
      </c>
      <c r="C568" s="1" t="s">
        <v>80</v>
      </c>
      <c r="D568" s="1">
        <v>2.0</v>
      </c>
      <c r="E568" s="1">
        <v>3.0</v>
      </c>
      <c r="F568" s="1" t="s">
        <v>1174</v>
      </c>
      <c r="G568" s="218">
        <v>45205.83333333333</v>
      </c>
      <c r="H568" s="1" t="s">
        <v>46</v>
      </c>
      <c r="I568" s="1" t="s">
        <v>96</v>
      </c>
      <c r="J568" s="219"/>
      <c r="K568" s="219"/>
      <c r="L568" s="219"/>
      <c r="M568" s="219"/>
      <c r="N568" s="1">
        <v>94.0</v>
      </c>
      <c r="O568" s="1">
        <v>119.0</v>
      </c>
      <c r="P568" s="1">
        <v>1.0</v>
      </c>
      <c r="Q568" s="1" t="b">
        <v>1</v>
      </c>
      <c r="R568" s="1">
        <v>100.0</v>
      </c>
      <c r="S568" s="1" t="s">
        <v>282</v>
      </c>
      <c r="T568" s="1" t="s">
        <v>422</v>
      </c>
      <c r="U568" s="1"/>
    </row>
    <row r="569">
      <c r="A569" s="218">
        <v>45201.927627384255</v>
      </c>
      <c r="B569" s="1" t="s">
        <v>35</v>
      </c>
      <c r="C569" s="1" t="s">
        <v>81</v>
      </c>
      <c r="D569" s="1">
        <v>2.0</v>
      </c>
      <c r="E569" s="1">
        <v>3.0</v>
      </c>
      <c r="F569" s="1" t="s">
        <v>1175</v>
      </c>
      <c r="G569" s="218">
        <v>45206.58333333333</v>
      </c>
      <c r="H569" s="1" t="s">
        <v>70</v>
      </c>
      <c r="I569" s="1" t="s">
        <v>935</v>
      </c>
      <c r="J569" s="219"/>
      <c r="K569" s="219"/>
      <c r="L569" s="219"/>
      <c r="M569" s="219"/>
      <c r="N569" s="1">
        <v>105.0</v>
      </c>
      <c r="O569" s="1">
        <v>155.0</v>
      </c>
      <c r="P569" s="1">
        <v>1.0</v>
      </c>
      <c r="Q569" s="1" t="b">
        <v>0</v>
      </c>
      <c r="R569" s="1">
        <v>100.0</v>
      </c>
      <c r="S569" s="1" t="s">
        <v>407</v>
      </c>
      <c r="T569" s="1" t="s">
        <v>423</v>
      </c>
      <c r="U569" s="1"/>
    </row>
    <row r="570">
      <c r="A570" s="218">
        <v>45201.927627384255</v>
      </c>
      <c r="B570" s="1" t="s">
        <v>35</v>
      </c>
      <c r="C570" s="1" t="s">
        <v>75</v>
      </c>
      <c r="D570" s="1">
        <v>1.0</v>
      </c>
      <c r="E570" s="1">
        <v>4.0</v>
      </c>
      <c r="F570" s="1" t="s">
        <v>1176</v>
      </c>
      <c r="G570" s="218">
        <v>45206.64583333333</v>
      </c>
      <c r="H570" s="1" t="s">
        <v>57</v>
      </c>
      <c r="I570" s="1" t="s">
        <v>935</v>
      </c>
      <c r="J570" s="219"/>
      <c r="K570" s="219"/>
      <c r="L570" s="219"/>
      <c r="M570" s="219"/>
      <c r="N570" s="1">
        <v>63.0</v>
      </c>
      <c r="O570" s="1">
        <v>170.0</v>
      </c>
      <c r="P570" s="1">
        <v>1.0</v>
      </c>
      <c r="Q570" s="1" t="b">
        <v>0</v>
      </c>
      <c r="R570" s="1">
        <v>100.0</v>
      </c>
      <c r="S570" s="1" t="s">
        <v>352</v>
      </c>
      <c r="T570" s="1" t="s">
        <v>423</v>
      </c>
      <c r="U570" s="1"/>
    </row>
    <row r="571">
      <c r="A571" s="218">
        <v>45201.927627384255</v>
      </c>
      <c r="B571" s="1" t="s">
        <v>35</v>
      </c>
      <c r="C571" s="1" t="s">
        <v>63</v>
      </c>
      <c r="D571" s="1">
        <v>5.0</v>
      </c>
      <c r="E571" s="1">
        <v>0.0</v>
      </c>
      <c r="F571" s="1" t="s">
        <v>1177</v>
      </c>
      <c r="G571" s="218">
        <v>45206.79166666667</v>
      </c>
      <c r="H571" s="1" t="s">
        <v>70</v>
      </c>
      <c r="I571" s="1" t="s">
        <v>76</v>
      </c>
      <c r="J571" s="219"/>
      <c r="K571" s="219"/>
      <c r="L571" s="219"/>
      <c r="M571" s="219"/>
      <c r="N571" s="1">
        <v>193.0</v>
      </c>
      <c r="O571" s="1">
        <v>65.0</v>
      </c>
      <c r="P571" s="1">
        <v>1.0</v>
      </c>
      <c r="Q571" s="1" t="b">
        <v>1</v>
      </c>
      <c r="R571" s="1">
        <v>100.0</v>
      </c>
      <c r="S571" s="1" t="s">
        <v>292</v>
      </c>
      <c r="T571" s="1" t="s">
        <v>422</v>
      </c>
      <c r="U571" s="1"/>
    </row>
    <row r="572">
      <c r="A572" s="218">
        <v>45201.927627384255</v>
      </c>
      <c r="B572" s="1" t="s">
        <v>35</v>
      </c>
      <c r="C572" s="1" t="s">
        <v>79</v>
      </c>
      <c r="D572" s="1">
        <v>4.0</v>
      </c>
      <c r="E572" s="1">
        <v>0.0</v>
      </c>
      <c r="F572" s="1" t="s">
        <v>1178</v>
      </c>
      <c r="G572" s="218">
        <v>45206.83333333333</v>
      </c>
      <c r="H572" s="1" t="s">
        <v>59</v>
      </c>
      <c r="I572" s="1" t="s">
        <v>935</v>
      </c>
      <c r="J572" s="219"/>
      <c r="K572" s="219"/>
      <c r="L572" s="219"/>
      <c r="M572" s="219"/>
      <c r="N572" s="1">
        <v>175.0</v>
      </c>
      <c r="O572" s="1">
        <v>50.0</v>
      </c>
      <c r="P572" s="1">
        <v>1.0</v>
      </c>
      <c r="Q572" s="1" t="b">
        <v>0</v>
      </c>
      <c r="R572" s="1">
        <v>100.0</v>
      </c>
      <c r="S572" s="1" t="s">
        <v>301</v>
      </c>
      <c r="T572" s="1" t="s">
        <v>422</v>
      </c>
      <c r="U572" s="1"/>
    </row>
    <row r="573">
      <c r="A573" s="218">
        <v>45201.927627384255</v>
      </c>
      <c r="B573" s="1" t="s">
        <v>35</v>
      </c>
      <c r="C573" s="1" t="s">
        <v>38</v>
      </c>
      <c r="D573" s="1">
        <v>5.0</v>
      </c>
      <c r="E573" s="1">
        <v>0.0</v>
      </c>
      <c r="F573" s="1"/>
      <c r="G573" s="218"/>
      <c r="H573" s="1"/>
      <c r="I573" s="1"/>
      <c r="J573" s="219"/>
      <c r="K573" s="219"/>
      <c r="L573" s="219"/>
      <c r="M573" s="219"/>
      <c r="N573" s="1">
        <v>258.0</v>
      </c>
      <c r="O573" s="1">
        <v>59.0</v>
      </c>
      <c r="P573" s="1">
        <v>3.0</v>
      </c>
      <c r="Q573" s="1" t="b">
        <v>1</v>
      </c>
      <c r="R573" s="1">
        <v>100.0</v>
      </c>
      <c r="S573" s="1" t="s">
        <v>354</v>
      </c>
      <c r="T573" s="1" t="s">
        <v>422</v>
      </c>
      <c r="U573" s="1"/>
    </row>
    <row r="574">
      <c r="A574" s="218">
        <v>45201.927627384255</v>
      </c>
      <c r="B574" s="1" t="s">
        <v>35</v>
      </c>
      <c r="C574" s="1" t="s">
        <v>71</v>
      </c>
      <c r="D574" s="1">
        <v>3.0</v>
      </c>
      <c r="E574" s="1">
        <v>2.0</v>
      </c>
      <c r="F574" s="1"/>
      <c r="G574" s="218"/>
      <c r="H574" s="1"/>
      <c r="I574" s="1"/>
      <c r="J574" s="219"/>
      <c r="K574" s="219"/>
      <c r="L574" s="219"/>
      <c r="M574" s="219"/>
      <c r="N574" s="1">
        <v>182.0</v>
      </c>
      <c r="O574" s="1">
        <v>154.0</v>
      </c>
      <c r="P574" s="1">
        <v>3.0</v>
      </c>
      <c r="Q574" s="1" t="b">
        <v>1</v>
      </c>
      <c r="R574" s="1">
        <v>100.0</v>
      </c>
      <c r="S574" s="1" t="s">
        <v>355</v>
      </c>
      <c r="T574" s="1" t="s">
        <v>423</v>
      </c>
      <c r="U574" s="1"/>
    </row>
    <row r="575">
      <c r="A575" s="218">
        <v>45201.927627384255</v>
      </c>
      <c r="B575" s="1" t="s">
        <v>35</v>
      </c>
      <c r="C575" s="1" t="s">
        <v>88</v>
      </c>
      <c r="D575" s="1">
        <v>2.0</v>
      </c>
      <c r="E575" s="1">
        <v>3.0</v>
      </c>
      <c r="F575" s="1"/>
      <c r="G575" s="218"/>
      <c r="H575" s="1"/>
      <c r="I575" s="1"/>
      <c r="J575" s="219"/>
      <c r="K575" s="219"/>
      <c r="L575" s="219"/>
      <c r="M575" s="219"/>
      <c r="N575" s="1">
        <v>143.0</v>
      </c>
      <c r="O575" s="1">
        <v>155.0</v>
      </c>
      <c r="P575" s="1">
        <v>3.0</v>
      </c>
      <c r="Q575" s="1" t="b">
        <v>1</v>
      </c>
      <c r="R575" s="1">
        <v>100.0</v>
      </c>
      <c r="S575" s="1" t="s">
        <v>353</v>
      </c>
      <c r="T575" s="1" t="s">
        <v>423</v>
      </c>
      <c r="U575" s="1"/>
    </row>
    <row r="576">
      <c r="A576" s="218">
        <v>45201.927627384255</v>
      </c>
      <c r="B576" s="1"/>
      <c r="C576" s="1"/>
      <c r="D576" s="1"/>
      <c r="E576" s="1"/>
      <c r="F576" s="1"/>
      <c r="G576" s="218"/>
      <c r="H576" s="1"/>
      <c r="I576" s="1"/>
      <c r="J576" s="219"/>
      <c r="K576" s="219"/>
      <c r="L576" s="219"/>
      <c r="M576" s="219"/>
      <c r="N576" s="1"/>
      <c r="O576" s="1"/>
      <c r="P576" s="1"/>
      <c r="Q576" s="1"/>
      <c r="R576" s="1"/>
      <c r="S576" s="1" t="e">
        <v>#N/A</v>
      </c>
      <c r="T576" s="1" t="e">
        <v>#N/A</v>
      </c>
      <c r="U576" s="1"/>
    </row>
    <row r="577">
      <c r="A577" s="218">
        <v>45201.927627384255</v>
      </c>
      <c r="B577" s="1" t="s">
        <v>58</v>
      </c>
      <c r="C577" s="1" t="s">
        <v>102</v>
      </c>
      <c r="D577" s="1">
        <v>4.0</v>
      </c>
      <c r="E577" s="1">
        <v>0.0</v>
      </c>
      <c r="F577" s="1" t="s">
        <v>1172</v>
      </c>
      <c r="G577" s="218">
        <v>45204.79166666667</v>
      </c>
      <c r="H577" s="1" t="s">
        <v>35</v>
      </c>
      <c r="I577" s="1" t="s">
        <v>99</v>
      </c>
      <c r="J577" s="219"/>
      <c r="K577" s="219"/>
      <c r="L577" s="219"/>
      <c r="M577" s="219"/>
      <c r="N577" s="1">
        <v>160.0</v>
      </c>
      <c r="O577" s="1">
        <v>74.0</v>
      </c>
      <c r="P577" s="1">
        <v>1.0</v>
      </c>
      <c r="Q577" s="1" t="b">
        <v>1</v>
      </c>
      <c r="R577" s="1">
        <v>100.0</v>
      </c>
      <c r="S577" s="1" t="s">
        <v>351</v>
      </c>
      <c r="T577" s="1" t="s">
        <v>423</v>
      </c>
      <c r="U577" s="1"/>
    </row>
    <row r="578">
      <c r="A578" s="218">
        <v>45201.927627384255</v>
      </c>
      <c r="B578" s="1" t="s">
        <v>58</v>
      </c>
      <c r="C578" s="1" t="s">
        <v>111</v>
      </c>
      <c r="D578" s="1">
        <v>4.0</v>
      </c>
      <c r="E578" s="1">
        <v>0.0</v>
      </c>
      <c r="F578" s="1" t="s">
        <v>1179</v>
      </c>
      <c r="G578" s="218">
        <v>45206.58333333333</v>
      </c>
      <c r="H578" s="1" t="s">
        <v>61</v>
      </c>
      <c r="I578" s="1" t="s">
        <v>1019</v>
      </c>
      <c r="J578" s="219">
        <v>-13.5</v>
      </c>
      <c r="K578" s="219">
        <v>-14.5</v>
      </c>
      <c r="L578" s="219">
        <v>500.0</v>
      </c>
      <c r="M578" s="219" t="s">
        <v>151</v>
      </c>
      <c r="N578" s="1">
        <v>117.0</v>
      </c>
      <c r="O578" s="1">
        <v>82.0</v>
      </c>
      <c r="P578" s="1">
        <v>1.0</v>
      </c>
      <c r="Q578" s="1" t="b">
        <v>0</v>
      </c>
      <c r="R578" s="1">
        <v>100.0</v>
      </c>
      <c r="S578" s="1" t="s">
        <v>355</v>
      </c>
      <c r="T578" s="1" t="s">
        <v>423</v>
      </c>
      <c r="U578" s="1"/>
    </row>
    <row r="579">
      <c r="A579" s="218">
        <v>45201.927627384255</v>
      </c>
      <c r="B579" s="1" t="s">
        <v>58</v>
      </c>
      <c r="C579" s="1" t="s">
        <v>109</v>
      </c>
      <c r="D579" s="1">
        <v>3.0</v>
      </c>
      <c r="E579" s="1">
        <v>1.0</v>
      </c>
      <c r="F579" s="1" t="s">
        <v>1180</v>
      </c>
      <c r="G579" s="218">
        <v>45206.625</v>
      </c>
      <c r="H579" s="1" t="s">
        <v>125</v>
      </c>
      <c r="I579" s="1" t="s">
        <v>287</v>
      </c>
      <c r="J579" s="219"/>
      <c r="K579" s="219"/>
      <c r="L579" s="219"/>
      <c r="M579" s="219"/>
      <c r="N579" s="1">
        <v>128.0</v>
      </c>
      <c r="O579" s="1">
        <v>44.0</v>
      </c>
      <c r="P579" s="1">
        <v>1.0</v>
      </c>
      <c r="Q579" s="1" t="b">
        <v>0</v>
      </c>
      <c r="R579" s="1">
        <v>100.0</v>
      </c>
      <c r="S579" s="1" t="s">
        <v>354</v>
      </c>
      <c r="T579" s="1" t="s">
        <v>422</v>
      </c>
      <c r="U579" s="1"/>
    </row>
    <row r="580">
      <c r="A580" s="218">
        <v>45201.927627384255</v>
      </c>
      <c r="B580" s="1" t="s">
        <v>58</v>
      </c>
      <c r="C580" s="1" t="s">
        <v>113</v>
      </c>
      <c r="D580" s="1">
        <v>2.0</v>
      </c>
      <c r="E580" s="1">
        <v>3.0</v>
      </c>
      <c r="F580" s="1" t="s">
        <v>1181</v>
      </c>
      <c r="G580" s="218">
        <v>45206.64583333333</v>
      </c>
      <c r="H580" s="1" t="s">
        <v>125</v>
      </c>
      <c r="I580" s="1" t="s">
        <v>82</v>
      </c>
      <c r="J580" s="219"/>
      <c r="K580" s="219"/>
      <c r="L580" s="219"/>
      <c r="M580" s="219"/>
      <c r="N580" s="1">
        <v>124.0</v>
      </c>
      <c r="O580" s="1">
        <v>121.0</v>
      </c>
      <c r="P580" s="1">
        <v>1.0</v>
      </c>
      <c r="Q580" s="1" t="b">
        <v>0</v>
      </c>
      <c r="R580" s="1">
        <v>100.0</v>
      </c>
      <c r="S580" s="1" t="s">
        <v>301</v>
      </c>
      <c r="T580" s="1" t="s">
        <v>422</v>
      </c>
      <c r="U580" s="1"/>
    </row>
    <row r="581">
      <c r="A581" s="218">
        <v>45201.927627384255</v>
      </c>
      <c r="B581" s="1" t="s">
        <v>58</v>
      </c>
      <c r="C581" s="1" t="s">
        <v>117</v>
      </c>
      <c r="D581" s="1">
        <v>1.0</v>
      </c>
      <c r="E581" s="1">
        <v>4.0</v>
      </c>
      <c r="F581" s="1" t="s">
        <v>1182</v>
      </c>
      <c r="G581" s="218">
        <v>45206.64583333333</v>
      </c>
      <c r="H581" s="1" t="s">
        <v>46</v>
      </c>
      <c r="I581" s="1" t="s">
        <v>935</v>
      </c>
      <c r="J581" s="219"/>
      <c r="K581" s="219"/>
      <c r="L581" s="219"/>
      <c r="M581" s="219"/>
      <c r="N581" s="1">
        <v>96.0</v>
      </c>
      <c r="O581" s="1">
        <v>130.0</v>
      </c>
      <c r="P581" s="1">
        <v>1.0</v>
      </c>
      <c r="Q581" s="1" t="b">
        <v>0</v>
      </c>
      <c r="R581" s="1">
        <v>100.0</v>
      </c>
      <c r="S581" s="1" t="s">
        <v>352</v>
      </c>
      <c r="T581" s="1" t="s">
        <v>423</v>
      </c>
      <c r="U581" s="1"/>
    </row>
    <row r="582">
      <c r="A582" s="218">
        <v>45201.927627384255</v>
      </c>
      <c r="B582" s="1" t="s">
        <v>58</v>
      </c>
      <c r="C582" s="1" t="s">
        <v>116</v>
      </c>
      <c r="D582" s="1">
        <v>3.0</v>
      </c>
      <c r="E582" s="1">
        <v>2.0</v>
      </c>
      <c r="F582" s="1" t="s">
        <v>1183</v>
      </c>
      <c r="G582" s="218">
        <v>45206.8125</v>
      </c>
      <c r="H582" s="1" t="s">
        <v>59</v>
      </c>
      <c r="I582" s="1" t="s">
        <v>90</v>
      </c>
      <c r="J582" s="219"/>
      <c r="K582" s="219"/>
      <c r="L582" s="219"/>
      <c r="M582" s="219"/>
      <c r="N582" s="1">
        <v>120.0</v>
      </c>
      <c r="O582" s="1">
        <v>108.0</v>
      </c>
      <c r="P582" s="1">
        <v>1.0</v>
      </c>
      <c r="Q582" s="1" t="b">
        <v>0</v>
      </c>
      <c r="R582" s="1">
        <v>100.0</v>
      </c>
      <c r="S582" s="1" t="s">
        <v>282</v>
      </c>
      <c r="T582" s="1" t="s">
        <v>422</v>
      </c>
      <c r="U582" s="1"/>
    </row>
    <row r="583">
      <c r="A583" s="218">
        <v>45201.927627384255</v>
      </c>
      <c r="B583" s="1" t="s">
        <v>58</v>
      </c>
      <c r="C583" s="1" t="s">
        <v>105</v>
      </c>
      <c r="D583" s="1">
        <v>2.0</v>
      </c>
      <c r="E583" s="1">
        <v>2.0</v>
      </c>
      <c r="F583" s="1" t="s">
        <v>1184</v>
      </c>
      <c r="G583" s="218">
        <v>45206.83333333333</v>
      </c>
      <c r="H583" s="1" t="s">
        <v>61</v>
      </c>
      <c r="I583" s="1" t="s">
        <v>1185</v>
      </c>
      <c r="J583" s="219"/>
      <c r="K583" s="219"/>
      <c r="L583" s="219"/>
      <c r="M583" s="219"/>
      <c r="N583" s="1">
        <v>131.0</v>
      </c>
      <c r="O583" s="1">
        <v>136.0</v>
      </c>
      <c r="P583" s="1">
        <v>1.0</v>
      </c>
      <c r="Q583" s="1" t="b">
        <v>0</v>
      </c>
      <c r="R583" s="1">
        <v>100.0</v>
      </c>
      <c r="S583" s="1" t="s">
        <v>353</v>
      </c>
      <c r="T583" s="1" t="s">
        <v>423</v>
      </c>
      <c r="U583" s="1"/>
    </row>
    <row r="584">
      <c r="A584" s="218">
        <v>45201.927627384255</v>
      </c>
      <c r="B584" s="1" t="s">
        <v>58</v>
      </c>
      <c r="C584" s="1" t="s">
        <v>118</v>
      </c>
      <c r="D584" s="1">
        <v>4.0</v>
      </c>
      <c r="E584" s="1">
        <v>1.0</v>
      </c>
      <c r="F584" s="1"/>
      <c r="G584" s="218"/>
      <c r="H584" s="1"/>
      <c r="I584" s="1"/>
      <c r="J584" s="219"/>
      <c r="K584" s="219"/>
      <c r="L584" s="219"/>
      <c r="M584" s="219"/>
      <c r="N584" s="1">
        <v>183.0</v>
      </c>
      <c r="O584" s="1">
        <v>107.0</v>
      </c>
      <c r="P584" s="1">
        <v>3.0</v>
      </c>
      <c r="Q584" s="1" t="b">
        <v>1</v>
      </c>
      <c r="R584" s="1">
        <v>100.0</v>
      </c>
      <c r="S584" s="1" t="s">
        <v>407</v>
      </c>
      <c r="T584" s="1" t="s">
        <v>423</v>
      </c>
      <c r="U584" s="1"/>
    </row>
    <row r="585">
      <c r="A585" s="218">
        <v>45201.927627384255</v>
      </c>
      <c r="B585" s="1" t="s">
        <v>58</v>
      </c>
      <c r="C585" s="1" t="s">
        <v>112</v>
      </c>
      <c r="D585" s="1">
        <v>3.0</v>
      </c>
      <c r="E585" s="1">
        <v>2.0</v>
      </c>
      <c r="F585" s="1"/>
      <c r="G585" s="218"/>
      <c r="H585" s="1"/>
      <c r="I585" s="1"/>
      <c r="J585" s="219"/>
      <c r="K585" s="219"/>
      <c r="L585" s="219"/>
      <c r="M585" s="219"/>
      <c r="N585" s="1">
        <v>148.0</v>
      </c>
      <c r="O585" s="1">
        <v>91.0</v>
      </c>
      <c r="P585" s="1">
        <v>3.0</v>
      </c>
      <c r="Q585" s="1" t="b">
        <v>1</v>
      </c>
      <c r="R585" s="1">
        <v>100.0</v>
      </c>
      <c r="S585" s="1" t="s">
        <v>292</v>
      </c>
      <c r="T585" s="1" t="s">
        <v>422</v>
      </c>
      <c r="U585" s="1"/>
    </row>
    <row r="586">
      <c r="A586" s="218">
        <v>45201.927627384255</v>
      </c>
      <c r="B586" s="1" t="s">
        <v>58</v>
      </c>
      <c r="C586" s="1" t="s">
        <v>119</v>
      </c>
      <c r="D586" s="1">
        <v>4.0</v>
      </c>
      <c r="E586" s="1">
        <v>1.0</v>
      </c>
      <c r="F586" s="1"/>
      <c r="G586" s="218"/>
      <c r="H586" s="1"/>
      <c r="I586" s="1"/>
      <c r="J586" s="219"/>
      <c r="K586" s="219"/>
      <c r="L586" s="219"/>
      <c r="M586" s="219"/>
      <c r="N586" s="1">
        <v>155.0</v>
      </c>
      <c r="O586" s="1">
        <v>112.0</v>
      </c>
      <c r="P586" s="1">
        <v>3.0</v>
      </c>
      <c r="Q586" s="1" t="b">
        <v>1</v>
      </c>
      <c r="R586" s="1">
        <v>100.0</v>
      </c>
      <c r="S586" s="1" t="s">
        <v>296</v>
      </c>
      <c r="T586" s="1" t="s">
        <v>422</v>
      </c>
      <c r="U586" s="1"/>
    </row>
    <row r="587">
      <c r="A587" s="218">
        <v>45201.927627384255</v>
      </c>
      <c r="B587" s="1"/>
      <c r="C587" s="1"/>
      <c r="D587" s="1"/>
      <c r="E587" s="1"/>
      <c r="F587" s="1"/>
      <c r="G587" s="218"/>
      <c r="H587" s="1"/>
      <c r="I587" s="1"/>
      <c r="J587" s="219"/>
      <c r="K587" s="219"/>
      <c r="L587" s="219"/>
      <c r="M587" s="219"/>
      <c r="N587" s="1"/>
      <c r="O587" s="1"/>
      <c r="P587" s="1"/>
      <c r="Q587" s="1"/>
      <c r="R587" s="1"/>
      <c r="S587" s="1" t="e">
        <v>#N/A</v>
      </c>
      <c r="T587" s="1" t="e">
        <v>#N/A</v>
      </c>
      <c r="U587" s="1"/>
    </row>
    <row r="588">
      <c r="A588" s="218">
        <v>45201.927627384255</v>
      </c>
      <c r="B588" s="1" t="s">
        <v>56</v>
      </c>
      <c r="C588" s="1" t="s">
        <v>126</v>
      </c>
      <c r="D588" s="1">
        <v>4.0</v>
      </c>
      <c r="E588" s="1">
        <v>1.0</v>
      </c>
      <c r="F588" s="1" t="s">
        <v>1186</v>
      </c>
      <c r="G588" s="218">
        <v>45206.64583333333</v>
      </c>
      <c r="H588" s="1" t="s">
        <v>60</v>
      </c>
      <c r="I588" s="1" t="s">
        <v>40</v>
      </c>
      <c r="J588" s="219"/>
      <c r="K588" s="219"/>
      <c r="L588" s="219"/>
      <c r="M588" s="219"/>
      <c r="N588" s="1">
        <v>217.0</v>
      </c>
      <c r="O588" s="1">
        <v>145.0</v>
      </c>
      <c r="P588" s="1">
        <v>1.0</v>
      </c>
      <c r="Q588" s="1" t="b">
        <v>1</v>
      </c>
      <c r="R588" s="1">
        <v>100.0</v>
      </c>
      <c r="S588" s="1" t="s">
        <v>355</v>
      </c>
      <c r="T588" s="1" t="s">
        <v>423</v>
      </c>
      <c r="U588" s="1"/>
    </row>
    <row r="589">
      <c r="A589" s="218">
        <v>45201.927627384255</v>
      </c>
      <c r="B589" s="1" t="s">
        <v>56</v>
      </c>
      <c r="C589" s="1" t="s">
        <v>130</v>
      </c>
      <c r="D589" s="1">
        <v>4.0</v>
      </c>
      <c r="E589" s="1">
        <v>1.0</v>
      </c>
      <c r="F589" s="1" t="s">
        <v>1187</v>
      </c>
      <c r="G589" s="218">
        <v>45206.64583333333</v>
      </c>
      <c r="H589" s="1" t="s">
        <v>67</v>
      </c>
      <c r="I589" s="1" t="s">
        <v>76</v>
      </c>
      <c r="J589" s="219"/>
      <c r="K589" s="219"/>
      <c r="L589" s="219"/>
      <c r="M589" s="219"/>
      <c r="N589" s="1">
        <v>191.0</v>
      </c>
      <c r="O589" s="1">
        <v>74.0</v>
      </c>
      <c r="P589" s="1">
        <v>1.0</v>
      </c>
      <c r="Q589" s="1" t="b">
        <v>0</v>
      </c>
      <c r="R589" s="1">
        <v>100.0</v>
      </c>
      <c r="S589" s="1" t="s">
        <v>301</v>
      </c>
      <c r="T589" s="1" t="s">
        <v>422</v>
      </c>
      <c r="U589" s="1"/>
    </row>
    <row r="590">
      <c r="A590" s="218">
        <v>45201.927627384255</v>
      </c>
      <c r="B590" s="1" t="s">
        <v>56</v>
      </c>
      <c r="C590" s="1" t="s">
        <v>127</v>
      </c>
      <c r="D590" s="1">
        <v>3.0</v>
      </c>
      <c r="E590" s="1">
        <v>2.0</v>
      </c>
      <c r="F590" s="1" t="s">
        <v>1188</v>
      </c>
      <c r="G590" s="218">
        <v>45206.66666666667</v>
      </c>
      <c r="H590" s="1"/>
      <c r="I590" s="1" t="s">
        <v>945</v>
      </c>
      <c r="J590" s="219"/>
      <c r="K590" s="219"/>
      <c r="L590" s="219"/>
      <c r="M590" s="219"/>
      <c r="N590" s="1">
        <v>125.0</v>
      </c>
      <c r="O590" s="1">
        <v>87.0</v>
      </c>
      <c r="P590" s="1">
        <v>1.0</v>
      </c>
      <c r="Q590" s="1" t="b">
        <v>1</v>
      </c>
      <c r="R590" s="1">
        <v>100.0</v>
      </c>
      <c r="S590" s="1" t="s">
        <v>292</v>
      </c>
      <c r="T590" s="1" t="s">
        <v>422</v>
      </c>
      <c r="U590" s="1"/>
    </row>
    <row r="591">
      <c r="A591" s="218">
        <v>45201.927627384255</v>
      </c>
      <c r="B591" s="1" t="s">
        <v>56</v>
      </c>
      <c r="C591" s="1" t="s">
        <v>133</v>
      </c>
      <c r="D591" s="1">
        <v>1.0</v>
      </c>
      <c r="E591" s="1">
        <v>3.0</v>
      </c>
      <c r="F591" s="1" t="s">
        <v>1189</v>
      </c>
      <c r="G591" s="218">
        <v>45206.75</v>
      </c>
      <c r="H591" s="1" t="s">
        <v>57</v>
      </c>
      <c r="I591" s="1" t="s">
        <v>935</v>
      </c>
      <c r="J591" s="219"/>
      <c r="K591" s="219"/>
      <c r="L591" s="219"/>
      <c r="M591" s="219"/>
      <c r="N591" s="1">
        <v>83.0</v>
      </c>
      <c r="O591" s="1">
        <v>108.0</v>
      </c>
      <c r="P591" s="1">
        <v>1.0</v>
      </c>
      <c r="Q591" s="1" t="b">
        <v>0</v>
      </c>
      <c r="R591" s="1">
        <v>100.0</v>
      </c>
      <c r="S591" s="1" t="s">
        <v>407</v>
      </c>
      <c r="T591" s="1" t="s">
        <v>423</v>
      </c>
      <c r="U591" s="1"/>
    </row>
    <row r="592">
      <c r="A592" s="218">
        <v>45201.927627384255</v>
      </c>
      <c r="B592" s="1" t="s">
        <v>56</v>
      </c>
      <c r="C592" s="1" t="s">
        <v>128</v>
      </c>
      <c r="D592" s="1">
        <v>5.0</v>
      </c>
      <c r="E592" s="1">
        <v>1.0</v>
      </c>
      <c r="F592" s="1" t="s">
        <v>1190</v>
      </c>
      <c r="G592" s="218">
        <v>45206.8125</v>
      </c>
      <c r="H592" s="1" t="s">
        <v>60</v>
      </c>
      <c r="I592" s="1" t="s">
        <v>82</v>
      </c>
      <c r="J592" s="219"/>
      <c r="K592" s="219"/>
      <c r="L592" s="219"/>
      <c r="M592" s="219"/>
      <c r="N592" s="1">
        <v>219.0</v>
      </c>
      <c r="O592" s="1">
        <v>78.0</v>
      </c>
      <c r="P592" s="1">
        <v>1.0</v>
      </c>
      <c r="Q592" s="1" t="b">
        <v>0</v>
      </c>
      <c r="R592" s="1">
        <v>100.0</v>
      </c>
      <c r="S592" s="1" t="s">
        <v>354</v>
      </c>
      <c r="T592" s="1" t="s">
        <v>422</v>
      </c>
      <c r="U592" s="1"/>
    </row>
    <row r="593">
      <c r="A593" s="218">
        <v>45201.927627384255</v>
      </c>
      <c r="B593" s="1" t="s">
        <v>56</v>
      </c>
      <c r="C593" s="1" t="s">
        <v>129</v>
      </c>
      <c r="D593" s="1">
        <v>1.0</v>
      </c>
      <c r="E593" s="1">
        <v>4.0</v>
      </c>
      <c r="F593" s="1" t="s">
        <v>1191</v>
      </c>
      <c r="G593" s="218">
        <v>45206.83333333333</v>
      </c>
      <c r="H593" s="1" t="s">
        <v>59</v>
      </c>
      <c r="I593" s="1" t="s">
        <v>99</v>
      </c>
      <c r="J593" s="219"/>
      <c r="K593" s="219"/>
      <c r="L593" s="219"/>
      <c r="M593" s="219"/>
      <c r="N593" s="1">
        <v>141.0</v>
      </c>
      <c r="O593" s="1">
        <v>167.0</v>
      </c>
      <c r="P593" s="1">
        <v>1.0</v>
      </c>
      <c r="Q593" s="1" t="b">
        <v>1</v>
      </c>
      <c r="R593" s="1">
        <v>100.0</v>
      </c>
      <c r="S593" s="1" t="s">
        <v>353</v>
      </c>
      <c r="T593" s="1" t="s">
        <v>423</v>
      </c>
      <c r="U593" s="1"/>
    </row>
    <row r="594">
      <c r="A594" s="218">
        <v>45201.927627384255</v>
      </c>
      <c r="B594" s="1" t="s">
        <v>56</v>
      </c>
      <c r="C594" s="1" t="s">
        <v>124</v>
      </c>
      <c r="D594" s="1">
        <v>2.0</v>
      </c>
      <c r="E594" s="1">
        <v>3.0</v>
      </c>
      <c r="F594" s="1" t="s">
        <v>1192</v>
      </c>
      <c r="G594" s="218">
        <v>45206.83333333333</v>
      </c>
      <c r="H594" s="1" t="s">
        <v>67</v>
      </c>
      <c r="I594" s="1" t="s">
        <v>1142</v>
      </c>
      <c r="J594" s="219"/>
      <c r="K594" s="219"/>
      <c r="L594" s="219"/>
      <c r="M594" s="219"/>
      <c r="N594" s="1">
        <v>104.0</v>
      </c>
      <c r="O594" s="1">
        <v>116.0</v>
      </c>
      <c r="P594" s="1">
        <v>1.0</v>
      </c>
      <c r="Q594" s="1" t="b">
        <v>1</v>
      </c>
      <c r="R594" s="1">
        <v>100.0</v>
      </c>
      <c r="S594" s="1" t="s">
        <v>296</v>
      </c>
      <c r="T594" s="1" t="s">
        <v>422</v>
      </c>
      <c r="U594" s="1"/>
    </row>
    <row r="595">
      <c r="A595" s="218">
        <v>45201.927627384255</v>
      </c>
      <c r="B595" s="1" t="s">
        <v>56</v>
      </c>
      <c r="C595" s="1" t="s">
        <v>123</v>
      </c>
      <c r="D595" s="1">
        <v>2.0</v>
      </c>
      <c r="E595" s="1">
        <v>2.0</v>
      </c>
      <c r="F595" s="1" t="s">
        <v>1193</v>
      </c>
      <c r="G595" s="218">
        <v>45206.5</v>
      </c>
      <c r="H595" s="1" t="s">
        <v>62</v>
      </c>
      <c r="I595" s="1" t="s">
        <v>99</v>
      </c>
      <c r="J595" s="219"/>
      <c r="K595" s="219"/>
      <c r="L595" s="219"/>
      <c r="M595" s="219"/>
      <c r="N595" s="1">
        <v>123.0</v>
      </c>
      <c r="O595" s="1">
        <v>75.0</v>
      </c>
      <c r="P595" s="1">
        <v>1.0</v>
      </c>
      <c r="Q595" s="1" t="b">
        <v>1</v>
      </c>
      <c r="R595" s="1">
        <v>100.0</v>
      </c>
      <c r="S595" s="1" t="s">
        <v>351</v>
      </c>
      <c r="T595" s="1" t="s">
        <v>423</v>
      </c>
      <c r="U595" s="1"/>
    </row>
    <row r="596">
      <c r="A596" s="218">
        <v>45201.927627384255</v>
      </c>
      <c r="B596" s="1" t="s">
        <v>56</v>
      </c>
      <c r="C596" s="1" t="s">
        <v>120</v>
      </c>
      <c r="D596" s="1">
        <v>4.0</v>
      </c>
      <c r="E596" s="1">
        <v>1.0</v>
      </c>
      <c r="F596" s="1" t="s">
        <v>1194</v>
      </c>
      <c r="G596" s="218">
        <v>45206.5</v>
      </c>
      <c r="H596" s="1" t="s">
        <v>60</v>
      </c>
      <c r="I596" s="1" t="s">
        <v>40</v>
      </c>
      <c r="J596" s="219"/>
      <c r="K596" s="219"/>
      <c r="L596" s="219"/>
      <c r="M596" s="219"/>
      <c r="N596" s="1">
        <v>204.0</v>
      </c>
      <c r="O596" s="1">
        <v>114.0</v>
      </c>
      <c r="P596" s="1">
        <v>1.0</v>
      </c>
      <c r="Q596" s="1" t="b">
        <v>0</v>
      </c>
      <c r="R596" s="1">
        <v>100.0</v>
      </c>
      <c r="S596" s="1" t="s">
        <v>352</v>
      </c>
      <c r="T596" s="1" t="s">
        <v>423</v>
      </c>
      <c r="U596" s="1"/>
    </row>
    <row r="597">
      <c r="A597" s="218">
        <v>45201.927627384255</v>
      </c>
      <c r="B597" s="1" t="s">
        <v>56</v>
      </c>
      <c r="C597" s="1" t="s">
        <v>135</v>
      </c>
      <c r="D597" s="1">
        <v>5.0</v>
      </c>
      <c r="E597" s="1">
        <v>0.0</v>
      </c>
      <c r="F597" s="1"/>
      <c r="G597" s="218"/>
      <c r="H597" s="1"/>
      <c r="I597" s="1"/>
      <c r="J597" s="219"/>
      <c r="K597" s="219"/>
      <c r="L597" s="219"/>
      <c r="M597" s="219"/>
      <c r="N597" s="1">
        <v>203.0</v>
      </c>
      <c r="O597" s="1">
        <v>48.0</v>
      </c>
      <c r="P597" s="1">
        <v>3.0</v>
      </c>
      <c r="Q597" s="1" t="b">
        <v>1</v>
      </c>
      <c r="R597" s="1">
        <v>100.0</v>
      </c>
      <c r="S597" s="1" t="s">
        <v>282</v>
      </c>
      <c r="T597" s="1" t="s">
        <v>422</v>
      </c>
      <c r="U597" s="1"/>
    </row>
    <row r="598">
      <c r="A598" s="218">
        <v>45201.927627384255</v>
      </c>
      <c r="B598" s="1"/>
      <c r="C598" s="1"/>
      <c r="D598" s="1"/>
      <c r="E598" s="1"/>
      <c r="F598" s="1"/>
      <c r="G598" s="218"/>
      <c r="H598" s="1"/>
      <c r="I598" s="1"/>
      <c r="J598" s="219"/>
      <c r="K598" s="219"/>
      <c r="L598" s="219"/>
      <c r="M598" s="219"/>
      <c r="N598" s="1"/>
      <c r="O598" s="1"/>
      <c r="P598" s="1"/>
      <c r="Q598" s="1"/>
      <c r="R598" s="1"/>
      <c r="S598" s="1" t="e">
        <v>#N/A</v>
      </c>
      <c r="T598" s="1" t="e">
        <v>#N/A</v>
      </c>
      <c r="U598" s="1"/>
    </row>
    <row r="599">
      <c r="A599" s="218">
        <v>45201.927627384255</v>
      </c>
      <c r="B599" s="1" t="s">
        <v>60</v>
      </c>
      <c r="C599" s="1" t="s">
        <v>177</v>
      </c>
      <c r="D599" s="1">
        <v>1.0</v>
      </c>
      <c r="E599" s="1">
        <v>4.0</v>
      </c>
      <c r="F599" s="1" t="s">
        <v>1195</v>
      </c>
      <c r="G599" s="218">
        <v>45206.64583333333</v>
      </c>
      <c r="H599" s="1" t="s">
        <v>59</v>
      </c>
      <c r="I599" s="1" t="s">
        <v>935</v>
      </c>
      <c r="J599" s="219"/>
      <c r="K599" s="219"/>
      <c r="L599" s="219"/>
      <c r="M599" s="219"/>
      <c r="N599" s="1">
        <v>89.0</v>
      </c>
      <c r="O599" s="1">
        <v>178.0</v>
      </c>
      <c r="P599" s="1">
        <v>1.0</v>
      </c>
      <c r="Q599" s="1" t="b">
        <v>0</v>
      </c>
      <c r="R599" s="1">
        <v>100.0</v>
      </c>
      <c r="S599" s="1" t="s">
        <v>352</v>
      </c>
      <c r="T599" s="1" t="s">
        <v>423</v>
      </c>
      <c r="U599" s="1"/>
    </row>
    <row r="600">
      <c r="A600" s="218">
        <v>45201.927627384255</v>
      </c>
      <c r="B600" s="1" t="s">
        <v>60</v>
      </c>
      <c r="C600" s="1" t="s">
        <v>175</v>
      </c>
      <c r="D600" s="1">
        <v>3.0</v>
      </c>
      <c r="E600" s="1">
        <v>2.0</v>
      </c>
      <c r="F600" s="1" t="s">
        <v>1186</v>
      </c>
      <c r="G600" s="218">
        <v>45206.64583333333</v>
      </c>
      <c r="H600" s="1" t="s">
        <v>56</v>
      </c>
      <c r="I600" s="1" t="s">
        <v>40</v>
      </c>
      <c r="J600" s="219"/>
      <c r="K600" s="219"/>
      <c r="L600" s="219"/>
      <c r="M600" s="219"/>
      <c r="N600" s="1">
        <v>179.0</v>
      </c>
      <c r="O600" s="1">
        <v>145.0</v>
      </c>
      <c r="P600" s="1">
        <v>1.0</v>
      </c>
      <c r="Q600" s="1" t="b">
        <v>0</v>
      </c>
      <c r="R600" s="1">
        <v>100.0</v>
      </c>
      <c r="S600" s="1" t="s">
        <v>355</v>
      </c>
      <c r="T600" s="1" t="s">
        <v>423</v>
      </c>
      <c r="U600" s="1"/>
    </row>
    <row r="601">
      <c r="A601" s="218">
        <v>45201.927627384255</v>
      </c>
      <c r="B601" s="1" t="s">
        <v>60</v>
      </c>
      <c r="C601" s="1" t="s">
        <v>137</v>
      </c>
      <c r="D601" s="1">
        <v>4.0</v>
      </c>
      <c r="E601" s="1">
        <v>1.0</v>
      </c>
      <c r="F601" s="1" t="s">
        <v>1196</v>
      </c>
      <c r="G601" s="218">
        <v>45206.64583333333</v>
      </c>
      <c r="H601" s="1" t="s">
        <v>125</v>
      </c>
      <c r="I601" s="1" t="s">
        <v>86</v>
      </c>
      <c r="J601" s="219"/>
      <c r="K601" s="219"/>
      <c r="L601" s="219"/>
      <c r="M601" s="219"/>
      <c r="N601" s="1">
        <v>161.0</v>
      </c>
      <c r="O601" s="1">
        <v>71.0</v>
      </c>
      <c r="P601" s="1">
        <v>1.0</v>
      </c>
      <c r="Q601" s="1" t="b">
        <v>1</v>
      </c>
      <c r="R601" s="1">
        <v>100.0</v>
      </c>
      <c r="S601" s="1" t="s">
        <v>292</v>
      </c>
      <c r="T601" s="1" t="s">
        <v>422</v>
      </c>
      <c r="U601" s="1"/>
    </row>
    <row r="602">
      <c r="A602" s="218">
        <v>45201.927627384255</v>
      </c>
      <c r="B602" s="1" t="s">
        <v>60</v>
      </c>
      <c r="C602" s="1" t="s">
        <v>174</v>
      </c>
      <c r="D602" s="1">
        <v>1.0</v>
      </c>
      <c r="E602" s="1">
        <v>4.0</v>
      </c>
      <c r="F602" s="1" t="s">
        <v>1197</v>
      </c>
      <c r="G602" s="218">
        <v>45206.77083333333</v>
      </c>
      <c r="H602" s="1" t="s">
        <v>61</v>
      </c>
      <c r="I602" s="1" t="s">
        <v>287</v>
      </c>
      <c r="J602" s="219"/>
      <c r="K602" s="219"/>
      <c r="L602" s="219"/>
      <c r="M602" s="219"/>
      <c r="N602" s="1">
        <v>88.0</v>
      </c>
      <c r="O602" s="1">
        <v>143.0</v>
      </c>
      <c r="P602" s="1">
        <v>1.0</v>
      </c>
      <c r="Q602" s="1" t="b">
        <v>0</v>
      </c>
      <c r="R602" s="1">
        <v>100.0</v>
      </c>
      <c r="S602" s="1" t="s">
        <v>354</v>
      </c>
      <c r="T602" s="1" t="s">
        <v>422</v>
      </c>
      <c r="U602" s="1"/>
    </row>
    <row r="603">
      <c r="A603" s="218">
        <v>45201.927627384255</v>
      </c>
      <c r="B603" s="1" t="s">
        <v>60</v>
      </c>
      <c r="C603" s="1" t="s">
        <v>164</v>
      </c>
      <c r="D603" s="1">
        <v>5.0</v>
      </c>
      <c r="E603" s="1">
        <v>0.0</v>
      </c>
      <c r="F603" s="1" t="s">
        <v>1190</v>
      </c>
      <c r="G603" s="218">
        <v>45206.8125</v>
      </c>
      <c r="H603" s="1" t="s">
        <v>56</v>
      </c>
      <c r="I603" s="1" t="s">
        <v>82</v>
      </c>
      <c r="J603" s="219"/>
      <c r="K603" s="219"/>
      <c r="L603" s="219"/>
      <c r="M603" s="219"/>
      <c r="N603" s="1">
        <v>185.0</v>
      </c>
      <c r="O603" s="1">
        <v>86.0</v>
      </c>
      <c r="P603" s="1">
        <v>1.0</v>
      </c>
      <c r="Q603" s="1" t="b">
        <v>1</v>
      </c>
      <c r="R603" s="1">
        <v>100.0</v>
      </c>
      <c r="S603" s="1" t="s">
        <v>301</v>
      </c>
      <c r="T603" s="1" t="s">
        <v>422</v>
      </c>
      <c r="U603" s="1"/>
    </row>
    <row r="604">
      <c r="A604" s="218">
        <v>45201.927627384255</v>
      </c>
      <c r="B604" s="1" t="s">
        <v>60</v>
      </c>
      <c r="C604" s="1" t="s">
        <v>179</v>
      </c>
      <c r="D604" s="1">
        <v>5.0</v>
      </c>
      <c r="E604" s="1">
        <v>0.0</v>
      </c>
      <c r="F604" s="1" t="s">
        <v>1198</v>
      </c>
      <c r="G604" s="218">
        <v>45206.5</v>
      </c>
      <c r="H604" s="1" t="s">
        <v>125</v>
      </c>
      <c r="I604" s="1" t="s">
        <v>82</v>
      </c>
      <c r="J604" s="219"/>
      <c r="K604" s="219"/>
      <c r="L604" s="219"/>
      <c r="M604" s="219"/>
      <c r="N604" s="1">
        <v>237.0</v>
      </c>
      <c r="O604" s="1">
        <v>54.0</v>
      </c>
      <c r="P604" s="1">
        <v>1.0</v>
      </c>
      <c r="Q604" s="1" t="b">
        <v>0</v>
      </c>
      <c r="R604" s="1">
        <v>100.0</v>
      </c>
      <c r="S604" s="1" t="s">
        <v>296</v>
      </c>
      <c r="T604" s="1" t="s">
        <v>422</v>
      </c>
      <c r="U604" s="1"/>
    </row>
    <row r="605">
      <c r="A605" s="218">
        <v>45201.927627384255</v>
      </c>
      <c r="B605" s="1" t="s">
        <v>60</v>
      </c>
      <c r="C605" s="1" t="s">
        <v>176</v>
      </c>
      <c r="D605" s="1">
        <v>1.0</v>
      </c>
      <c r="E605" s="1">
        <v>5.0</v>
      </c>
      <c r="F605" s="1" t="s">
        <v>1194</v>
      </c>
      <c r="G605" s="218">
        <v>45206.5</v>
      </c>
      <c r="H605" s="1" t="s">
        <v>56</v>
      </c>
      <c r="I605" s="1" t="s">
        <v>40</v>
      </c>
      <c r="J605" s="219"/>
      <c r="K605" s="219"/>
      <c r="L605" s="219"/>
      <c r="M605" s="219"/>
      <c r="N605" s="1">
        <v>159.0</v>
      </c>
      <c r="O605" s="1">
        <v>235.0</v>
      </c>
      <c r="P605" s="1">
        <v>1.0</v>
      </c>
      <c r="Q605" s="1" t="b">
        <v>1</v>
      </c>
      <c r="R605" s="1">
        <v>100.0</v>
      </c>
      <c r="S605" s="1" t="s">
        <v>351</v>
      </c>
      <c r="T605" s="1" t="s">
        <v>423</v>
      </c>
      <c r="U605" s="1"/>
    </row>
    <row r="606">
      <c r="A606" s="218">
        <v>45201.927627384255</v>
      </c>
      <c r="B606" s="1" t="s">
        <v>60</v>
      </c>
      <c r="C606" s="1" t="s">
        <v>139</v>
      </c>
      <c r="D606" s="1">
        <v>3.0</v>
      </c>
      <c r="E606" s="1">
        <v>2.0</v>
      </c>
      <c r="F606" s="1"/>
      <c r="G606" s="218"/>
      <c r="H606" s="1"/>
      <c r="I606" s="1"/>
      <c r="J606" s="219"/>
      <c r="K606" s="219"/>
      <c r="L606" s="219"/>
      <c r="M606" s="219"/>
      <c r="N606" s="1">
        <v>169.0</v>
      </c>
      <c r="O606" s="1">
        <v>92.0</v>
      </c>
      <c r="P606" s="1">
        <v>3.0</v>
      </c>
      <c r="Q606" s="1" t="b">
        <v>1</v>
      </c>
      <c r="R606" s="1">
        <v>100.0</v>
      </c>
      <c r="S606" s="1" t="s">
        <v>407</v>
      </c>
      <c r="T606" s="1" t="s">
        <v>423</v>
      </c>
      <c r="U606" s="1"/>
    </row>
    <row r="607">
      <c r="A607" s="218">
        <v>45201.927627384255</v>
      </c>
      <c r="B607" s="1" t="s">
        <v>60</v>
      </c>
      <c r="C607" s="1" t="s">
        <v>178</v>
      </c>
      <c r="D607" s="1">
        <v>2.0</v>
      </c>
      <c r="E607" s="1">
        <v>3.0</v>
      </c>
      <c r="F607" s="1"/>
      <c r="G607" s="218"/>
      <c r="H607" s="1"/>
      <c r="I607" s="1"/>
      <c r="J607" s="219"/>
      <c r="K607" s="219"/>
      <c r="L607" s="219"/>
      <c r="M607" s="219"/>
      <c r="N607" s="1">
        <v>108.0</v>
      </c>
      <c r="O607" s="1">
        <v>119.0</v>
      </c>
      <c r="P607" s="1">
        <v>3.0</v>
      </c>
      <c r="Q607" s="1" t="b">
        <v>1</v>
      </c>
      <c r="R607" s="1">
        <v>100.0</v>
      </c>
      <c r="S607" s="1" t="s">
        <v>282</v>
      </c>
      <c r="T607" s="1" t="s">
        <v>422</v>
      </c>
      <c r="U607" s="1"/>
    </row>
    <row r="608">
      <c r="A608" s="218">
        <v>45201.927627384255</v>
      </c>
      <c r="B608" s="1" t="s">
        <v>60</v>
      </c>
      <c r="C608" s="1" t="s">
        <v>173</v>
      </c>
      <c r="D608" s="1">
        <v>2.0</v>
      </c>
      <c r="E608" s="1">
        <v>4.0</v>
      </c>
      <c r="F608" s="1"/>
      <c r="G608" s="218"/>
      <c r="H608" s="1"/>
      <c r="I608" s="1"/>
      <c r="J608" s="219"/>
      <c r="K608" s="219"/>
      <c r="L608" s="219"/>
      <c r="M608" s="219"/>
      <c r="N608" s="1">
        <v>133.0</v>
      </c>
      <c r="O608" s="1">
        <v>208.0</v>
      </c>
      <c r="P608" s="1">
        <v>3.0</v>
      </c>
      <c r="Q608" s="1" t="b">
        <v>1</v>
      </c>
      <c r="R608" s="1">
        <v>100.0</v>
      </c>
      <c r="S608" s="1" t="s">
        <v>353</v>
      </c>
      <c r="T608" s="1" t="s">
        <v>423</v>
      </c>
      <c r="U608" s="1"/>
    </row>
    <row r="609">
      <c r="A609" s="218">
        <v>45201.927627384255</v>
      </c>
      <c r="B609" s="1"/>
      <c r="C609" s="1"/>
      <c r="D609" s="1"/>
      <c r="E609" s="1"/>
      <c r="F609" s="1"/>
      <c r="G609" s="218"/>
      <c r="H609" s="1"/>
      <c r="I609" s="1"/>
      <c r="J609" s="219"/>
      <c r="K609" s="219"/>
      <c r="L609" s="219"/>
      <c r="M609" s="219"/>
      <c r="N609" s="1"/>
      <c r="O609" s="1"/>
      <c r="P609" s="1"/>
      <c r="Q609" s="1"/>
      <c r="R609" s="1"/>
      <c r="S609" s="1" t="e">
        <v>#N/A</v>
      </c>
      <c r="T609" s="1" t="e">
        <v>#N/A</v>
      </c>
      <c r="U609" s="1"/>
    </row>
    <row r="610">
      <c r="A610" s="218">
        <v>45201.927627384255</v>
      </c>
      <c r="B610" s="1" t="s">
        <v>46</v>
      </c>
      <c r="C610" s="1" t="s">
        <v>186</v>
      </c>
      <c r="D610" s="1">
        <v>2.0</v>
      </c>
      <c r="E610" s="1">
        <v>3.0</v>
      </c>
      <c r="F610" s="1" t="s">
        <v>1174</v>
      </c>
      <c r="G610" s="218">
        <v>45205.83333333333</v>
      </c>
      <c r="H610" s="1" t="s">
        <v>35</v>
      </c>
      <c r="I610" s="1" t="s">
        <v>96</v>
      </c>
      <c r="J610" s="219"/>
      <c r="K610" s="219"/>
      <c r="L610" s="219"/>
      <c r="M610" s="219"/>
      <c r="N610" s="1">
        <v>108.0</v>
      </c>
      <c r="O610" s="1">
        <v>153.0</v>
      </c>
      <c r="P610" s="1">
        <v>1.0</v>
      </c>
      <c r="Q610" s="1" t="b">
        <v>0</v>
      </c>
      <c r="R610" s="1">
        <v>100.0</v>
      </c>
      <c r="S610" s="1" t="s">
        <v>282</v>
      </c>
      <c r="T610" s="1" t="s">
        <v>422</v>
      </c>
      <c r="U610" s="1"/>
    </row>
    <row r="611">
      <c r="A611" s="218">
        <v>45201.927627384255</v>
      </c>
      <c r="B611" s="1" t="s">
        <v>46</v>
      </c>
      <c r="C611" s="1" t="s">
        <v>189</v>
      </c>
      <c r="D611" s="1">
        <v>1.0</v>
      </c>
      <c r="E611" s="1">
        <v>4.0</v>
      </c>
      <c r="F611" s="1" t="s">
        <v>1182</v>
      </c>
      <c r="G611" s="218">
        <v>45206.64583333333</v>
      </c>
      <c r="H611" s="1" t="s">
        <v>58</v>
      </c>
      <c r="I611" s="1" t="s">
        <v>935</v>
      </c>
      <c r="J611" s="219"/>
      <c r="K611" s="219"/>
      <c r="L611" s="219"/>
      <c r="M611" s="219"/>
      <c r="N611" s="1">
        <v>85.0</v>
      </c>
      <c r="O611" s="1">
        <v>122.0</v>
      </c>
      <c r="P611" s="1">
        <v>1.0</v>
      </c>
      <c r="Q611" s="1" t="b">
        <v>1</v>
      </c>
      <c r="R611" s="1">
        <v>100.0</v>
      </c>
      <c r="S611" s="1" t="s">
        <v>352</v>
      </c>
      <c r="T611" s="1" t="s">
        <v>423</v>
      </c>
      <c r="U611" s="1"/>
    </row>
    <row r="612">
      <c r="A612" s="218">
        <v>45201.927627384255</v>
      </c>
      <c r="B612" s="1" t="s">
        <v>46</v>
      </c>
      <c r="C612" s="1" t="s">
        <v>181</v>
      </c>
      <c r="D612" s="1">
        <v>3.0</v>
      </c>
      <c r="E612" s="1">
        <v>2.0</v>
      </c>
      <c r="F612" s="1" t="s">
        <v>1199</v>
      </c>
      <c r="G612" s="218">
        <v>45206.66666666667</v>
      </c>
      <c r="H612" s="1" t="s">
        <v>69</v>
      </c>
      <c r="I612" s="1" t="s">
        <v>935</v>
      </c>
      <c r="J612" s="219"/>
      <c r="K612" s="219"/>
      <c r="L612" s="219"/>
      <c r="M612" s="219"/>
      <c r="N612" s="1">
        <v>130.0</v>
      </c>
      <c r="O612" s="1">
        <v>119.0</v>
      </c>
      <c r="P612" s="1">
        <v>1.0</v>
      </c>
      <c r="Q612" s="1" t="b">
        <v>0</v>
      </c>
      <c r="R612" s="1">
        <v>100.0</v>
      </c>
      <c r="S612" s="1" t="s">
        <v>355</v>
      </c>
      <c r="T612" s="1" t="s">
        <v>423</v>
      </c>
      <c r="U612" s="1"/>
    </row>
    <row r="613">
      <c r="A613" s="218">
        <v>45201.927627384255</v>
      </c>
      <c r="B613" s="1" t="s">
        <v>46</v>
      </c>
      <c r="C613" s="1" t="s">
        <v>183</v>
      </c>
      <c r="D613" s="1">
        <v>4.0</v>
      </c>
      <c r="E613" s="1">
        <v>1.0</v>
      </c>
      <c r="F613" s="1" t="s">
        <v>1200</v>
      </c>
      <c r="G613" s="218">
        <v>45206.83333333333</v>
      </c>
      <c r="H613" s="1" t="s">
        <v>62</v>
      </c>
      <c r="I613" s="1" t="s">
        <v>92</v>
      </c>
      <c r="J613" s="219"/>
      <c r="K613" s="219"/>
      <c r="L613" s="219"/>
      <c r="M613" s="219"/>
      <c r="N613" s="1">
        <v>133.0</v>
      </c>
      <c r="O613" s="1">
        <v>126.0</v>
      </c>
      <c r="P613" s="1">
        <v>1.0</v>
      </c>
      <c r="Q613" s="1" t="b">
        <v>1</v>
      </c>
      <c r="R613" s="1">
        <v>100.0</v>
      </c>
      <c r="S613" s="1" t="s">
        <v>353</v>
      </c>
      <c r="T613" s="1" t="s">
        <v>423</v>
      </c>
      <c r="U613" s="1"/>
    </row>
    <row r="614">
      <c r="A614" s="218">
        <v>45201.927627384255</v>
      </c>
      <c r="B614" s="1" t="s">
        <v>46</v>
      </c>
      <c r="C614" s="1" t="s">
        <v>188</v>
      </c>
      <c r="D614" s="1">
        <v>2.0</v>
      </c>
      <c r="E614" s="1">
        <v>3.0</v>
      </c>
      <c r="F614" s="1" t="s">
        <v>1201</v>
      </c>
      <c r="G614" s="218">
        <v>45206.83333333333</v>
      </c>
      <c r="H614" s="1" t="s">
        <v>59</v>
      </c>
      <c r="I614" s="1" t="s">
        <v>36</v>
      </c>
      <c r="J614" s="219"/>
      <c r="K614" s="219"/>
      <c r="L614" s="219"/>
      <c r="M614" s="219"/>
      <c r="N614" s="1">
        <v>166.0</v>
      </c>
      <c r="O614" s="1">
        <v>124.0</v>
      </c>
      <c r="P614" s="1">
        <v>1.0</v>
      </c>
      <c r="Q614" s="1" t="b">
        <v>1</v>
      </c>
      <c r="R614" s="1">
        <v>100.0</v>
      </c>
      <c r="S614" s="1" t="s">
        <v>296</v>
      </c>
      <c r="T614" s="1" t="s">
        <v>422</v>
      </c>
      <c r="U614" s="1"/>
    </row>
    <row r="615">
      <c r="A615" s="218">
        <v>45201.927627384255</v>
      </c>
      <c r="B615" s="1" t="s">
        <v>46</v>
      </c>
      <c r="C615" s="1" t="s">
        <v>185</v>
      </c>
      <c r="D615" s="1">
        <v>4.0</v>
      </c>
      <c r="E615" s="1">
        <v>1.0</v>
      </c>
      <c r="F615" s="1" t="s">
        <v>1202</v>
      </c>
      <c r="G615" s="218">
        <v>45206.5</v>
      </c>
      <c r="H615" s="1" t="s">
        <v>69</v>
      </c>
      <c r="I615" s="1" t="s">
        <v>958</v>
      </c>
      <c r="J615" s="219"/>
      <c r="K615" s="219"/>
      <c r="L615" s="219"/>
      <c r="M615" s="219"/>
      <c r="N615" s="1">
        <v>154.0</v>
      </c>
      <c r="O615" s="1">
        <v>64.0</v>
      </c>
      <c r="P615" s="1">
        <v>1.0</v>
      </c>
      <c r="Q615" s="1" t="b">
        <v>1</v>
      </c>
      <c r="R615" s="1">
        <v>100.0</v>
      </c>
      <c r="S615" s="1" t="s">
        <v>351</v>
      </c>
      <c r="T615" s="1" t="s">
        <v>423</v>
      </c>
      <c r="U615" s="1"/>
    </row>
    <row r="616">
      <c r="A616" s="218">
        <v>45201.927627384255</v>
      </c>
      <c r="B616" s="1" t="s">
        <v>46</v>
      </c>
      <c r="C616" s="1" t="s">
        <v>180</v>
      </c>
      <c r="D616" s="1">
        <v>5.0</v>
      </c>
      <c r="E616" s="1">
        <v>0.0</v>
      </c>
      <c r="F616" s="1"/>
      <c r="G616" s="218"/>
      <c r="H616" s="1"/>
      <c r="I616" s="1"/>
      <c r="J616" s="219"/>
      <c r="K616" s="219"/>
      <c r="L616" s="219"/>
      <c r="M616" s="219"/>
      <c r="N616" s="1">
        <v>230.0</v>
      </c>
      <c r="O616" s="1">
        <v>92.0</v>
      </c>
      <c r="P616" s="1">
        <v>3.0</v>
      </c>
      <c r="Q616" s="1" t="b">
        <v>1</v>
      </c>
      <c r="R616" s="1">
        <v>100.0</v>
      </c>
      <c r="S616" s="1" t="s">
        <v>354</v>
      </c>
      <c r="T616" s="1" t="s">
        <v>422</v>
      </c>
      <c r="U616" s="1"/>
    </row>
    <row r="617">
      <c r="A617" s="218">
        <v>45201.927627384255</v>
      </c>
      <c r="B617" s="1" t="s">
        <v>46</v>
      </c>
      <c r="C617" s="1" t="s">
        <v>184</v>
      </c>
      <c r="D617" s="1">
        <v>2.0</v>
      </c>
      <c r="E617" s="1">
        <v>3.0</v>
      </c>
      <c r="F617" s="1"/>
      <c r="G617" s="218"/>
      <c r="H617" s="1"/>
      <c r="I617" s="1"/>
      <c r="J617" s="219"/>
      <c r="K617" s="219"/>
      <c r="L617" s="219"/>
      <c r="M617" s="219"/>
      <c r="N617" s="1">
        <v>135.0</v>
      </c>
      <c r="O617" s="1">
        <v>147.0</v>
      </c>
      <c r="P617" s="1">
        <v>3.0</v>
      </c>
      <c r="Q617" s="1" t="b">
        <v>1</v>
      </c>
      <c r="R617" s="1">
        <v>100.0</v>
      </c>
      <c r="S617" s="1" t="s">
        <v>292</v>
      </c>
      <c r="T617" s="1" t="s">
        <v>422</v>
      </c>
      <c r="U617" s="1"/>
    </row>
    <row r="618">
      <c r="A618" s="218">
        <v>45201.927627384255</v>
      </c>
      <c r="B618" s="1" t="s">
        <v>46</v>
      </c>
      <c r="C618" s="1" t="s">
        <v>187</v>
      </c>
      <c r="D618" s="1">
        <v>4.0</v>
      </c>
      <c r="E618" s="1">
        <v>1.0</v>
      </c>
      <c r="F618" s="1"/>
      <c r="G618" s="218"/>
      <c r="H618" s="1"/>
      <c r="I618" s="1"/>
      <c r="J618" s="219"/>
      <c r="K618" s="219"/>
      <c r="L618" s="219"/>
      <c r="M618" s="219"/>
      <c r="N618" s="1">
        <v>163.0</v>
      </c>
      <c r="O618" s="1">
        <v>56.0</v>
      </c>
      <c r="P618" s="1">
        <v>3.0</v>
      </c>
      <c r="Q618" s="1" t="b">
        <v>1</v>
      </c>
      <c r="R618" s="1">
        <v>100.0</v>
      </c>
      <c r="S618" s="1" t="s">
        <v>301</v>
      </c>
      <c r="T618" s="1" t="s">
        <v>422</v>
      </c>
      <c r="U618" s="1"/>
    </row>
    <row r="619">
      <c r="A619" s="218">
        <v>45201.927627384255</v>
      </c>
      <c r="B619" s="1" t="s">
        <v>46</v>
      </c>
      <c r="C619" s="1" t="s">
        <v>182</v>
      </c>
      <c r="D619" s="1">
        <v>4.0</v>
      </c>
      <c r="E619" s="1">
        <v>1.0</v>
      </c>
      <c r="F619" s="1"/>
      <c r="G619" s="218"/>
      <c r="H619" s="1"/>
      <c r="I619" s="1"/>
      <c r="J619" s="219"/>
      <c r="K619" s="219"/>
      <c r="L619" s="219"/>
      <c r="M619" s="219"/>
      <c r="N619" s="1">
        <v>149.0</v>
      </c>
      <c r="O619" s="1">
        <v>87.0</v>
      </c>
      <c r="P619" s="1">
        <v>3.0</v>
      </c>
      <c r="Q619" s="1" t="b">
        <v>1</v>
      </c>
      <c r="R619" s="1">
        <v>100.0</v>
      </c>
      <c r="S619" s="1" t="s">
        <v>407</v>
      </c>
      <c r="T619" s="1" t="s">
        <v>423</v>
      </c>
      <c r="U619" s="1"/>
    </row>
    <row r="620">
      <c r="A620" s="218">
        <v>45201.927627384255</v>
      </c>
      <c r="B620" s="1"/>
      <c r="C620" s="1"/>
      <c r="D620" s="1"/>
      <c r="E620" s="1"/>
      <c r="F620" s="1"/>
      <c r="G620" s="218"/>
      <c r="H620" s="1"/>
      <c r="I620" s="1"/>
      <c r="J620" s="219"/>
      <c r="K620" s="219"/>
      <c r="L620" s="219"/>
      <c r="M620" s="219"/>
      <c r="N620" s="1"/>
      <c r="O620" s="1"/>
      <c r="P620" s="1"/>
      <c r="Q620" s="1"/>
      <c r="R620" s="1"/>
      <c r="S620" s="1" t="e">
        <v>#N/A</v>
      </c>
      <c r="T620" s="1" t="e">
        <v>#N/A</v>
      </c>
      <c r="U620" s="1"/>
    </row>
    <row r="621">
      <c r="A621" s="218">
        <v>45201.927627384255</v>
      </c>
      <c r="B621" s="1" t="s">
        <v>70</v>
      </c>
      <c r="C621" s="1" t="s">
        <v>198</v>
      </c>
      <c r="D621" s="1">
        <v>1.0</v>
      </c>
      <c r="E621" s="1">
        <v>3.0</v>
      </c>
      <c r="F621" s="1" t="s">
        <v>1175</v>
      </c>
      <c r="G621" s="218">
        <v>45206.58333333333</v>
      </c>
      <c r="H621" s="1" t="s">
        <v>35</v>
      </c>
      <c r="I621" s="1" t="s">
        <v>935</v>
      </c>
      <c r="J621" s="219"/>
      <c r="K621" s="219"/>
      <c r="L621" s="219"/>
      <c r="M621" s="219"/>
      <c r="N621" s="1">
        <v>77.0</v>
      </c>
      <c r="O621" s="1">
        <v>112.0</v>
      </c>
      <c r="P621" s="1">
        <v>1.0</v>
      </c>
      <c r="Q621" s="1" t="b">
        <v>1</v>
      </c>
      <c r="R621" s="1">
        <v>100.0</v>
      </c>
      <c r="S621" s="1" t="s">
        <v>407</v>
      </c>
      <c r="T621" s="1" t="s">
        <v>423</v>
      </c>
      <c r="U621" s="1"/>
    </row>
    <row r="622">
      <c r="A622" s="218">
        <v>45201.927627384255</v>
      </c>
      <c r="B622" s="1" t="s">
        <v>70</v>
      </c>
      <c r="C622" s="1" t="s">
        <v>199</v>
      </c>
      <c r="D622" s="1">
        <v>1.0</v>
      </c>
      <c r="E622" s="1">
        <v>4.0</v>
      </c>
      <c r="F622" s="1" t="s">
        <v>1203</v>
      </c>
      <c r="G622" s="218">
        <v>45206.58333333333</v>
      </c>
      <c r="H622" s="1" t="s">
        <v>125</v>
      </c>
      <c r="I622" s="1" t="s">
        <v>935</v>
      </c>
      <c r="J622" s="219"/>
      <c r="K622" s="219"/>
      <c r="L622" s="219"/>
      <c r="M622" s="219"/>
      <c r="N622" s="1">
        <v>132.0</v>
      </c>
      <c r="O622" s="1">
        <v>188.0</v>
      </c>
      <c r="P622" s="1">
        <v>1.0</v>
      </c>
      <c r="Q622" s="1" t="b">
        <v>1</v>
      </c>
      <c r="R622" s="1">
        <v>100.0</v>
      </c>
      <c r="S622" s="1" t="s">
        <v>352</v>
      </c>
      <c r="T622" s="1" t="s">
        <v>423</v>
      </c>
      <c r="U622" s="1"/>
    </row>
    <row r="623">
      <c r="A623" s="218">
        <v>45201.927627384255</v>
      </c>
      <c r="B623" s="1" t="s">
        <v>70</v>
      </c>
      <c r="C623" s="1" t="s">
        <v>191</v>
      </c>
      <c r="D623" s="1">
        <v>3.0</v>
      </c>
      <c r="E623" s="1">
        <v>2.0</v>
      </c>
      <c r="F623" s="1" t="s">
        <v>1204</v>
      </c>
      <c r="G623" s="218">
        <v>45206.64583333333</v>
      </c>
      <c r="H623" s="1" t="s">
        <v>57</v>
      </c>
      <c r="I623" s="1" t="s">
        <v>900</v>
      </c>
      <c r="J623" s="219"/>
      <c r="K623" s="219"/>
      <c r="L623" s="219"/>
      <c r="M623" s="219"/>
      <c r="N623" s="1">
        <v>176.0</v>
      </c>
      <c r="O623" s="1">
        <v>104.0</v>
      </c>
      <c r="P623" s="1">
        <v>1.0</v>
      </c>
      <c r="Q623" s="1" t="b">
        <v>1</v>
      </c>
      <c r="R623" s="1">
        <v>100.0</v>
      </c>
      <c r="S623" s="1" t="s">
        <v>301</v>
      </c>
      <c r="T623" s="1" t="s">
        <v>422</v>
      </c>
      <c r="U623" s="1"/>
    </row>
    <row r="624">
      <c r="A624" s="218">
        <v>45201.927627384255</v>
      </c>
      <c r="B624" s="1" t="s">
        <v>70</v>
      </c>
      <c r="C624" s="1" t="s">
        <v>192</v>
      </c>
      <c r="D624" s="1">
        <v>4.0</v>
      </c>
      <c r="E624" s="1">
        <v>1.0</v>
      </c>
      <c r="F624" s="1" t="s">
        <v>1205</v>
      </c>
      <c r="G624" s="218">
        <v>45206.66666666667</v>
      </c>
      <c r="H624" s="1" t="s">
        <v>69</v>
      </c>
      <c r="I624" s="1" t="s">
        <v>92</v>
      </c>
      <c r="J624" s="219"/>
      <c r="K624" s="219"/>
      <c r="L624" s="219"/>
      <c r="M624" s="219"/>
      <c r="N624" s="1">
        <v>165.0</v>
      </c>
      <c r="O624" s="1">
        <v>131.0</v>
      </c>
      <c r="P624" s="1">
        <v>1.0</v>
      </c>
      <c r="Q624" s="1" t="b">
        <v>0</v>
      </c>
      <c r="R624" s="1">
        <v>100.0</v>
      </c>
      <c r="S624" s="1" t="s">
        <v>296</v>
      </c>
      <c r="T624" s="1" t="s">
        <v>422</v>
      </c>
      <c r="U624" s="1"/>
    </row>
    <row r="625">
      <c r="A625" s="218">
        <v>45201.927627384255</v>
      </c>
      <c r="B625" s="1" t="s">
        <v>70</v>
      </c>
      <c r="C625" s="1" t="s">
        <v>197</v>
      </c>
      <c r="D625" s="1">
        <v>1.0</v>
      </c>
      <c r="E625" s="1">
        <v>4.0</v>
      </c>
      <c r="F625" s="1" t="s">
        <v>1206</v>
      </c>
      <c r="G625" s="218">
        <v>45206.79166666667</v>
      </c>
      <c r="H625" s="1" t="s">
        <v>61</v>
      </c>
      <c r="I625" s="1" t="s">
        <v>935</v>
      </c>
      <c r="J625" s="219"/>
      <c r="K625" s="219"/>
      <c r="L625" s="219"/>
      <c r="M625" s="219"/>
      <c r="N625" s="1">
        <v>129.0</v>
      </c>
      <c r="O625" s="1">
        <v>195.0</v>
      </c>
      <c r="P625" s="1">
        <v>1.0</v>
      </c>
      <c r="Q625" s="1" t="b">
        <v>1</v>
      </c>
      <c r="R625" s="1">
        <v>100.0</v>
      </c>
      <c r="S625" s="1" t="s">
        <v>355</v>
      </c>
      <c r="T625" s="1" t="s">
        <v>423</v>
      </c>
      <c r="U625" s="1"/>
    </row>
    <row r="626">
      <c r="A626" s="218">
        <v>45201.927627384255</v>
      </c>
      <c r="B626" s="1" t="s">
        <v>70</v>
      </c>
      <c r="C626" s="1" t="s">
        <v>196</v>
      </c>
      <c r="D626" s="1">
        <v>5.0</v>
      </c>
      <c r="E626" s="1">
        <v>0.0</v>
      </c>
      <c r="F626" s="1" t="s">
        <v>1177</v>
      </c>
      <c r="G626" s="218">
        <v>45206.79166666667</v>
      </c>
      <c r="H626" s="1" t="s">
        <v>35</v>
      </c>
      <c r="I626" s="1" t="s">
        <v>76</v>
      </c>
      <c r="J626" s="219"/>
      <c r="K626" s="219"/>
      <c r="L626" s="219"/>
      <c r="M626" s="219"/>
      <c r="N626" s="1">
        <v>185.0</v>
      </c>
      <c r="O626" s="1">
        <v>76.0</v>
      </c>
      <c r="P626" s="1">
        <v>1.0</v>
      </c>
      <c r="Q626" s="1" t="b">
        <v>0</v>
      </c>
      <c r="R626" s="1">
        <v>100.0</v>
      </c>
      <c r="S626" s="1" t="s">
        <v>292</v>
      </c>
      <c r="T626" s="1" t="s">
        <v>422</v>
      </c>
      <c r="U626" s="1"/>
    </row>
    <row r="627">
      <c r="A627" s="218">
        <v>45201.927627384255</v>
      </c>
      <c r="B627" s="1" t="s">
        <v>70</v>
      </c>
      <c r="C627" s="1" t="s">
        <v>193</v>
      </c>
      <c r="D627" s="1">
        <v>1.0</v>
      </c>
      <c r="E627" s="1">
        <v>4.0</v>
      </c>
      <c r="F627" s="1"/>
      <c r="G627" s="218"/>
      <c r="H627" s="1"/>
      <c r="I627" s="1"/>
      <c r="J627" s="219"/>
      <c r="K627" s="219"/>
      <c r="L627" s="219"/>
      <c r="M627" s="219"/>
      <c r="N627" s="1">
        <v>96.0</v>
      </c>
      <c r="O627" s="1">
        <v>173.0</v>
      </c>
      <c r="P627" s="1">
        <v>3.0</v>
      </c>
      <c r="Q627" s="1" t="b">
        <v>1</v>
      </c>
      <c r="R627" s="1">
        <v>100.0</v>
      </c>
      <c r="S627" s="1" t="s">
        <v>354</v>
      </c>
      <c r="T627" s="1" t="s">
        <v>422</v>
      </c>
      <c r="U627" s="1"/>
    </row>
    <row r="628">
      <c r="A628" s="218">
        <v>45201.927627384255</v>
      </c>
      <c r="B628" s="1" t="s">
        <v>70</v>
      </c>
      <c r="C628" s="1" t="s">
        <v>190</v>
      </c>
      <c r="D628" s="1">
        <v>2.0</v>
      </c>
      <c r="E628" s="1">
        <v>4.0</v>
      </c>
      <c r="F628" s="1"/>
      <c r="G628" s="218"/>
      <c r="H628" s="1"/>
      <c r="I628" s="1"/>
      <c r="J628" s="219"/>
      <c r="K628" s="219"/>
      <c r="L628" s="219"/>
      <c r="M628" s="219"/>
      <c r="N628" s="1">
        <v>116.0</v>
      </c>
      <c r="O628" s="1">
        <v>185.0</v>
      </c>
      <c r="P628" s="1">
        <v>3.0</v>
      </c>
      <c r="Q628" s="1" t="b">
        <v>1</v>
      </c>
      <c r="R628" s="1">
        <v>100.0</v>
      </c>
      <c r="S628" s="1" t="s">
        <v>353</v>
      </c>
      <c r="T628" s="1" t="s">
        <v>423</v>
      </c>
      <c r="U628" s="1"/>
    </row>
    <row r="629">
      <c r="A629" s="218">
        <v>45201.927627384255</v>
      </c>
      <c r="B629" s="1" t="s">
        <v>70</v>
      </c>
      <c r="C629" s="1" t="s">
        <v>195</v>
      </c>
      <c r="D629" s="1">
        <v>2.0</v>
      </c>
      <c r="E629" s="1">
        <v>3.0</v>
      </c>
      <c r="F629" s="1"/>
      <c r="G629" s="218"/>
      <c r="H629" s="1"/>
      <c r="I629" s="1"/>
      <c r="J629" s="219"/>
      <c r="K629" s="219"/>
      <c r="L629" s="219"/>
      <c r="M629" s="219"/>
      <c r="N629" s="1">
        <v>104.0</v>
      </c>
      <c r="O629" s="1">
        <v>122.0</v>
      </c>
      <c r="P629" s="1">
        <v>3.0</v>
      </c>
      <c r="Q629" s="1" t="b">
        <v>1</v>
      </c>
      <c r="R629" s="1">
        <v>100.0</v>
      </c>
      <c r="S629" s="1" t="s">
        <v>282</v>
      </c>
      <c r="T629" s="1" t="s">
        <v>422</v>
      </c>
      <c r="U629" s="1"/>
    </row>
    <row r="630">
      <c r="A630" s="218">
        <v>45201.927627384255</v>
      </c>
      <c r="B630" s="1" t="s">
        <v>70</v>
      </c>
      <c r="C630" s="1" t="s">
        <v>194</v>
      </c>
      <c r="D630" s="1">
        <v>1.0</v>
      </c>
      <c r="E630" s="1">
        <v>5.0</v>
      </c>
      <c r="F630" s="1"/>
      <c r="G630" s="218"/>
      <c r="H630" s="1"/>
      <c r="I630" s="1"/>
      <c r="J630" s="219"/>
      <c r="K630" s="219"/>
      <c r="L630" s="219"/>
      <c r="M630" s="219"/>
      <c r="N630" s="1">
        <v>97.0</v>
      </c>
      <c r="O630" s="1">
        <v>169.0</v>
      </c>
      <c r="P630" s="1">
        <v>3.0</v>
      </c>
      <c r="Q630" s="1" t="b">
        <v>1</v>
      </c>
      <c r="R630" s="1">
        <v>100.0</v>
      </c>
      <c r="S630" s="1" t="s">
        <v>351</v>
      </c>
      <c r="T630" s="1" t="s">
        <v>423</v>
      </c>
      <c r="U630" s="1"/>
    </row>
    <row r="631">
      <c r="A631" s="218">
        <v>45201.927627384255</v>
      </c>
      <c r="B631" s="1"/>
      <c r="C631" s="1"/>
      <c r="D631" s="1"/>
      <c r="E631" s="1"/>
      <c r="F631" s="1"/>
      <c r="G631" s="218"/>
      <c r="H631" s="1"/>
      <c r="I631" s="1"/>
      <c r="J631" s="219"/>
      <c r="K631" s="219"/>
      <c r="L631" s="219"/>
      <c r="M631" s="219"/>
      <c r="N631" s="1"/>
      <c r="O631" s="1"/>
      <c r="P631" s="1"/>
      <c r="Q631" s="1"/>
      <c r="R631" s="1"/>
      <c r="S631" s="1" t="e">
        <v>#N/A</v>
      </c>
      <c r="T631" s="1" t="e">
        <v>#N/A</v>
      </c>
      <c r="U631" s="1"/>
    </row>
    <row r="632">
      <c r="A632" s="218">
        <v>45201.927627384255</v>
      </c>
      <c r="B632" s="1" t="s">
        <v>57</v>
      </c>
      <c r="C632" s="1" t="s">
        <v>201</v>
      </c>
      <c r="D632" s="1">
        <v>2.0</v>
      </c>
      <c r="E632" s="1">
        <v>3.0</v>
      </c>
      <c r="F632" s="1" t="s">
        <v>1207</v>
      </c>
      <c r="G632" s="218">
        <v>45203.875</v>
      </c>
      <c r="H632" s="1" t="s">
        <v>67</v>
      </c>
      <c r="I632" s="1" t="s">
        <v>99</v>
      </c>
      <c r="J632" s="219"/>
      <c r="K632" s="219"/>
      <c r="L632" s="219"/>
      <c r="M632" s="219"/>
      <c r="N632" s="1">
        <v>149.0</v>
      </c>
      <c r="O632" s="1">
        <v>132.0</v>
      </c>
      <c r="P632" s="1">
        <v>1.0</v>
      </c>
      <c r="Q632" s="1" t="b">
        <v>1</v>
      </c>
      <c r="R632" s="1">
        <v>100.0</v>
      </c>
      <c r="S632" s="1" t="s">
        <v>351</v>
      </c>
      <c r="T632" s="1" t="s">
        <v>423</v>
      </c>
      <c r="U632" s="1"/>
    </row>
    <row r="633">
      <c r="A633" s="218">
        <v>45201.927627384255</v>
      </c>
      <c r="B633" s="1" t="s">
        <v>57</v>
      </c>
      <c r="C633" s="1" t="s">
        <v>208</v>
      </c>
      <c r="D633" s="1">
        <v>3.0</v>
      </c>
      <c r="E633" s="1">
        <v>1.0</v>
      </c>
      <c r="F633" s="1" t="s">
        <v>1204</v>
      </c>
      <c r="G633" s="218">
        <v>45206.64583333333</v>
      </c>
      <c r="H633" s="1" t="s">
        <v>70</v>
      </c>
      <c r="I633" s="1" t="s">
        <v>900</v>
      </c>
      <c r="J633" s="219"/>
      <c r="K633" s="219"/>
      <c r="L633" s="219"/>
      <c r="M633" s="219"/>
      <c r="N633" s="1">
        <v>116.0</v>
      </c>
      <c r="O633" s="1">
        <v>91.0</v>
      </c>
      <c r="P633" s="1">
        <v>1.0</v>
      </c>
      <c r="Q633" s="1" t="b">
        <v>0</v>
      </c>
      <c r="R633" s="1">
        <v>100.0</v>
      </c>
      <c r="S633" s="1" t="s">
        <v>301</v>
      </c>
      <c r="T633" s="1" t="s">
        <v>422</v>
      </c>
      <c r="U633" s="1"/>
    </row>
    <row r="634">
      <c r="A634" s="218">
        <v>45201.927627384255</v>
      </c>
      <c r="B634" s="1" t="s">
        <v>57</v>
      </c>
      <c r="C634" s="1" t="s">
        <v>214</v>
      </c>
      <c r="D634" s="1">
        <v>4.0</v>
      </c>
      <c r="E634" s="1">
        <v>1.0</v>
      </c>
      <c r="F634" s="1" t="s">
        <v>1176</v>
      </c>
      <c r="G634" s="218">
        <v>45206.64583333333</v>
      </c>
      <c r="H634" s="1" t="s">
        <v>35</v>
      </c>
      <c r="I634" s="1" t="s">
        <v>935</v>
      </c>
      <c r="J634" s="219"/>
      <c r="K634" s="219"/>
      <c r="L634" s="219"/>
      <c r="M634" s="219"/>
      <c r="N634" s="1">
        <v>105.0</v>
      </c>
      <c r="O634" s="1">
        <v>54.0</v>
      </c>
      <c r="P634" s="1">
        <v>1.0</v>
      </c>
      <c r="Q634" s="1" t="b">
        <v>1</v>
      </c>
      <c r="R634" s="1">
        <v>100.0</v>
      </c>
      <c r="S634" s="1" t="s">
        <v>352</v>
      </c>
      <c r="T634" s="1" t="s">
        <v>423</v>
      </c>
      <c r="U634" s="1"/>
    </row>
    <row r="635">
      <c r="A635" s="218">
        <v>45201.927627384255</v>
      </c>
      <c r="B635" s="1" t="s">
        <v>57</v>
      </c>
      <c r="C635" s="1" t="s">
        <v>207</v>
      </c>
      <c r="D635" s="1">
        <v>3.0</v>
      </c>
      <c r="E635" s="1">
        <v>2.0</v>
      </c>
      <c r="F635" s="1" t="s">
        <v>1189</v>
      </c>
      <c r="G635" s="218">
        <v>45206.75</v>
      </c>
      <c r="H635" s="1" t="s">
        <v>56</v>
      </c>
      <c r="I635" s="1" t="s">
        <v>935</v>
      </c>
      <c r="J635" s="219"/>
      <c r="K635" s="219"/>
      <c r="L635" s="219"/>
      <c r="M635" s="219"/>
      <c r="N635" s="1">
        <v>139.0</v>
      </c>
      <c r="O635" s="1">
        <v>156.0</v>
      </c>
      <c r="P635" s="1">
        <v>1.0</v>
      </c>
      <c r="Q635" s="1" t="b">
        <v>1</v>
      </c>
      <c r="R635" s="1">
        <v>100.0</v>
      </c>
      <c r="S635" s="1" t="s">
        <v>407</v>
      </c>
      <c r="T635" s="1" t="s">
        <v>423</v>
      </c>
      <c r="U635" s="1"/>
    </row>
    <row r="636">
      <c r="A636" s="218">
        <v>45201.927627384255</v>
      </c>
      <c r="B636" s="1" t="s">
        <v>57</v>
      </c>
      <c r="C636" s="1" t="s">
        <v>213</v>
      </c>
      <c r="D636" s="1">
        <v>2.0</v>
      </c>
      <c r="E636" s="1">
        <v>3.0</v>
      </c>
      <c r="F636" s="1" t="s">
        <v>1208</v>
      </c>
      <c r="G636" s="218">
        <v>45206.8125</v>
      </c>
      <c r="H636" s="1" t="s">
        <v>67</v>
      </c>
      <c r="I636" s="1" t="s">
        <v>945</v>
      </c>
      <c r="J636" s="219"/>
      <c r="K636" s="219"/>
      <c r="L636" s="219"/>
      <c r="M636" s="219"/>
      <c r="N636" s="1">
        <v>168.0</v>
      </c>
      <c r="O636" s="1">
        <v>125.0</v>
      </c>
      <c r="P636" s="1">
        <v>1.0</v>
      </c>
      <c r="Q636" s="1" t="b">
        <v>0</v>
      </c>
      <c r="R636" s="1">
        <v>100.0</v>
      </c>
      <c r="S636" s="1" t="s">
        <v>292</v>
      </c>
      <c r="T636" s="1" t="s">
        <v>422</v>
      </c>
      <c r="U636" s="1"/>
    </row>
    <row r="637">
      <c r="A637" s="218">
        <v>45201.927627384255</v>
      </c>
      <c r="B637" s="1" t="s">
        <v>57</v>
      </c>
      <c r="C637" s="1" t="s">
        <v>204</v>
      </c>
      <c r="D637" s="1">
        <v>5.0</v>
      </c>
      <c r="E637" s="1">
        <v>0.0</v>
      </c>
      <c r="F637" s="1" t="s">
        <v>1209</v>
      </c>
      <c r="G637" s="218">
        <v>45206.9375</v>
      </c>
      <c r="H637" s="1" t="s">
        <v>67</v>
      </c>
      <c r="I637" s="1" t="s">
        <v>76</v>
      </c>
      <c r="J637" s="219"/>
      <c r="K637" s="219"/>
      <c r="L637" s="219"/>
      <c r="M637" s="219"/>
      <c r="N637" s="1">
        <v>268.0</v>
      </c>
      <c r="O637" s="1">
        <v>121.0</v>
      </c>
      <c r="P637" s="1">
        <v>1.0</v>
      </c>
      <c r="Q637" s="1" t="b">
        <v>0</v>
      </c>
      <c r="R637" s="1">
        <v>100.0</v>
      </c>
      <c r="S637" s="1" t="s">
        <v>354</v>
      </c>
      <c r="T637" s="1" t="s">
        <v>422</v>
      </c>
      <c r="U637" s="1"/>
    </row>
    <row r="638">
      <c r="A638" s="218">
        <v>45201.927627384255</v>
      </c>
      <c r="B638" s="1" t="s">
        <v>57</v>
      </c>
      <c r="C638" s="1" t="s">
        <v>200</v>
      </c>
      <c r="D638" s="1">
        <v>4.0</v>
      </c>
      <c r="E638" s="1">
        <v>0.0</v>
      </c>
      <c r="F638" s="1" t="s">
        <v>1210</v>
      </c>
      <c r="G638" s="218">
        <v>45206.5</v>
      </c>
      <c r="H638" s="1" t="s">
        <v>62</v>
      </c>
      <c r="I638" s="1" t="s">
        <v>92</v>
      </c>
      <c r="J638" s="219"/>
      <c r="K638" s="219"/>
      <c r="L638" s="219"/>
      <c r="M638" s="219"/>
      <c r="N638" s="1">
        <v>138.0</v>
      </c>
      <c r="O638" s="1">
        <v>34.0</v>
      </c>
      <c r="P638" s="1">
        <v>1.0</v>
      </c>
      <c r="Q638" s="1" t="b">
        <v>0</v>
      </c>
      <c r="R638" s="1">
        <v>100.0</v>
      </c>
      <c r="S638" s="1" t="s">
        <v>282</v>
      </c>
      <c r="T638" s="1" t="s">
        <v>422</v>
      </c>
      <c r="U638" s="1"/>
    </row>
    <row r="639">
      <c r="A639" s="218">
        <v>45201.927627384255</v>
      </c>
      <c r="B639" s="1" t="s">
        <v>57</v>
      </c>
      <c r="C639" s="1" t="s">
        <v>206</v>
      </c>
      <c r="D639" s="1">
        <v>2.0</v>
      </c>
      <c r="E639" s="1">
        <v>3.0</v>
      </c>
      <c r="F639" s="1"/>
      <c r="G639" s="218"/>
      <c r="H639" s="1"/>
      <c r="I639" s="1"/>
      <c r="J639" s="219"/>
      <c r="K639" s="219"/>
      <c r="L639" s="219"/>
      <c r="M639" s="219"/>
      <c r="N639" s="1">
        <v>154.0</v>
      </c>
      <c r="O639" s="1">
        <v>118.0</v>
      </c>
      <c r="P639" s="1">
        <v>3.0</v>
      </c>
      <c r="Q639" s="1" t="b">
        <v>1</v>
      </c>
      <c r="R639" s="1">
        <v>100.0</v>
      </c>
      <c r="S639" s="1" t="s">
        <v>355</v>
      </c>
      <c r="T639" s="1" t="s">
        <v>423</v>
      </c>
      <c r="U639" s="1"/>
    </row>
    <row r="640">
      <c r="A640" s="218">
        <v>45201.927627384255</v>
      </c>
      <c r="B640" s="1" t="s">
        <v>57</v>
      </c>
      <c r="C640" s="1" t="s">
        <v>202</v>
      </c>
      <c r="D640" s="1">
        <v>4.0</v>
      </c>
      <c r="E640" s="1">
        <v>1.0</v>
      </c>
      <c r="F640" s="1"/>
      <c r="G640" s="218"/>
      <c r="H640" s="1"/>
      <c r="I640" s="1"/>
      <c r="J640" s="219"/>
      <c r="K640" s="219"/>
      <c r="L640" s="219"/>
      <c r="M640" s="219"/>
      <c r="N640" s="1">
        <v>180.0</v>
      </c>
      <c r="O640" s="1">
        <v>134.0</v>
      </c>
      <c r="P640" s="1">
        <v>3.0</v>
      </c>
      <c r="Q640" s="1" t="b">
        <v>1</v>
      </c>
      <c r="R640" s="1">
        <v>100.0</v>
      </c>
      <c r="S640" s="1" t="s">
        <v>353</v>
      </c>
      <c r="T640" s="1" t="s">
        <v>423</v>
      </c>
      <c r="U640" s="1"/>
    </row>
    <row r="641">
      <c r="A641" s="218">
        <v>45201.927627384255</v>
      </c>
      <c r="B641" s="1" t="s">
        <v>57</v>
      </c>
      <c r="C641" s="1" t="s">
        <v>210</v>
      </c>
      <c r="D641" s="1">
        <v>2.0</v>
      </c>
      <c r="E641" s="1">
        <v>3.0</v>
      </c>
      <c r="F641" s="1"/>
      <c r="G641" s="218"/>
      <c r="H641" s="1"/>
      <c r="I641" s="1"/>
      <c r="J641" s="219"/>
      <c r="K641" s="219"/>
      <c r="L641" s="219"/>
      <c r="M641" s="219"/>
      <c r="N641" s="1">
        <v>137.0</v>
      </c>
      <c r="O641" s="1">
        <v>149.0</v>
      </c>
      <c r="P641" s="1">
        <v>3.0</v>
      </c>
      <c r="Q641" s="1" t="b">
        <v>1</v>
      </c>
      <c r="R641" s="1">
        <v>100.0</v>
      </c>
      <c r="S641" s="1" t="s">
        <v>296</v>
      </c>
      <c r="T641" s="1" t="s">
        <v>422</v>
      </c>
      <c r="U641" s="1"/>
    </row>
    <row r="642">
      <c r="A642" s="218">
        <v>45201.927627384255</v>
      </c>
      <c r="B642" s="1"/>
      <c r="C642" s="1"/>
      <c r="D642" s="1"/>
      <c r="E642" s="1"/>
      <c r="F642" s="1"/>
      <c r="G642" s="218"/>
      <c r="H642" s="1"/>
      <c r="I642" s="1"/>
      <c r="J642" s="219"/>
      <c r="K642" s="219"/>
      <c r="L642" s="219"/>
      <c r="M642" s="219"/>
      <c r="N642" s="1"/>
      <c r="O642" s="1"/>
      <c r="P642" s="1"/>
      <c r="Q642" s="1"/>
      <c r="R642" s="1"/>
      <c r="S642" s="1" t="e">
        <v>#N/A</v>
      </c>
      <c r="T642" s="1" t="e">
        <v>#N/A</v>
      </c>
      <c r="U642" s="1"/>
    </row>
    <row r="643">
      <c r="A643" s="218">
        <v>45201.927627384255</v>
      </c>
      <c r="B643" s="1" t="s">
        <v>67</v>
      </c>
      <c r="C643" s="1" t="s">
        <v>220</v>
      </c>
      <c r="D643" s="1">
        <v>3.0</v>
      </c>
      <c r="E643" s="1">
        <v>2.0</v>
      </c>
      <c r="F643" s="1" t="s">
        <v>1207</v>
      </c>
      <c r="G643" s="218">
        <v>45203.875</v>
      </c>
      <c r="H643" s="1" t="s">
        <v>57</v>
      </c>
      <c r="I643" s="1"/>
      <c r="J643" s="219"/>
      <c r="K643" s="219"/>
      <c r="L643" s="219"/>
      <c r="M643" s="219"/>
      <c r="N643" s="1">
        <v>107.0</v>
      </c>
      <c r="O643" s="1">
        <v>128.0</v>
      </c>
      <c r="P643" s="1">
        <v>1.0</v>
      </c>
      <c r="Q643" s="1" t="b">
        <v>0</v>
      </c>
      <c r="R643" s="1">
        <v>100.0</v>
      </c>
      <c r="S643" s="1" t="s">
        <v>351</v>
      </c>
      <c r="T643" s="1" t="s">
        <v>423</v>
      </c>
      <c r="U643" s="1"/>
    </row>
    <row r="644">
      <c r="A644" s="218">
        <v>45201.927627384255</v>
      </c>
      <c r="B644" s="1" t="s">
        <v>67</v>
      </c>
      <c r="C644" s="1" t="s">
        <v>216</v>
      </c>
      <c r="D644" s="1">
        <v>4.0</v>
      </c>
      <c r="E644" s="1">
        <v>0.0</v>
      </c>
      <c r="F644" s="1" t="s">
        <v>1187</v>
      </c>
      <c r="G644" s="218">
        <v>45206.64583333333</v>
      </c>
      <c r="H644" s="1" t="s">
        <v>56</v>
      </c>
      <c r="I644" s="1" t="s">
        <v>76</v>
      </c>
      <c r="J644" s="219"/>
      <c r="K644" s="219"/>
      <c r="L644" s="219"/>
      <c r="M644" s="219"/>
      <c r="N644" s="1">
        <v>143.0</v>
      </c>
      <c r="O644" s="1">
        <v>88.0</v>
      </c>
      <c r="P644" s="1">
        <v>1.0</v>
      </c>
      <c r="Q644" s="1" t="b">
        <v>1</v>
      </c>
      <c r="R644" s="1">
        <v>100.0</v>
      </c>
      <c r="S644" s="1" t="s">
        <v>301</v>
      </c>
      <c r="T644" s="1" t="s">
        <v>422</v>
      </c>
      <c r="U644" s="1"/>
    </row>
    <row r="645">
      <c r="A645" s="218">
        <v>45201.927627384255</v>
      </c>
      <c r="B645" s="1" t="s">
        <v>67</v>
      </c>
      <c r="C645" s="1" t="s">
        <v>221</v>
      </c>
      <c r="D645" s="1">
        <v>2.0</v>
      </c>
      <c r="E645" s="1">
        <v>2.0</v>
      </c>
      <c r="F645" s="1" t="s">
        <v>1211</v>
      </c>
      <c r="G645" s="218">
        <v>45206.64583333333</v>
      </c>
      <c r="H645" s="1" t="s">
        <v>59</v>
      </c>
      <c r="I645" s="1" t="s">
        <v>99</v>
      </c>
      <c r="J645" s="219"/>
      <c r="K645" s="219"/>
      <c r="L645" s="219"/>
      <c r="M645" s="219"/>
      <c r="N645" s="1">
        <v>145.0</v>
      </c>
      <c r="O645" s="1">
        <v>172.0</v>
      </c>
      <c r="P645" s="1">
        <v>1.0</v>
      </c>
      <c r="Q645" s="1" t="b">
        <v>1</v>
      </c>
      <c r="R645" s="1">
        <v>100.0</v>
      </c>
      <c r="S645" s="1" t="s">
        <v>407</v>
      </c>
      <c r="T645" s="1" t="s">
        <v>423</v>
      </c>
      <c r="U645" s="1"/>
    </row>
    <row r="646">
      <c r="A646" s="218">
        <v>45201.927627384255</v>
      </c>
      <c r="B646" s="1" t="s">
        <v>67</v>
      </c>
      <c r="C646" s="1" t="s">
        <v>222</v>
      </c>
      <c r="D646" s="1">
        <v>2.0</v>
      </c>
      <c r="E646" s="1">
        <v>3.0</v>
      </c>
      <c r="F646" s="1" t="s">
        <v>1212</v>
      </c>
      <c r="G646" s="218">
        <v>45206.64583333333</v>
      </c>
      <c r="H646" s="1" t="s">
        <v>61</v>
      </c>
      <c r="I646" s="1" t="s">
        <v>958</v>
      </c>
      <c r="J646" s="219"/>
      <c r="K646" s="219"/>
      <c r="L646" s="219"/>
      <c r="M646" s="219"/>
      <c r="N646" s="1">
        <v>140.0</v>
      </c>
      <c r="O646" s="1">
        <v>148.0</v>
      </c>
      <c r="P646" s="1">
        <v>1.0</v>
      </c>
      <c r="Q646" s="1" t="b">
        <v>0</v>
      </c>
      <c r="R646" s="1">
        <v>100.0</v>
      </c>
      <c r="S646" s="1" t="s">
        <v>282</v>
      </c>
      <c r="T646" s="1" t="s">
        <v>422</v>
      </c>
      <c r="U646" s="1"/>
    </row>
    <row r="647">
      <c r="A647" s="218">
        <v>45201.927627384255</v>
      </c>
      <c r="B647" s="1" t="s">
        <v>67</v>
      </c>
      <c r="C647" s="1" t="s">
        <v>226</v>
      </c>
      <c r="D647" s="1">
        <v>2.0</v>
      </c>
      <c r="E647" s="1">
        <v>3.0</v>
      </c>
      <c r="F647" s="1" t="s">
        <v>1213</v>
      </c>
      <c r="G647" s="218">
        <v>45206.64583333333</v>
      </c>
      <c r="H647" s="1" t="s">
        <v>62</v>
      </c>
      <c r="I647" s="1" t="s">
        <v>935</v>
      </c>
      <c r="J647" s="219"/>
      <c r="K647" s="219"/>
      <c r="L647" s="219"/>
      <c r="M647" s="219"/>
      <c r="N647" s="1">
        <v>113.0</v>
      </c>
      <c r="O647" s="1">
        <v>145.0</v>
      </c>
      <c r="P647" s="1">
        <v>1.0</v>
      </c>
      <c r="Q647" s="1" t="b">
        <v>1</v>
      </c>
      <c r="R647" s="1">
        <v>100.0</v>
      </c>
      <c r="S647" s="1" t="s">
        <v>352</v>
      </c>
      <c r="T647" s="1" t="s">
        <v>423</v>
      </c>
      <c r="U647" s="1"/>
    </row>
    <row r="648">
      <c r="A648" s="218">
        <v>45201.927627384255</v>
      </c>
      <c r="B648" s="1" t="s">
        <v>67</v>
      </c>
      <c r="C648" s="1" t="s">
        <v>218</v>
      </c>
      <c r="D648" s="1">
        <v>2.0</v>
      </c>
      <c r="E648" s="1">
        <v>2.0</v>
      </c>
      <c r="F648" s="1" t="s">
        <v>1214</v>
      </c>
      <c r="G648" s="218">
        <v>45206.79166666667</v>
      </c>
      <c r="H648" s="1" t="s">
        <v>67</v>
      </c>
      <c r="I648" s="1" t="s">
        <v>935</v>
      </c>
      <c r="J648" s="219"/>
      <c r="K648" s="219"/>
      <c r="L648" s="219"/>
      <c r="M648" s="219"/>
      <c r="N648" s="1">
        <v>84.0</v>
      </c>
      <c r="O648" s="1">
        <v>115.0</v>
      </c>
      <c r="P648" s="1">
        <v>1.0</v>
      </c>
      <c r="Q648" s="1" t="b">
        <v>0</v>
      </c>
      <c r="R648" s="1">
        <v>100.0</v>
      </c>
      <c r="S648" s="1" t="s">
        <v>353</v>
      </c>
      <c r="T648" s="1" t="s">
        <v>423</v>
      </c>
      <c r="U648" s="1"/>
    </row>
    <row r="649">
      <c r="A649" s="218">
        <v>45201.927627384255</v>
      </c>
      <c r="B649" s="1" t="s">
        <v>67</v>
      </c>
      <c r="C649" s="1" t="s">
        <v>205</v>
      </c>
      <c r="D649" s="1">
        <v>2.0</v>
      </c>
      <c r="E649" s="1">
        <v>3.0</v>
      </c>
      <c r="F649" s="1" t="s">
        <v>1214</v>
      </c>
      <c r="G649" s="218">
        <v>45206.79166666667</v>
      </c>
      <c r="H649" s="1" t="s">
        <v>67</v>
      </c>
      <c r="I649" s="1" t="s">
        <v>935</v>
      </c>
      <c r="J649" s="219"/>
      <c r="K649" s="219"/>
      <c r="L649" s="219"/>
      <c r="M649" s="219"/>
      <c r="N649" s="1">
        <v>138.0</v>
      </c>
      <c r="O649" s="1">
        <v>126.0</v>
      </c>
      <c r="P649" s="1">
        <v>1.0</v>
      </c>
      <c r="Q649" s="1" t="b">
        <v>1</v>
      </c>
      <c r="R649" s="1">
        <v>100.0</v>
      </c>
      <c r="S649" s="1" t="s">
        <v>355</v>
      </c>
      <c r="T649" s="1" t="s">
        <v>423</v>
      </c>
      <c r="U649" s="1"/>
    </row>
    <row r="650">
      <c r="A650" s="218">
        <v>45201.927627384255</v>
      </c>
      <c r="B650" s="1" t="s">
        <v>67</v>
      </c>
      <c r="C650" s="1" t="s">
        <v>225</v>
      </c>
      <c r="D650" s="1">
        <v>4.0</v>
      </c>
      <c r="E650" s="1">
        <v>1.0</v>
      </c>
      <c r="F650" s="1" t="s">
        <v>1208</v>
      </c>
      <c r="G650" s="218">
        <v>45206.8125</v>
      </c>
      <c r="H650" s="1" t="s">
        <v>57</v>
      </c>
      <c r="I650" s="1" t="s">
        <v>945</v>
      </c>
      <c r="J650" s="219"/>
      <c r="K650" s="219"/>
      <c r="L650" s="219"/>
      <c r="M650" s="219"/>
      <c r="N650" s="1">
        <v>223.0</v>
      </c>
      <c r="O650" s="1">
        <v>123.0</v>
      </c>
      <c r="P650" s="1">
        <v>1.0</v>
      </c>
      <c r="Q650" s="1" t="b">
        <v>1</v>
      </c>
      <c r="R650" s="1">
        <v>100.0</v>
      </c>
      <c r="S650" s="1" t="s">
        <v>292</v>
      </c>
      <c r="T650" s="1" t="s">
        <v>422</v>
      </c>
      <c r="U650" s="1"/>
    </row>
    <row r="651">
      <c r="A651" s="218">
        <v>45201.927627384255</v>
      </c>
      <c r="B651" s="1" t="s">
        <v>67</v>
      </c>
      <c r="C651" s="1" t="s">
        <v>223</v>
      </c>
      <c r="D651" s="1">
        <v>3.0</v>
      </c>
      <c r="E651" s="1">
        <v>2.0</v>
      </c>
      <c r="F651" s="1" t="s">
        <v>1192</v>
      </c>
      <c r="G651" s="218">
        <v>45206.83333333333</v>
      </c>
      <c r="H651" s="1" t="s">
        <v>56</v>
      </c>
      <c r="I651" s="1" t="s">
        <v>1142</v>
      </c>
      <c r="J651" s="219"/>
      <c r="K651" s="219"/>
      <c r="L651" s="219"/>
      <c r="M651" s="219"/>
      <c r="N651" s="1">
        <v>174.0</v>
      </c>
      <c r="O651" s="1">
        <v>105.0</v>
      </c>
      <c r="P651" s="1">
        <v>1.0</v>
      </c>
      <c r="Q651" s="1" t="b">
        <v>0</v>
      </c>
      <c r="R651" s="1">
        <v>100.0</v>
      </c>
      <c r="S651" s="1" t="s">
        <v>296</v>
      </c>
      <c r="T651" s="1" t="s">
        <v>422</v>
      </c>
      <c r="U651" s="1"/>
    </row>
    <row r="652">
      <c r="A652" s="218">
        <v>45201.927627384255</v>
      </c>
      <c r="B652" s="1" t="s">
        <v>67</v>
      </c>
      <c r="C652" s="1" t="s">
        <v>217</v>
      </c>
      <c r="D652" s="1">
        <v>3.0</v>
      </c>
      <c r="E652" s="1">
        <v>2.0</v>
      </c>
      <c r="F652" s="1" t="s">
        <v>1209</v>
      </c>
      <c r="G652" s="218">
        <v>45206.9375</v>
      </c>
      <c r="H652" s="1" t="s">
        <v>57</v>
      </c>
      <c r="I652" s="1" t="s">
        <v>76</v>
      </c>
      <c r="J652" s="219"/>
      <c r="K652" s="219"/>
      <c r="L652" s="219"/>
      <c r="M652" s="219"/>
      <c r="N652" s="1">
        <v>138.0</v>
      </c>
      <c r="O652" s="1">
        <v>95.0</v>
      </c>
      <c r="P652" s="1">
        <v>1.0</v>
      </c>
      <c r="Q652" s="1" t="b">
        <v>1</v>
      </c>
      <c r="R652" s="1">
        <v>100.0</v>
      </c>
      <c r="S652" s="1" t="s">
        <v>354</v>
      </c>
      <c r="T652" s="1" t="s">
        <v>422</v>
      </c>
      <c r="U652" s="1"/>
    </row>
    <row r="653">
      <c r="A653" s="218">
        <v>45201.927627384255</v>
      </c>
      <c r="B653" s="1"/>
      <c r="C653" s="1"/>
      <c r="D653" s="1"/>
      <c r="E653" s="1"/>
      <c r="F653" s="1"/>
      <c r="G653" s="218"/>
      <c r="H653" s="1"/>
      <c r="I653" s="1"/>
      <c r="J653" s="219"/>
      <c r="K653" s="219"/>
      <c r="L653" s="219"/>
      <c r="M653" s="219"/>
      <c r="N653" s="1"/>
      <c r="O653" s="1"/>
      <c r="P653" s="1"/>
      <c r="Q653" s="1"/>
      <c r="R653" s="1"/>
      <c r="S653" s="1" t="e">
        <v>#N/A</v>
      </c>
      <c r="T653" s="1" t="e">
        <v>#N/A</v>
      </c>
      <c r="U653" s="1"/>
    </row>
    <row r="654">
      <c r="A654" s="218">
        <v>45201.927627384255</v>
      </c>
      <c r="B654" s="1" t="s">
        <v>59</v>
      </c>
      <c r="C654" s="1" t="s">
        <v>234</v>
      </c>
      <c r="D654" s="1">
        <v>1.0</v>
      </c>
      <c r="E654" s="1">
        <v>3.0</v>
      </c>
      <c r="F654" s="1" t="s">
        <v>1211</v>
      </c>
      <c r="G654" s="218">
        <v>45206.64583333333</v>
      </c>
      <c r="H654" s="1" t="s">
        <v>67</v>
      </c>
      <c r="I654" s="1" t="s">
        <v>99</v>
      </c>
      <c r="J654" s="219"/>
      <c r="K654" s="219"/>
      <c r="L654" s="219"/>
      <c r="M654" s="219"/>
      <c r="N654" s="1">
        <v>81.0</v>
      </c>
      <c r="O654" s="1">
        <v>114.0</v>
      </c>
      <c r="P654" s="1">
        <v>1.0</v>
      </c>
      <c r="Q654" s="1" t="b">
        <v>0</v>
      </c>
      <c r="R654" s="1">
        <v>100.0</v>
      </c>
      <c r="S654" s="1" t="s">
        <v>407</v>
      </c>
      <c r="T654" s="1" t="s">
        <v>423</v>
      </c>
      <c r="U654" s="1"/>
    </row>
    <row r="655">
      <c r="A655" s="218">
        <v>45201.927627384255</v>
      </c>
      <c r="B655" s="1" t="s">
        <v>59</v>
      </c>
      <c r="C655" s="1" t="s">
        <v>238</v>
      </c>
      <c r="D655" s="1">
        <v>2.0</v>
      </c>
      <c r="E655" s="1">
        <v>3.0</v>
      </c>
      <c r="F655" s="1" t="s">
        <v>1195</v>
      </c>
      <c r="G655" s="218">
        <v>45206.64583333333</v>
      </c>
      <c r="H655" s="1" t="s">
        <v>60</v>
      </c>
      <c r="I655" s="1" t="s">
        <v>935</v>
      </c>
      <c r="J655" s="219"/>
      <c r="K655" s="219"/>
      <c r="L655" s="219"/>
      <c r="M655" s="219"/>
      <c r="N655" s="1">
        <v>81.0</v>
      </c>
      <c r="O655" s="1">
        <v>112.0</v>
      </c>
      <c r="P655" s="1">
        <v>1.0</v>
      </c>
      <c r="Q655" s="1" t="b">
        <v>1</v>
      </c>
      <c r="R655" s="1">
        <v>100.0</v>
      </c>
      <c r="S655" s="1" t="s">
        <v>352</v>
      </c>
      <c r="T655" s="1" t="s">
        <v>423</v>
      </c>
      <c r="U655" s="1"/>
    </row>
    <row r="656">
      <c r="A656" s="218">
        <v>45201.927627384255</v>
      </c>
      <c r="B656" s="1" t="s">
        <v>59</v>
      </c>
      <c r="C656" s="1" t="s">
        <v>236</v>
      </c>
      <c r="D656" s="1">
        <v>0.0</v>
      </c>
      <c r="E656" s="1">
        <v>5.0</v>
      </c>
      <c r="F656" s="1" t="s">
        <v>1218</v>
      </c>
      <c r="G656" s="218">
        <v>45206.70833333333</v>
      </c>
      <c r="H656" s="1" t="s">
        <v>125</v>
      </c>
      <c r="I656" s="1" t="s">
        <v>935</v>
      </c>
      <c r="J656" s="219"/>
      <c r="K656" s="219"/>
      <c r="L656" s="219"/>
      <c r="M656" s="219"/>
      <c r="N656" s="1">
        <v>85.0</v>
      </c>
      <c r="O656" s="1">
        <v>158.0</v>
      </c>
      <c r="P656" s="1">
        <v>1.0</v>
      </c>
      <c r="Q656" s="1" t="b">
        <v>1</v>
      </c>
      <c r="R656" s="1">
        <v>100.0</v>
      </c>
      <c r="S656" s="1" t="s">
        <v>351</v>
      </c>
      <c r="T656" s="1" t="s">
        <v>423</v>
      </c>
      <c r="U656" s="1"/>
    </row>
    <row r="657">
      <c r="A657" s="218">
        <v>45201.927627384255</v>
      </c>
      <c r="B657" s="1" t="s">
        <v>59</v>
      </c>
      <c r="C657" s="1" t="s">
        <v>209</v>
      </c>
      <c r="D657" s="1">
        <v>5.0</v>
      </c>
      <c r="E657" s="1">
        <v>0.0</v>
      </c>
      <c r="F657" s="1" t="s">
        <v>1183</v>
      </c>
      <c r="G657" s="218">
        <v>45206.8125</v>
      </c>
      <c r="H657" s="1" t="s">
        <v>58</v>
      </c>
      <c r="I657" s="1" t="s">
        <v>90</v>
      </c>
      <c r="J657" s="219"/>
      <c r="K657" s="219"/>
      <c r="L657" s="219"/>
      <c r="M657" s="219"/>
      <c r="N657" s="1">
        <v>172.0</v>
      </c>
      <c r="O657" s="1">
        <v>30.0</v>
      </c>
      <c r="P657" s="1">
        <v>1.0</v>
      </c>
      <c r="Q657" s="1" t="b">
        <v>1</v>
      </c>
      <c r="R657" s="1">
        <v>100.0</v>
      </c>
      <c r="S657" s="1" t="s">
        <v>282</v>
      </c>
      <c r="T657" s="1" t="s">
        <v>422</v>
      </c>
      <c r="U657" s="1"/>
    </row>
    <row r="658">
      <c r="A658" s="218">
        <v>45201.927627384255</v>
      </c>
      <c r="B658" s="1" t="s">
        <v>59</v>
      </c>
      <c r="C658" s="1" t="s">
        <v>227</v>
      </c>
      <c r="D658" s="1">
        <v>2.0</v>
      </c>
      <c r="E658" s="1">
        <v>3.0</v>
      </c>
      <c r="F658" s="1" t="s">
        <v>1191</v>
      </c>
      <c r="G658" s="218">
        <v>45206.83333333333</v>
      </c>
      <c r="H658" s="1" t="s">
        <v>56</v>
      </c>
      <c r="I658" s="1" t="s">
        <v>99</v>
      </c>
      <c r="J658" s="219"/>
      <c r="K658" s="219"/>
      <c r="L658" s="219"/>
      <c r="M658" s="219"/>
      <c r="N658" s="1">
        <v>143.0</v>
      </c>
      <c r="O658" s="1">
        <v>158.0</v>
      </c>
      <c r="P658" s="1">
        <v>1.0</v>
      </c>
      <c r="Q658" s="1" t="b">
        <v>0</v>
      </c>
      <c r="R658" s="1">
        <v>100.0</v>
      </c>
      <c r="S658" s="1" t="s">
        <v>353</v>
      </c>
      <c r="T658" s="1" t="s">
        <v>423</v>
      </c>
      <c r="U658" s="1"/>
    </row>
    <row r="659">
      <c r="A659" s="218">
        <v>45201.927627384255</v>
      </c>
      <c r="B659" s="1" t="s">
        <v>59</v>
      </c>
      <c r="C659" s="1" t="s">
        <v>230</v>
      </c>
      <c r="D659" s="1">
        <v>2.0</v>
      </c>
      <c r="E659" s="1">
        <v>3.0</v>
      </c>
      <c r="F659" s="1" t="s">
        <v>1201</v>
      </c>
      <c r="G659" s="218">
        <v>45206.83333333333</v>
      </c>
      <c r="H659" s="1" t="s">
        <v>46</v>
      </c>
      <c r="I659" s="1" t="s">
        <v>36</v>
      </c>
      <c r="J659" s="219"/>
      <c r="K659" s="219"/>
      <c r="L659" s="219"/>
      <c r="M659" s="219"/>
      <c r="N659" s="1">
        <v>116.0</v>
      </c>
      <c r="O659" s="1">
        <v>142.0</v>
      </c>
      <c r="P659" s="1">
        <v>1.0</v>
      </c>
      <c r="Q659" s="1" t="b">
        <v>0</v>
      </c>
      <c r="R659" s="1">
        <v>100.0</v>
      </c>
      <c r="S659" s="1" t="s">
        <v>296</v>
      </c>
      <c r="T659" s="1" t="s">
        <v>422</v>
      </c>
      <c r="U659" s="1"/>
    </row>
    <row r="660">
      <c r="A660" s="218">
        <v>45201.927627384255</v>
      </c>
      <c r="B660" s="1" t="s">
        <v>59</v>
      </c>
      <c r="C660" s="1" t="s">
        <v>229</v>
      </c>
      <c r="D660" s="1">
        <v>2.0</v>
      </c>
      <c r="E660" s="1">
        <v>3.0</v>
      </c>
      <c r="F660" s="1" t="s">
        <v>1178</v>
      </c>
      <c r="G660" s="218">
        <v>45206.83333333333</v>
      </c>
      <c r="H660" s="1" t="s">
        <v>35</v>
      </c>
      <c r="I660" s="1" t="s">
        <v>900</v>
      </c>
      <c r="J660" s="219"/>
      <c r="K660" s="219"/>
      <c r="L660" s="219"/>
      <c r="M660" s="219"/>
      <c r="N660" s="1">
        <v>162.0</v>
      </c>
      <c r="O660" s="1">
        <v>154.0</v>
      </c>
      <c r="P660" s="1">
        <v>1.0</v>
      </c>
      <c r="Q660" s="1" t="b">
        <v>1</v>
      </c>
      <c r="R660" s="1">
        <v>100.0</v>
      </c>
      <c r="S660" s="1" t="s">
        <v>301</v>
      </c>
      <c r="T660" s="1" t="s">
        <v>422</v>
      </c>
      <c r="U660" s="1"/>
    </row>
    <row r="661">
      <c r="A661" s="218">
        <v>45201.927627384255</v>
      </c>
      <c r="B661" s="1" t="s">
        <v>59</v>
      </c>
      <c r="C661" s="1" t="s">
        <v>237</v>
      </c>
      <c r="D661" s="1">
        <v>5.0</v>
      </c>
      <c r="E661" s="1">
        <v>0.0</v>
      </c>
      <c r="F661" s="1" t="s">
        <v>1219</v>
      </c>
      <c r="G661" s="218">
        <v>45206.5</v>
      </c>
      <c r="H661" s="1" t="s">
        <v>69</v>
      </c>
      <c r="I661" s="1" t="s">
        <v>76</v>
      </c>
      <c r="J661" s="219"/>
      <c r="K661" s="219"/>
      <c r="L661" s="219"/>
      <c r="M661" s="219"/>
      <c r="N661" s="1">
        <v>160.0</v>
      </c>
      <c r="O661" s="1">
        <v>104.0</v>
      </c>
      <c r="P661" s="1">
        <v>1.0</v>
      </c>
      <c r="Q661" s="1" t="b">
        <v>1</v>
      </c>
      <c r="R661" s="1">
        <v>100.0</v>
      </c>
      <c r="S661" s="1" t="s">
        <v>292</v>
      </c>
      <c r="T661" s="1" t="s">
        <v>422</v>
      </c>
      <c r="U661" s="1"/>
    </row>
    <row r="662">
      <c r="A662" s="218">
        <v>45201.927627384255</v>
      </c>
      <c r="B662" s="1" t="s">
        <v>59</v>
      </c>
      <c r="C662" s="1" t="s">
        <v>232</v>
      </c>
      <c r="D662" s="1">
        <v>4.0</v>
      </c>
      <c r="E662" s="1">
        <v>1.0</v>
      </c>
      <c r="F662" s="1"/>
      <c r="G662" s="218"/>
      <c r="H662" s="1"/>
      <c r="I662" s="1"/>
      <c r="J662" s="219"/>
      <c r="K662" s="219"/>
      <c r="L662" s="219"/>
      <c r="M662" s="219"/>
      <c r="N662" s="1">
        <v>155.0</v>
      </c>
      <c r="O662" s="1">
        <v>119.0</v>
      </c>
      <c r="P662" s="1">
        <v>3.0</v>
      </c>
      <c r="Q662" s="1" t="b">
        <v>1</v>
      </c>
      <c r="R662" s="1">
        <v>100.0</v>
      </c>
      <c r="S662" s="1" t="s">
        <v>355</v>
      </c>
      <c r="T662" s="1" t="s">
        <v>423</v>
      </c>
      <c r="U662" s="1"/>
    </row>
    <row r="663">
      <c r="A663" s="218">
        <v>45201.927627384255</v>
      </c>
      <c r="B663" s="1" t="s">
        <v>59</v>
      </c>
      <c r="C663" s="1" t="s">
        <v>231</v>
      </c>
      <c r="D663" s="1">
        <v>4.0</v>
      </c>
      <c r="E663" s="1">
        <v>1.0</v>
      </c>
      <c r="F663" s="1"/>
      <c r="G663" s="218"/>
      <c r="H663" s="1"/>
      <c r="I663" s="1"/>
      <c r="J663" s="219"/>
      <c r="K663" s="219"/>
      <c r="L663" s="219"/>
      <c r="M663" s="219"/>
      <c r="N663" s="1">
        <v>96.0</v>
      </c>
      <c r="O663" s="1">
        <v>59.0</v>
      </c>
      <c r="P663" s="1">
        <v>3.0</v>
      </c>
      <c r="Q663" s="1" t="b">
        <v>1</v>
      </c>
      <c r="R663" s="1">
        <v>100.0</v>
      </c>
      <c r="S663" s="1" t="s">
        <v>354</v>
      </c>
      <c r="T663" s="1" t="s">
        <v>422</v>
      </c>
      <c r="U663" s="1"/>
    </row>
    <row r="664">
      <c r="A664" s="218">
        <v>45201.927627384255</v>
      </c>
      <c r="B664" s="1"/>
      <c r="C664" s="1"/>
      <c r="D664" s="1"/>
      <c r="E664" s="1"/>
      <c r="F664" s="1"/>
      <c r="G664" s="218"/>
      <c r="H664" s="1"/>
      <c r="I664" s="1"/>
      <c r="J664" s="219"/>
      <c r="K664" s="219"/>
      <c r="L664" s="219"/>
      <c r="M664" s="219"/>
      <c r="N664" s="1"/>
      <c r="O664" s="1"/>
      <c r="P664" s="1"/>
      <c r="Q664" s="1"/>
      <c r="R664" s="1"/>
      <c r="S664" s="1" t="e">
        <v>#N/A</v>
      </c>
      <c r="T664" s="1" t="e">
        <v>#N/A</v>
      </c>
      <c r="U664" s="1"/>
    </row>
    <row r="665">
      <c r="A665" s="218">
        <v>45201.927627384255</v>
      </c>
      <c r="B665" s="1" t="s">
        <v>62</v>
      </c>
      <c r="C665" s="1" t="s">
        <v>215</v>
      </c>
      <c r="D665" s="1">
        <v>3.0</v>
      </c>
      <c r="E665" s="1">
        <v>2.0</v>
      </c>
      <c r="F665" s="1" t="s">
        <v>1220</v>
      </c>
      <c r="G665" s="218">
        <v>45204.83333333333</v>
      </c>
      <c r="H665" s="1" t="s">
        <v>69</v>
      </c>
      <c r="I665" s="1" t="s">
        <v>40</v>
      </c>
      <c r="J665" s="219"/>
      <c r="K665" s="219"/>
      <c r="L665" s="219"/>
      <c r="M665" s="219"/>
      <c r="N665" s="1">
        <v>158.0</v>
      </c>
      <c r="O665" s="1">
        <v>146.0</v>
      </c>
      <c r="P665" s="1">
        <v>1.0</v>
      </c>
      <c r="Q665" s="1" t="b">
        <v>0</v>
      </c>
      <c r="R665" s="1">
        <v>100.0</v>
      </c>
      <c r="S665" s="1" t="s">
        <v>351</v>
      </c>
      <c r="T665" s="1" t="s">
        <v>423</v>
      </c>
      <c r="U665" s="1"/>
    </row>
    <row r="666">
      <c r="A666" s="218">
        <v>45201.927627384255</v>
      </c>
      <c r="B666" s="1" t="s">
        <v>62</v>
      </c>
      <c r="C666" s="1" t="s">
        <v>240</v>
      </c>
      <c r="D666" s="1">
        <v>4.0</v>
      </c>
      <c r="E666" s="1">
        <v>1.0</v>
      </c>
      <c r="F666" s="1" t="s">
        <v>1213</v>
      </c>
      <c r="G666" s="218">
        <v>45206.64583333333</v>
      </c>
      <c r="H666" s="1" t="s">
        <v>67</v>
      </c>
      <c r="I666" s="1"/>
      <c r="J666" s="219"/>
      <c r="K666" s="219"/>
      <c r="L666" s="219"/>
      <c r="M666" s="219"/>
      <c r="N666" s="1">
        <v>160.0</v>
      </c>
      <c r="O666" s="1">
        <v>113.0</v>
      </c>
      <c r="P666" s="1">
        <v>1.0</v>
      </c>
      <c r="Q666" s="1" t="b">
        <v>0</v>
      </c>
      <c r="R666" s="1">
        <v>100.0</v>
      </c>
      <c r="S666" s="1" t="s">
        <v>352</v>
      </c>
      <c r="T666" s="1" t="s">
        <v>423</v>
      </c>
      <c r="U666" s="1"/>
    </row>
    <row r="667">
      <c r="A667" s="218">
        <v>45201.927627384255</v>
      </c>
      <c r="B667" s="1" t="s">
        <v>62</v>
      </c>
      <c r="C667" s="1" t="s">
        <v>241</v>
      </c>
      <c r="D667" s="1">
        <v>5.0</v>
      </c>
      <c r="E667" s="1">
        <v>0.0</v>
      </c>
      <c r="F667" s="1" t="s">
        <v>1200</v>
      </c>
      <c r="G667" s="218">
        <v>45206.83333333333</v>
      </c>
      <c r="H667" s="1" t="s">
        <v>46</v>
      </c>
      <c r="I667" s="1" t="s">
        <v>92</v>
      </c>
      <c r="J667" s="219"/>
      <c r="K667" s="219"/>
      <c r="L667" s="219"/>
      <c r="M667" s="219"/>
      <c r="N667" s="1">
        <v>182.0</v>
      </c>
      <c r="O667" s="1">
        <v>85.0</v>
      </c>
      <c r="P667" s="1">
        <v>1.0</v>
      </c>
      <c r="Q667" s="1" t="b">
        <v>0</v>
      </c>
      <c r="R667" s="1">
        <v>100.0</v>
      </c>
      <c r="S667" s="1" t="s">
        <v>353</v>
      </c>
      <c r="T667" s="1" t="s">
        <v>423</v>
      </c>
      <c r="U667" s="1"/>
    </row>
    <row r="668">
      <c r="A668" s="218">
        <v>45201.927627384255</v>
      </c>
      <c r="B668" s="1" t="s">
        <v>62</v>
      </c>
      <c r="C668" s="1" t="s">
        <v>247</v>
      </c>
      <c r="D668" s="1">
        <v>4.0</v>
      </c>
      <c r="E668" s="1">
        <v>1.0</v>
      </c>
      <c r="F668" s="1" t="s">
        <v>1221</v>
      </c>
      <c r="G668" s="218">
        <v>45206.91666666667</v>
      </c>
      <c r="H668" s="1" t="s">
        <v>69</v>
      </c>
      <c r="I668" s="1" t="s">
        <v>287</v>
      </c>
      <c r="J668" s="219"/>
      <c r="K668" s="219"/>
      <c r="L668" s="219"/>
      <c r="M668" s="219"/>
      <c r="N668" s="1">
        <v>179.0</v>
      </c>
      <c r="O668" s="1">
        <v>78.0</v>
      </c>
      <c r="P668" s="1">
        <v>1.0</v>
      </c>
      <c r="Q668" s="1" t="b">
        <v>1</v>
      </c>
      <c r="R668" s="1">
        <v>100.0</v>
      </c>
      <c r="S668" s="1" t="s">
        <v>354</v>
      </c>
      <c r="T668" s="1" t="s">
        <v>422</v>
      </c>
      <c r="U668" s="1"/>
    </row>
    <row r="669">
      <c r="A669" s="218">
        <v>45201.927627384255</v>
      </c>
      <c r="B669" s="1" t="s">
        <v>62</v>
      </c>
      <c r="C669" s="1" t="s">
        <v>244</v>
      </c>
      <c r="D669" s="1">
        <v>5.0</v>
      </c>
      <c r="E669" s="1">
        <v>0.0</v>
      </c>
      <c r="F669" s="1" t="s">
        <v>1210</v>
      </c>
      <c r="G669" s="218">
        <v>45206.5</v>
      </c>
      <c r="H669" s="1" t="s">
        <v>57</v>
      </c>
      <c r="I669" s="1" t="s">
        <v>92</v>
      </c>
      <c r="J669" s="219"/>
      <c r="K669" s="219"/>
      <c r="L669" s="219"/>
      <c r="M669" s="219"/>
      <c r="N669" s="1">
        <v>193.0</v>
      </c>
      <c r="O669" s="1">
        <v>66.0</v>
      </c>
      <c r="P669" s="1">
        <v>1.0</v>
      </c>
      <c r="Q669" s="1" t="b">
        <v>1</v>
      </c>
      <c r="R669" s="1">
        <v>100.0</v>
      </c>
      <c r="S669" s="1" t="s">
        <v>282</v>
      </c>
      <c r="T669" s="1" t="s">
        <v>422</v>
      </c>
      <c r="U669" s="1"/>
    </row>
    <row r="670">
      <c r="A670" s="218">
        <v>45201.927627384255</v>
      </c>
      <c r="B670" s="1" t="s">
        <v>62</v>
      </c>
      <c r="C670" s="1" t="s">
        <v>248</v>
      </c>
      <c r="D670" s="1">
        <v>2.0</v>
      </c>
      <c r="E670" s="1">
        <v>3.0</v>
      </c>
      <c r="F670" s="1" t="s">
        <v>1193</v>
      </c>
      <c r="G670" s="218">
        <v>45206.5</v>
      </c>
      <c r="H670" s="1" t="s">
        <v>56</v>
      </c>
      <c r="I670" s="1" t="s">
        <v>99</v>
      </c>
      <c r="J670" s="219"/>
      <c r="K670" s="219"/>
      <c r="L670" s="219"/>
      <c r="M670" s="219"/>
      <c r="N670" s="1">
        <v>139.0</v>
      </c>
      <c r="O670" s="1">
        <v>166.0</v>
      </c>
      <c r="P670" s="1">
        <v>1.0</v>
      </c>
      <c r="Q670" s="1" t="b">
        <v>0</v>
      </c>
      <c r="R670" s="1">
        <v>100.0</v>
      </c>
      <c r="S670" s="1" t="s">
        <v>301</v>
      </c>
      <c r="T670" s="1" t="s">
        <v>422</v>
      </c>
      <c r="U670" s="1"/>
    </row>
    <row r="671">
      <c r="A671" s="218">
        <v>45201.927627384255</v>
      </c>
      <c r="B671" s="1" t="s">
        <v>62</v>
      </c>
      <c r="C671" s="1" t="s">
        <v>249</v>
      </c>
      <c r="D671" s="1">
        <v>2.0</v>
      </c>
      <c r="E671" s="1">
        <v>3.0</v>
      </c>
      <c r="F671" s="1" t="s">
        <v>1222</v>
      </c>
      <c r="G671" s="218">
        <v>45206.5</v>
      </c>
      <c r="H671" s="1" t="s">
        <v>61</v>
      </c>
      <c r="I671" s="1" t="s">
        <v>945</v>
      </c>
      <c r="J671" s="219"/>
      <c r="K671" s="219"/>
      <c r="L671" s="219"/>
      <c r="M671" s="219"/>
      <c r="N671" s="1">
        <v>140.0</v>
      </c>
      <c r="O671" s="1">
        <v>149.0</v>
      </c>
      <c r="P671" s="1">
        <v>1.0</v>
      </c>
      <c r="Q671" s="1" t="b">
        <v>0</v>
      </c>
      <c r="R671" s="1">
        <v>100.0</v>
      </c>
      <c r="S671" s="1" t="s">
        <v>292</v>
      </c>
      <c r="T671" s="1" t="s">
        <v>422</v>
      </c>
      <c r="U671" s="1"/>
    </row>
    <row r="672">
      <c r="A672" s="218">
        <v>45201.927627384255</v>
      </c>
      <c r="B672" s="1" t="s">
        <v>62</v>
      </c>
      <c r="C672" s="1" t="s">
        <v>245</v>
      </c>
      <c r="D672" s="1">
        <v>4.0</v>
      </c>
      <c r="E672" s="1">
        <v>1.0</v>
      </c>
      <c r="F672" s="1"/>
      <c r="G672" s="218"/>
      <c r="H672" s="1"/>
      <c r="I672" s="1"/>
      <c r="J672" s="219"/>
      <c r="K672" s="219"/>
      <c r="L672" s="219"/>
      <c r="M672" s="219"/>
      <c r="N672" s="1">
        <v>175.0</v>
      </c>
      <c r="O672" s="1">
        <v>101.0</v>
      </c>
      <c r="P672" s="1">
        <v>3.0</v>
      </c>
      <c r="Q672" s="1" t="b">
        <v>1</v>
      </c>
      <c r="R672" s="1">
        <v>100.0</v>
      </c>
      <c r="S672" s="1" t="s">
        <v>355</v>
      </c>
      <c r="T672" s="1" t="s">
        <v>423</v>
      </c>
      <c r="U672" s="1"/>
    </row>
    <row r="673">
      <c r="A673" s="218">
        <v>45201.927627384255</v>
      </c>
      <c r="B673" s="1" t="s">
        <v>62</v>
      </c>
      <c r="C673" s="1" t="s">
        <v>246</v>
      </c>
      <c r="D673" s="1">
        <v>1.0</v>
      </c>
      <c r="E673" s="1">
        <v>4.0</v>
      </c>
      <c r="F673" s="1"/>
      <c r="G673" s="218"/>
      <c r="H673" s="1"/>
      <c r="I673" s="1"/>
      <c r="J673" s="219"/>
      <c r="K673" s="219"/>
      <c r="L673" s="219"/>
      <c r="M673" s="219"/>
      <c r="N673" s="1">
        <v>105.0</v>
      </c>
      <c r="O673" s="1">
        <v>128.0</v>
      </c>
      <c r="P673" s="1">
        <v>3.0</v>
      </c>
      <c r="Q673" s="1" t="b">
        <v>1</v>
      </c>
      <c r="R673" s="1">
        <v>100.0</v>
      </c>
      <c r="S673" s="1" t="s">
        <v>407</v>
      </c>
      <c r="T673" s="1" t="s">
        <v>423</v>
      </c>
      <c r="U673" s="1"/>
    </row>
    <row r="674">
      <c r="A674" s="218">
        <v>45201.927627384255</v>
      </c>
      <c r="B674" s="1" t="s">
        <v>62</v>
      </c>
      <c r="C674" s="1" t="s">
        <v>242</v>
      </c>
      <c r="D674" s="1">
        <v>2.0</v>
      </c>
      <c r="E674" s="1">
        <v>3.0</v>
      </c>
      <c r="F674" s="1"/>
      <c r="G674" s="218"/>
      <c r="H674" s="1"/>
      <c r="I674" s="1"/>
      <c r="J674" s="219"/>
      <c r="K674" s="219"/>
      <c r="L674" s="219"/>
      <c r="M674" s="219"/>
      <c r="N674" s="1">
        <v>150.0</v>
      </c>
      <c r="O674" s="1">
        <v>120.0</v>
      </c>
      <c r="P674" s="1">
        <v>3.0</v>
      </c>
      <c r="Q674" s="1" t="b">
        <v>1</v>
      </c>
      <c r="R674" s="1">
        <v>100.0</v>
      </c>
      <c r="S674" s="1" t="s">
        <v>296</v>
      </c>
      <c r="T674" s="1" t="s">
        <v>422</v>
      </c>
      <c r="U674" s="1"/>
    </row>
    <row r="675">
      <c r="A675" s="218">
        <v>45201.927627384255</v>
      </c>
      <c r="B675" s="1"/>
      <c r="C675" s="1"/>
      <c r="D675" s="1"/>
      <c r="E675" s="1"/>
      <c r="F675" s="1"/>
      <c r="G675" s="218"/>
      <c r="H675" s="1"/>
      <c r="I675" s="1"/>
      <c r="J675" s="219"/>
      <c r="K675" s="219"/>
      <c r="L675" s="219"/>
      <c r="M675" s="219"/>
      <c r="N675" s="1"/>
      <c r="O675" s="1"/>
      <c r="P675" s="1"/>
      <c r="Q675" s="1"/>
      <c r="R675" s="1"/>
      <c r="S675" s="1" t="e">
        <v>#N/A</v>
      </c>
      <c r="T675" s="1" t="e">
        <v>#N/A</v>
      </c>
      <c r="U675" s="1"/>
    </row>
    <row r="676">
      <c r="A676" s="218">
        <v>45201.927627384255</v>
      </c>
      <c r="B676" s="1" t="s">
        <v>69</v>
      </c>
      <c r="C676" s="1" t="s">
        <v>250</v>
      </c>
      <c r="D676" s="1">
        <v>3.0</v>
      </c>
      <c r="E676" s="1">
        <v>3.0</v>
      </c>
      <c r="F676" s="1" t="s">
        <v>1220</v>
      </c>
      <c r="G676" s="218">
        <v>45204.83333333333</v>
      </c>
      <c r="H676" s="1" t="s">
        <v>62</v>
      </c>
      <c r="I676" s="1" t="s">
        <v>40</v>
      </c>
      <c r="J676" s="219"/>
      <c r="K676" s="219"/>
      <c r="L676" s="219"/>
      <c r="M676" s="219"/>
      <c r="N676" s="1">
        <v>162.0</v>
      </c>
      <c r="O676" s="1">
        <v>154.0</v>
      </c>
      <c r="P676" s="1">
        <v>1.0</v>
      </c>
      <c r="Q676" s="1" t="b">
        <v>1</v>
      </c>
      <c r="R676" s="1">
        <v>100.0</v>
      </c>
      <c r="S676" s="1" t="s">
        <v>351</v>
      </c>
      <c r="T676" s="1" t="s">
        <v>423</v>
      </c>
      <c r="U676" s="1"/>
    </row>
    <row r="677">
      <c r="A677" s="218">
        <v>45201.927627384255</v>
      </c>
      <c r="B677" s="1" t="s">
        <v>69</v>
      </c>
      <c r="C677" s="1" t="s">
        <v>257</v>
      </c>
      <c r="D677" s="1">
        <v>3.0</v>
      </c>
      <c r="E677" s="1">
        <v>2.0</v>
      </c>
      <c r="F677" s="1" t="s">
        <v>1205</v>
      </c>
      <c r="G677" s="218">
        <v>45206.66666666667</v>
      </c>
      <c r="H677" s="1" t="s">
        <v>70</v>
      </c>
      <c r="I677" s="1" t="s">
        <v>92</v>
      </c>
      <c r="J677" s="219"/>
      <c r="K677" s="219"/>
      <c r="L677" s="219"/>
      <c r="M677" s="219"/>
      <c r="N677" s="1">
        <v>188.0</v>
      </c>
      <c r="O677" s="1">
        <v>116.0</v>
      </c>
      <c r="P677" s="1">
        <v>1.0</v>
      </c>
      <c r="Q677" s="1" t="b">
        <v>1</v>
      </c>
      <c r="R677" s="1">
        <v>100.0</v>
      </c>
      <c r="S677" s="1" t="s">
        <v>296</v>
      </c>
      <c r="T677" s="1" t="s">
        <v>422</v>
      </c>
      <c r="U677" s="1"/>
    </row>
    <row r="678">
      <c r="A678" s="218">
        <v>45201.927627384255</v>
      </c>
      <c r="B678" s="1" t="s">
        <v>69</v>
      </c>
      <c r="C678" s="1" t="s">
        <v>253</v>
      </c>
      <c r="D678" s="1">
        <v>3.0</v>
      </c>
      <c r="E678" s="1">
        <v>2.0</v>
      </c>
      <c r="F678" s="1" t="s">
        <v>1223</v>
      </c>
      <c r="G678" s="218">
        <v>45206.66666666667</v>
      </c>
      <c r="H678" s="1" t="s">
        <v>61</v>
      </c>
      <c r="I678" s="1" t="s">
        <v>36</v>
      </c>
      <c r="J678" s="219"/>
      <c r="K678" s="219"/>
      <c r="L678" s="219"/>
      <c r="M678" s="219"/>
      <c r="N678" s="1">
        <v>151.0</v>
      </c>
      <c r="O678" s="1">
        <v>141.0</v>
      </c>
      <c r="P678" s="1">
        <v>1.0</v>
      </c>
      <c r="Q678" s="1" t="b">
        <v>0</v>
      </c>
      <c r="R678" s="1">
        <v>100.0</v>
      </c>
      <c r="S678" s="1" t="s">
        <v>407</v>
      </c>
      <c r="T678" s="1" t="s">
        <v>423</v>
      </c>
      <c r="U678" s="1"/>
    </row>
    <row r="679">
      <c r="A679" s="218">
        <v>45201.927627384255</v>
      </c>
      <c r="B679" s="1" t="s">
        <v>69</v>
      </c>
      <c r="C679" s="1" t="s">
        <v>254</v>
      </c>
      <c r="D679" s="1">
        <v>3.0</v>
      </c>
      <c r="E679" s="1">
        <v>2.0</v>
      </c>
      <c r="F679" s="1" t="s">
        <v>1199</v>
      </c>
      <c r="G679" s="218">
        <v>45206.66666666667</v>
      </c>
      <c r="H679" s="1" t="s">
        <v>46</v>
      </c>
      <c r="I679" s="1" t="s">
        <v>935</v>
      </c>
      <c r="J679" s="219"/>
      <c r="K679" s="219"/>
      <c r="L679" s="219"/>
      <c r="M679" s="219"/>
      <c r="N679" s="1">
        <v>130.0</v>
      </c>
      <c r="O679" s="1">
        <v>182.0</v>
      </c>
      <c r="P679" s="1">
        <v>1.0</v>
      </c>
      <c r="Q679" s="1" t="b">
        <v>1</v>
      </c>
      <c r="R679" s="1">
        <v>100.0</v>
      </c>
      <c r="S679" s="1" t="s">
        <v>355</v>
      </c>
      <c r="T679" s="1" t="s">
        <v>423</v>
      </c>
      <c r="U679" s="1"/>
    </row>
    <row r="680">
      <c r="A680" s="218">
        <v>45201.927627384255</v>
      </c>
      <c r="B680" s="1" t="s">
        <v>69</v>
      </c>
      <c r="C680" s="1" t="s">
        <v>251</v>
      </c>
      <c r="D680" s="1">
        <v>3.0</v>
      </c>
      <c r="E680" s="1">
        <v>2.0</v>
      </c>
      <c r="F680" s="1" t="s">
        <v>1221</v>
      </c>
      <c r="G680" s="218">
        <v>45206.91666666667</v>
      </c>
      <c r="H680" s="1" t="s">
        <v>62</v>
      </c>
      <c r="I680" s="1"/>
      <c r="J680" s="219"/>
      <c r="K680" s="219"/>
      <c r="L680" s="219"/>
      <c r="M680" s="219"/>
      <c r="N680" s="1">
        <v>155.0</v>
      </c>
      <c r="O680" s="1">
        <v>132.0</v>
      </c>
      <c r="P680" s="1">
        <v>1.0</v>
      </c>
      <c r="Q680" s="1" t="b">
        <v>0</v>
      </c>
      <c r="R680" s="1">
        <v>100.0</v>
      </c>
      <c r="S680" s="1" t="s">
        <v>354</v>
      </c>
      <c r="T680" s="1" t="s">
        <v>422</v>
      </c>
      <c r="U680" s="1"/>
    </row>
    <row r="681">
      <c r="A681" s="218">
        <v>45201.927627384255</v>
      </c>
      <c r="B681" s="1" t="s">
        <v>69</v>
      </c>
      <c r="C681" s="1" t="s">
        <v>255</v>
      </c>
      <c r="D681" s="1">
        <v>3.0</v>
      </c>
      <c r="E681" s="1">
        <v>1.0</v>
      </c>
      <c r="F681" s="1" t="s">
        <v>1202</v>
      </c>
      <c r="G681" s="218">
        <v>45206.5</v>
      </c>
      <c r="H681" s="1" t="s">
        <v>46</v>
      </c>
      <c r="I681" s="1" t="s">
        <v>958</v>
      </c>
      <c r="J681" s="219"/>
      <c r="K681" s="219"/>
      <c r="L681" s="219"/>
      <c r="M681" s="219"/>
      <c r="N681" s="1">
        <v>133.0</v>
      </c>
      <c r="O681" s="1">
        <v>79.0</v>
      </c>
      <c r="P681" s="1">
        <v>1.0</v>
      </c>
      <c r="Q681" s="1" t="b">
        <v>0</v>
      </c>
      <c r="R681" s="1">
        <v>100.0</v>
      </c>
      <c r="S681" s="1" t="s">
        <v>282</v>
      </c>
      <c r="T681" s="1" t="s">
        <v>422</v>
      </c>
      <c r="U681" s="1"/>
    </row>
    <row r="682">
      <c r="A682" s="218">
        <v>45201.927627384255</v>
      </c>
      <c r="B682" s="1" t="s">
        <v>69</v>
      </c>
      <c r="C682" s="1" t="s">
        <v>219</v>
      </c>
      <c r="D682" s="1">
        <v>3.0</v>
      </c>
      <c r="E682" s="1">
        <v>2.0</v>
      </c>
      <c r="F682" s="1" t="s">
        <v>1219</v>
      </c>
      <c r="G682" s="218">
        <v>45206.5</v>
      </c>
      <c r="H682" s="1" t="s">
        <v>59</v>
      </c>
      <c r="I682" s="1" t="s">
        <v>76</v>
      </c>
      <c r="J682" s="219"/>
      <c r="K682" s="219"/>
      <c r="L682" s="219"/>
      <c r="M682" s="219"/>
      <c r="N682" s="1">
        <v>220.0</v>
      </c>
      <c r="O682" s="1">
        <v>155.0</v>
      </c>
      <c r="P682" s="1">
        <v>1.0</v>
      </c>
      <c r="Q682" s="1" t="b">
        <v>0</v>
      </c>
      <c r="R682" s="1">
        <v>100.0</v>
      </c>
      <c r="S682" s="1" t="s">
        <v>292</v>
      </c>
      <c r="T682" s="1" t="s">
        <v>422</v>
      </c>
      <c r="U682" s="1"/>
    </row>
    <row r="683">
      <c r="A683" s="218">
        <v>45201.927627384255</v>
      </c>
      <c r="B683" s="1" t="s">
        <v>69</v>
      </c>
      <c r="C683" s="1" t="s">
        <v>252</v>
      </c>
      <c r="D683" s="1">
        <v>1.0</v>
      </c>
      <c r="E683" s="1">
        <v>4.0</v>
      </c>
      <c r="F683" s="1"/>
      <c r="G683" s="218"/>
      <c r="H683" s="1"/>
      <c r="I683" s="1"/>
      <c r="J683" s="219"/>
      <c r="K683" s="219"/>
      <c r="L683" s="219"/>
      <c r="M683" s="219"/>
      <c r="N683" s="1">
        <v>92.0</v>
      </c>
      <c r="O683" s="1">
        <v>138.0</v>
      </c>
      <c r="P683" s="1">
        <v>3.0</v>
      </c>
      <c r="Q683" s="1" t="b">
        <v>1</v>
      </c>
      <c r="R683" s="1">
        <v>100.0</v>
      </c>
      <c r="S683" s="1" t="s">
        <v>352</v>
      </c>
      <c r="T683" s="1" t="s">
        <v>423</v>
      </c>
      <c r="U683" s="1"/>
    </row>
    <row r="684">
      <c r="A684" s="218">
        <v>45201.927627384255</v>
      </c>
      <c r="B684" s="1" t="s">
        <v>69</v>
      </c>
      <c r="C684" s="1" t="s">
        <v>243</v>
      </c>
      <c r="D684" s="1">
        <v>5.0</v>
      </c>
      <c r="E684" s="1">
        <v>0.0</v>
      </c>
      <c r="F684" s="1"/>
      <c r="G684" s="218"/>
      <c r="H684" s="1"/>
      <c r="I684" s="1"/>
      <c r="J684" s="219"/>
      <c r="K684" s="219"/>
      <c r="L684" s="219"/>
      <c r="M684" s="219"/>
      <c r="N684" s="1">
        <v>188.0</v>
      </c>
      <c r="O684" s="1">
        <v>61.0</v>
      </c>
      <c r="P684" s="1">
        <v>3.0</v>
      </c>
      <c r="Q684" s="1" t="b">
        <v>1</v>
      </c>
      <c r="R684" s="1">
        <v>100.0</v>
      </c>
      <c r="S684" s="1" t="s">
        <v>353</v>
      </c>
      <c r="T684" s="1" t="s">
        <v>423</v>
      </c>
      <c r="U684" s="1"/>
    </row>
    <row r="685">
      <c r="A685" s="218">
        <v>45201.927627384255</v>
      </c>
      <c r="B685" s="1" t="s">
        <v>69</v>
      </c>
      <c r="C685" s="1" t="s">
        <v>256</v>
      </c>
      <c r="D685" s="1">
        <v>1.0</v>
      </c>
      <c r="E685" s="1">
        <v>4.0</v>
      </c>
      <c r="F685" s="1"/>
      <c r="G685" s="218"/>
      <c r="H685" s="1"/>
      <c r="I685" s="1"/>
      <c r="J685" s="219"/>
      <c r="K685" s="219"/>
      <c r="L685" s="219"/>
      <c r="M685" s="219"/>
      <c r="N685" s="1">
        <v>117.0</v>
      </c>
      <c r="O685" s="1">
        <v>130.0</v>
      </c>
      <c r="P685" s="1">
        <v>3.0</v>
      </c>
      <c r="Q685" s="1" t="b">
        <v>1</v>
      </c>
      <c r="R685" s="1">
        <v>100.0</v>
      </c>
      <c r="S685" s="1" t="s">
        <v>301</v>
      </c>
      <c r="T685" s="1" t="s">
        <v>422</v>
      </c>
      <c r="U685" s="1"/>
    </row>
    <row r="686">
      <c r="A686" s="218">
        <v>45201.927627384255</v>
      </c>
      <c r="B686" s="1"/>
      <c r="C686" s="1"/>
      <c r="D686" s="1"/>
      <c r="E686" s="1"/>
      <c r="F686" s="1"/>
      <c r="G686" s="218"/>
      <c r="H686" s="1"/>
      <c r="I686" s="1"/>
      <c r="J686" s="219"/>
      <c r="K686" s="219"/>
      <c r="L686" s="219"/>
      <c r="M686" s="219"/>
      <c r="N686" s="1"/>
      <c r="O686" s="1"/>
      <c r="P686" s="1"/>
      <c r="Q686" s="1"/>
      <c r="R686" s="1"/>
      <c r="S686" s="1" t="e">
        <v>#N/A</v>
      </c>
      <c r="T686" s="1" t="e">
        <v>#N/A</v>
      </c>
      <c r="U686" s="1"/>
    </row>
    <row r="687">
      <c r="A687" s="218">
        <v>45201.927627384255</v>
      </c>
      <c r="B687" s="1" t="s">
        <v>125</v>
      </c>
      <c r="C687" s="1" t="s">
        <v>260</v>
      </c>
      <c r="D687" s="1">
        <v>4.0</v>
      </c>
      <c r="E687" s="1">
        <v>1.0</v>
      </c>
      <c r="F687" s="1" t="s">
        <v>1232</v>
      </c>
      <c r="G687" s="218">
        <v>45203.83333333333</v>
      </c>
      <c r="H687" s="1" t="s">
        <v>61</v>
      </c>
      <c r="I687" s="1" t="s">
        <v>40</v>
      </c>
      <c r="J687" s="219"/>
      <c r="K687" s="219"/>
      <c r="L687" s="219"/>
      <c r="M687" s="219"/>
      <c r="N687" s="1">
        <v>138.0</v>
      </c>
      <c r="O687" s="1">
        <v>75.0</v>
      </c>
      <c r="P687" s="1">
        <v>1.0</v>
      </c>
      <c r="Q687" s="1" t="b">
        <v>1</v>
      </c>
      <c r="R687" s="1">
        <v>100.0</v>
      </c>
      <c r="S687" s="1" t="s">
        <v>351</v>
      </c>
      <c r="T687" s="1" t="s">
        <v>423</v>
      </c>
      <c r="U687" s="1"/>
    </row>
    <row r="688">
      <c r="A688" s="218">
        <v>45201.927627384255</v>
      </c>
      <c r="B688" s="1" t="s">
        <v>125</v>
      </c>
      <c r="C688" s="1" t="s">
        <v>265</v>
      </c>
      <c r="D688" s="1">
        <v>3.0</v>
      </c>
      <c r="E688" s="1">
        <v>2.0</v>
      </c>
      <c r="F688" s="1" t="s">
        <v>1203</v>
      </c>
      <c r="G688" s="218">
        <v>45206.58333333333</v>
      </c>
      <c r="H688" s="1" t="s">
        <v>70</v>
      </c>
      <c r="I688" s="1" t="s">
        <v>935</v>
      </c>
      <c r="J688" s="219"/>
      <c r="K688" s="219"/>
      <c r="L688" s="219"/>
      <c r="M688" s="219"/>
      <c r="N688" s="1">
        <v>129.0</v>
      </c>
      <c r="O688" s="1">
        <v>167.0</v>
      </c>
      <c r="P688" s="1">
        <v>1.0</v>
      </c>
      <c r="Q688" s="1" t="b">
        <v>0</v>
      </c>
      <c r="R688" s="1">
        <v>100.0</v>
      </c>
      <c r="S688" s="1" t="s">
        <v>352</v>
      </c>
      <c r="T688" s="1" t="s">
        <v>423</v>
      </c>
      <c r="U688" s="1"/>
    </row>
    <row r="689">
      <c r="A689" s="218">
        <v>45201.927627384255</v>
      </c>
      <c r="B689" s="1" t="s">
        <v>125</v>
      </c>
      <c r="C689" s="1" t="s">
        <v>259</v>
      </c>
      <c r="D689" s="1">
        <v>4.0</v>
      </c>
      <c r="E689" s="1">
        <v>0.0</v>
      </c>
      <c r="F689" s="1" t="s">
        <v>1180</v>
      </c>
      <c r="G689" s="218">
        <v>45206.625</v>
      </c>
      <c r="H689" s="1" t="s">
        <v>58</v>
      </c>
      <c r="I689" s="1" t="s">
        <v>287</v>
      </c>
      <c r="J689" s="219"/>
      <c r="K689" s="219"/>
      <c r="L689" s="219"/>
      <c r="M689" s="219"/>
      <c r="N689" s="1">
        <v>183.0</v>
      </c>
      <c r="O689" s="1">
        <v>102.0</v>
      </c>
      <c r="P689" s="1">
        <v>1.0</v>
      </c>
      <c r="Q689" s="1" t="b">
        <v>1</v>
      </c>
      <c r="R689" s="1">
        <v>100.0</v>
      </c>
      <c r="S689" s="1" t="s">
        <v>354</v>
      </c>
      <c r="T689" s="1" t="s">
        <v>422</v>
      </c>
      <c r="U689" s="1"/>
    </row>
    <row r="690">
      <c r="A690" s="218">
        <v>45201.927627384255</v>
      </c>
      <c r="B690" s="1" t="s">
        <v>125</v>
      </c>
      <c r="C690" s="1" t="s">
        <v>261</v>
      </c>
      <c r="D690" s="1">
        <v>2.0</v>
      </c>
      <c r="E690" s="1">
        <v>3.0</v>
      </c>
      <c r="F690" s="1" t="s">
        <v>1244</v>
      </c>
      <c r="G690" s="218">
        <v>45206.625</v>
      </c>
      <c r="H690" s="1"/>
      <c r="I690" s="1" t="s">
        <v>888</v>
      </c>
      <c r="J690" s="219"/>
      <c r="K690" s="219"/>
      <c r="L690" s="219"/>
      <c r="M690" s="219"/>
      <c r="N690" s="1">
        <v>109.0</v>
      </c>
      <c r="O690" s="1">
        <v>144.0</v>
      </c>
      <c r="P690" s="1">
        <v>1.0</v>
      </c>
      <c r="Q690" s="1" t="b">
        <v>0</v>
      </c>
      <c r="R690" s="1">
        <v>100.0</v>
      </c>
      <c r="S690" s="1" t="s">
        <v>282</v>
      </c>
      <c r="T690" s="1" t="s">
        <v>422</v>
      </c>
      <c r="U690" s="1"/>
    </row>
    <row r="691">
      <c r="A691" s="218">
        <v>45201.927627384255</v>
      </c>
      <c r="B691" s="1" t="s">
        <v>125</v>
      </c>
      <c r="C691" s="1" t="s">
        <v>224</v>
      </c>
      <c r="D691" s="1">
        <v>4.0</v>
      </c>
      <c r="E691" s="1">
        <v>0.0</v>
      </c>
      <c r="F691" s="1" t="s">
        <v>1181</v>
      </c>
      <c r="G691" s="218">
        <v>45206.64583333333</v>
      </c>
      <c r="H691" s="1" t="s">
        <v>58</v>
      </c>
      <c r="I691" s="1" t="s">
        <v>82</v>
      </c>
      <c r="J691" s="219"/>
      <c r="K691" s="219"/>
      <c r="L691" s="219"/>
      <c r="M691" s="219"/>
      <c r="N691" s="1">
        <v>173.0</v>
      </c>
      <c r="O691" s="1">
        <v>90.0</v>
      </c>
      <c r="P691" s="1">
        <v>1.0</v>
      </c>
      <c r="Q691" s="1" t="b">
        <v>1</v>
      </c>
      <c r="R691" s="1">
        <v>100.0</v>
      </c>
      <c r="S691" s="1" t="s">
        <v>301</v>
      </c>
      <c r="T691" s="1" t="s">
        <v>422</v>
      </c>
      <c r="U691" s="1"/>
    </row>
    <row r="692">
      <c r="A692" s="218">
        <v>45201.927627384255</v>
      </c>
      <c r="B692" s="1" t="s">
        <v>125</v>
      </c>
      <c r="C692" s="1" t="s">
        <v>264</v>
      </c>
      <c r="D692" s="1">
        <v>4.0</v>
      </c>
      <c r="E692" s="1">
        <v>1.0</v>
      </c>
      <c r="F692" s="1" t="s">
        <v>1196</v>
      </c>
      <c r="G692" s="218">
        <v>45206.64583333333</v>
      </c>
      <c r="H692" s="1" t="s">
        <v>60</v>
      </c>
      <c r="I692" s="1" t="s">
        <v>86</v>
      </c>
      <c r="J692" s="219"/>
      <c r="K692" s="219"/>
      <c r="L692" s="219"/>
      <c r="M692" s="219"/>
      <c r="N692" s="1">
        <v>193.0</v>
      </c>
      <c r="O692" s="1">
        <v>93.0</v>
      </c>
      <c r="P692" s="1">
        <v>1.0</v>
      </c>
      <c r="Q692" s="1" t="b">
        <v>0</v>
      </c>
      <c r="R692" s="1">
        <v>100.0</v>
      </c>
      <c r="S692" s="1" t="s">
        <v>292</v>
      </c>
      <c r="T692" s="1" t="s">
        <v>422</v>
      </c>
      <c r="U692" s="1"/>
    </row>
    <row r="693">
      <c r="A693" s="218">
        <v>45201.927627384255</v>
      </c>
      <c r="B693" s="1" t="s">
        <v>125</v>
      </c>
      <c r="C693" s="1" t="s">
        <v>263</v>
      </c>
      <c r="D693" s="1">
        <v>3.0</v>
      </c>
      <c r="E693" s="1">
        <v>2.0</v>
      </c>
      <c r="F693" s="1" t="s">
        <v>1218</v>
      </c>
      <c r="G693" s="218">
        <v>45206.70833333333</v>
      </c>
      <c r="H693" s="1" t="s">
        <v>59</v>
      </c>
      <c r="I693" s="1" t="s">
        <v>935</v>
      </c>
      <c r="J693" s="219"/>
      <c r="K693" s="219"/>
      <c r="L693" s="219"/>
      <c r="M693" s="219"/>
      <c r="N693" s="1">
        <v>165.0</v>
      </c>
      <c r="O693" s="1">
        <v>144.0</v>
      </c>
      <c r="P693" s="1">
        <v>1.0</v>
      </c>
      <c r="Q693" s="1" t="b">
        <v>0</v>
      </c>
      <c r="R693" s="1">
        <v>100.0</v>
      </c>
      <c r="S693" s="1" t="s">
        <v>407</v>
      </c>
      <c r="T693" s="1" t="s">
        <v>423</v>
      </c>
      <c r="U693" s="1"/>
    </row>
    <row r="694">
      <c r="A694" s="218">
        <v>45201.927627384255</v>
      </c>
      <c r="B694" s="1" t="s">
        <v>125</v>
      </c>
      <c r="C694" s="1" t="s">
        <v>239</v>
      </c>
      <c r="D694" s="1">
        <v>5.0</v>
      </c>
      <c r="E694" s="1">
        <v>0.0</v>
      </c>
      <c r="F694" s="1" t="s">
        <v>1198</v>
      </c>
      <c r="G694" s="218">
        <v>45206.5</v>
      </c>
      <c r="H694" s="1" t="s">
        <v>60</v>
      </c>
      <c r="I694" s="1" t="s">
        <v>82</v>
      </c>
      <c r="J694" s="219"/>
      <c r="K694" s="219"/>
      <c r="L694" s="219"/>
      <c r="M694" s="219"/>
      <c r="N694" s="1">
        <v>180.0</v>
      </c>
      <c r="O694" s="1">
        <v>64.0</v>
      </c>
      <c r="P694" s="1">
        <v>1.0</v>
      </c>
      <c r="Q694" s="1" t="b">
        <v>1</v>
      </c>
      <c r="R694" s="1">
        <v>100.0</v>
      </c>
      <c r="S694" s="1" t="s">
        <v>296</v>
      </c>
      <c r="T694" s="1" t="s">
        <v>422</v>
      </c>
      <c r="U694" s="1"/>
    </row>
    <row r="695">
      <c r="A695" s="218">
        <v>45201.927627384255</v>
      </c>
      <c r="B695" s="1" t="s">
        <v>125</v>
      </c>
      <c r="C695" s="1" t="s">
        <v>258</v>
      </c>
      <c r="D695" s="1">
        <v>0.0</v>
      </c>
      <c r="E695" s="1">
        <v>5.0</v>
      </c>
      <c r="F695" s="1"/>
      <c r="G695" s="218"/>
      <c r="H695" s="1"/>
      <c r="I695" s="1"/>
      <c r="J695" s="219"/>
      <c r="K695" s="219"/>
      <c r="L695" s="219"/>
      <c r="M695" s="219"/>
      <c r="N695" s="1">
        <v>77.0</v>
      </c>
      <c r="O695" s="1">
        <v>192.0</v>
      </c>
      <c r="P695" s="1">
        <v>3.0</v>
      </c>
      <c r="Q695" s="1" t="b">
        <v>0</v>
      </c>
      <c r="R695" s="1">
        <v>100.0</v>
      </c>
      <c r="S695" s="1" t="s">
        <v>353</v>
      </c>
      <c r="T695" s="1" t="s">
        <v>423</v>
      </c>
      <c r="U695" s="1"/>
    </row>
    <row r="696">
      <c r="A696" s="218">
        <v>45201.927627384255</v>
      </c>
      <c r="B696" s="1" t="s">
        <v>125</v>
      </c>
      <c r="C696" s="1" t="s">
        <v>262</v>
      </c>
      <c r="D696" s="1">
        <v>5.0</v>
      </c>
      <c r="E696" s="1">
        <v>0.0</v>
      </c>
      <c r="F696" s="1"/>
      <c r="G696" s="218"/>
      <c r="H696" s="1"/>
      <c r="I696" s="1"/>
      <c r="J696" s="219"/>
      <c r="K696" s="219"/>
      <c r="L696" s="219"/>
      <c r="M696" s="219"/>
      <c r="N696" s="1">
        <v>166.0</v>
      </c>
      <c r="O696" s="1">
        <v>113.0</v>
      </c>
      <c r="P696" s="1">
        <v>3.0</v>
      </c>
      <c r="Q696" s="1" t="b">
        <v>1</v>
      </c>
      <c r="R696" s="1">
        <v>100.0</v>
      </c>
      <c r="S696" s="1" t="s">
        <v>355</v>
      </c>
      <c r="T696" s="1" t="s">
        <v>423</v>
      </c>
      <c r="U696" s="1"/>
    </row>
    <row r="697">
      <c r="A697" s="218">
        <v>45201.927627384255</v>
      </c>
      <c r="B697" s="1"/>
      <c r="C697" s="1"/>
      <c r="D697" s="1"/>
      <c r="E697" s="1"/>
      <c r="F697" s="1"/>
      <c r="G697" s="218"/>
      <c r="H697" s="1"/>
      <c r="I697" s="1"/>
      <c r="J697" s="219"/>
      <c r="K697" s="219"/>
      <c r="L697" s="219"/>
      <c r="M697" s="219"/>
      <c r="N697" s="1"/>
      <c r="O697" s="1"/>
      <c r="P697" s="1"/>
      <c r="Q697" s="1"/>
      <c r="R697" s="1"/>
      <c r="S697" s="1" t="e">
        <v>#N/A</v>
      </c>
      <c r="T697" s="1" t="e">
        <v>#N/A</v>
      </c>
      <c r="U697" s="1"/>
    </row>
    <row r="698">
      <c r="A698" s="218">
        <v>45201.927627384255</v>
      </c>
      <c r="B698" s="1" t="s">
        <v>61</v>
      </c>
      <c r="C698" s="1" t="s">
        <v>228</v>
      </c>
      <c r="D698" s="1">
        <v>1.0</v>
      </c>
      <c r="E698" s="1">
        <v>4.0</v>
      </c>
      <c r="F698" s="1" t="s">
        <v>1232</v>
      </c>
      <c r="G698" s="218">
        <v>45203.83333333333</v>
      </c>
      <c r="H698" s="1" t="s">
        <v>125</v>
      </c>
      <c r="I698" s="1" t="s">
        <v>40</v>
      </c>
      <c r="J698" s="219"/>
      <c r="K698" s="219"/>
      <c r="L698" s="219"/>
      <c r="M698" s="219"/>
      <c r="N698" s="1">
        <v>94.0</v>
      </c>
      <c r="O698" s="1">
        <v>155.0</v>
      </c>
      <c r="P698" s="1">
        <v>1.0</v>
      </c>
      <c r="Q698" s="1" t="b">
        <v>0</v>
      </c>
      <c r="R698" s="1">
        <v>100.0</v>
      </c>
      <c r="S698" s="1" t="s">
        <v>351</v>
      </c>
      <c r="T698" s="1" t="s">
        <v>423</v>
      </c>
      <c r="U698" s="1"/>
    </row>
    <row r="699">
      <c r="A699" s="218">
        <v>45201.927627384255</v>
      </c>
      <c r="B699" s="1" t="s">
        <v>61</v>
      </c>
      <c r="C699" s="1" t="s">
        <v>267</v>
      </c>
      <c r="D699" s="1">
        <v>2.0</v>
      </c>
      <c r="E699" s="1">
        <v>2.0</v>
      </c>
      <c r="F699" s="1" t="s">
        <v>1173</v>
      </c>
      <c r="G699" s="218">
        <v>45205.8125</v>
      </c>
      <c r="H699" s="1" t="s">
        <v>35</v>
      </c>
      <c r="I699" s="1" t="s">
        <v>76</v>
      </c>
      <c r="J699" s="219"/>
      <c r="K699" s="219"/>
      <c r="L699" s="219"/>
      <c r="M699" s="219"/>
      <c r="N699" s="1">
        <v>88.0</v>
      </c>
      <c r="O699" s="1">
        <v>95.0</v>
      </c>
      <c r="P699" s="1">
        <v>1.0</v>
      </c>
      <c r="Q699" s="1" t="b">
        <v>1</v>
      </c>
      <c r="R699" s="1">
        <v>100.0</v>
      </c>
      <c r="S699" s="1" t="s">
        <v>296</v>
      </c>
      <c r="T699" s="1" t="s">
        <v>422</v>
      </c>
      <c r="U699" s="1"/>
    </row>
    <row r="700">
      <c r="A700" s="218">
        <v>45201.927627384255</v>
      </c>
      <c r="B700" s="1" t="s">
        <v>61</v>
      </c>
      <c r="C700" s="1" t="s">
        <v>268</v>
      </c>
      <c r="D700" s="1">
        <v>3.0</v>
      </c>
      <c r="E700" s="1">
        <v>2.0</v>
      </c>
      <c r="F700" s="1" t="s">
        <v>1179</v>
      </c>
      <c r="G700" s="218">
        <v>45206.58333333333</v>
      </c>
      <c r="H700" s="1" t="s">
        <v>58</v>
      </c>
      <c r="I700" s="1" t="s">
        <v>1019</v>
      </c>
      <c r="J700" s="219"/>
      <c r="K700" s="219"/>
      <c r="L700" s="219"/>
      <c r="M700" s="219"/>
      <c r="N700" s="1">
        <v>127.0</v>
      </c>
      <c r="O700" s="1">
        <v>100.0</v>
      </c>
      <c r="P700" s="1">
        <v>1.0</v>
      </c>
      <c r="Q700" s="1" t="b">
        <v>1</v>
      </c>
      <c r="R700" s="1">
        <v>100.0</v>
      </c>
      <c r="S700" s="1" t="s">
        <v>301</v>
      </c>
      <c r="T700" s="1" t="s">
        <v>422</v>
      </c>
      <c r="U700" s="1"/>
    </row>
    <row r="701">
      <c r="A701" s="218">
        <v>45201.927627384255</v>
      </c>
      <c r="B701" s="1" t="s">
        <v>61</v>
      </c>
      <c r="C701" s="1" t="s">
        <v>266</v>
      </c>
      <c r="D701" s="1">
        <v>4.0</v>
      </c>
      <c r="E701" s="1">
        <v>1.0</v>
      </c>
      <c r="F701" s="1" t="s">
        <v>1212</v>
      </c>
      <c r="G701" s="218">
        <v>45206.64583333333</v>
      </c>
      <c r="H701" s="1" t="s">
        <v>67</v>
      </c>
      <c r="I701" s="1" t="s">
        <v>958</v>
      </c>
      <c r="J701" s="219"/>
      <c r="K701" s="219"/>
      <c r="L701" s="219"/>
      <c r="M701" s="219"/>
      <c r="N701" s="1">
        <v>111.0</v>
      </c>
      <c r="O701" s="1">
        <v>84.0</v>
      </c>
      <c r="P701" s="1">
        <v>1.0</v>
      </c>
      <c r="Q701" s="1" t="b">
        <v>1</v>
      </c>
      <c r="R701" s="1">
        <v>100.0</v>
      </c>
      <c r="S701" s="1" t="s">
        <v>282</v>
      </c>
      <c r="T701" s="1" t="s">
        <v>422</v>
      </c>
      <c r="U701" s="1"/>
    </row>
    <row r="702">
      <c r="A702" s="218">
        <v>45201.927627384255</v>
      </c>
      <c r="B702" s="1" t="s">
        <v>61</v>
      </c>
      <c r="C702" s="1" t="s">
        <v>271</v>
      </c>
      <c r="D702" s="1">
        <v>1.0</v>
      </c>
      <c r="E702" s="1">
        <v>4.0</v>
      </c>
      <c r="F702" s="1" t="s">
        <v>1223</v>
      </c>
      <c r="G702" s="218">
        <v>45206.66666666667</v>
      </c>
      <c r="H702" s="1" t="s">
        <v>69</v>
      </c>
      <c r="I702" s="1" t="s">
        <v>36</v>
      </c>
      <c r="J702" s="219"/>
      <c r="K702" s="219"/>
      <c r="L702" s="219"/>
      <c r="M702" s="219"/>
      <c r="N702" s="1">
        <v>135.0</v>
      </c>
      <c r="O702" s="1">
        <v>180.0</v>
      </c>
      <c r="P702" s="1">
        <v>1.0</v>
      </c>
      <c r="Q702" s="1" t="b">
        <v>1</v>
      </c>
      <c r="R702" s="1">
        <v>100.0</v>
      </c>
      <c r="S702" s="1" t="s">
        <v>407</v>
      </c>
      <c r="T702" s="1" t="s">
        <v>423</v>
      </c>
      <c r="U702" s="1"/>
    </row>
    <row r="703">
      <c r="A703" s="218">
        <v>45201.927627384255</v>
      </c>
      <c r="B703" s="1" t="s">
        <v>61</v>
      </c>
      <c r="C703" s="1" t="s">
        <v>269</v>
      </c>
      <c r="D703" s="1">
        <v>3.0</v>
      </c>
      <c r="E703" s="1">
        <v>2.0</v>
      </c>
      <c r="F703" s="1" t="s">
        <v>1197</v>
      </c>
      <c r="G703" s="218">
        <v>45206.77083333333</v>
      </c>
      <c r="H703" s="1" t="s">
        <v>60</v>
      </c>
      <c r="I703" s="1" t="s">
        <v>287</v>
      </c>
      <c r="J703" s="219"/>
      <c r="K703" s="219"/>
      <c r="L703" s="219"/>
      <c r="M703" s="219"/>
      <c r="N703" s="1">
        <v>171.0</v>
      </c>
      <c r="O703" s="1">
        <v>181.0</v>
      </c>
      <c r="P703" s="1">
        <v>1.0</v>
      </c>
      <c r="Q703" s="1" t="b">
        <v>1</v>
      </c>
      <c r="R703" s="1">
        <v>100.0</v>
      </c>
      <c r="S703" s="1" t="s">
        <v>354</v>
      </c>
      <c r="T703" s="1" t="s">
        <v>422</v>
      </c>
      <c r="U703" s="1"/>
    </row>
    <row r="704">
      <c r="A704" s="218">
        <v>45201.927627384255</v>
      </c>
      <c r="B704" s="1" t="s">
        <v>61</v>
      </c>
      <c r="C704" s="1" t="s">
        <v>270</v>
      </c>
      <c r="D704" s="1">
        <v>2.0</v>
      </c>
      <c r="E704" s="1">
        <v>3.0</v>
      </c>
      <c r="F704" s="1" t="s">
        <v>1206</v>
      </c>
      <c r="G704" s="218">
        <v>45206.79166666667</v>
      </c>
      <c r="H704" s="1" t="s">
        <v>70</v>
      </c>
      <c r="I704" s="1" t="s">
        <v>935</v>
      </c>
      <c r="J704" s="219"/>
      <c r="K704" s="219"/>
      <c r="L704" s="219"/>
      <c r="M704" s="219"/>
      <c r="N704" s="1">
        <v>124.0</v>
      </c>
      <c r="O704" s="1">
        <v>144.0</v>
      </c>
      <c r="P704" s="1">
        <v>1.0</v>
      </c>
      <c r="Q704" s="1" t="b">
        <v>0</v>
      </c>
      <c r="R704" s="1">
        <v>100.0</v>
      </c>
      <c r="S704" s="1" t="s">
        <v>355</v>
      </c>
      <c r="T704" s="1" t="s">
        <v>423</v>
      </c>
      <c r="U704" s="1"/>
    </row>
    <row r="705">
      <c r="A705" s="218">
        <v>45201.927627384255</v>
      </c>
      <c r="B705" s="1" t="s">
        <v>61</v>
      </c>
      <c r="C705" s="1" t="s">
        <v>273</v>
      </c>
      <c r="D705" s="1">
        <v>2.0</v>
      </c>
      <c r="E705" s="1">
        <v>3.0</v>
      </c>
      <c r="F705" s="1" t="s">
        <v>1184</v>
      </c>
      <c r="G705" s="218">
        <v>45206.83333333333</v>
      </c>
      <c r="H705" s="1" t="s">
        <v>58</v>
      </c>
      <c r="I705" s="1" t="s">
        <v>1185</v>
      </c>
      <c r="J705" s="219"/>
      <c r="K705" s="219"/>
      <c r="L705" s="219"/>
      <c r="M705" s="219"/>
      <c r="N705" s="1">
        <v>185.0</v>
      </c>
      <c r="O705" s="1">
        <v>169.0</v>
      </c>
      <c r="P705" s="1">
        <v>1.0</v>
      </c>
      <c r="Q705" s="1" t="b">
        <v>1</v>
      </c>
      <c r="R705" s="1">
        <v>100.0</v>
      </c>
      <c r="S705" s="1" t="s">
        <v>353</v>
      </c>
      <c r="T705" s="1" t="s">
        <v>423</v>
      </c>
      <c r="U705" s="1"/>
    </row>
    <row r="706">
      <c r="A706" s="218">
        <v>45201.927627384255</v>
      </c>
      <c r="B706" s="1" t="s">
        <v>61</v>
      </c>
      <c r="C706" s="1" t="s">
        <v>272</v>
      </c>
      <c r="D706" s="1">
        <v>2.0</v>
      </c>
      <c r="E706" s="1">
        <v>3.0</v>
      </c>
      <c r="F706" s="1" t="s">
        <v>1222</v>
      </c>
      <c r="G706" s="218">
        <v>45206.5</v>
      </c>
      <c r="H706" s="1" t="s">
        <v>62</v>
      </c>
      <c r="I706" s="1" t="s">
        <v>945</v>
      </c>
      <c r="J706" s="219"/>
      <c r="K706" s="219"/>
      <c r="L706" s="219"/>
      <c r="M706" s="219"/>
      <c r="N706" s="1">
        <v>125.0</v>
      </c>
      <c r="O706" s="1">
        <v>179.0</v>
      </c>
      <c r="P706" s="1">
        <v>1.0</v>
      </c>
      <c r="Q706" s="1" t="b">
        <v>1</v>
      </c>
      <c r="R706" s="1">
        <v>100.0</v>
      </c>
      <c r="S706" s="1" t="s">
        <v>352</v>
      </c>
      <c r="T706" s="1" t="s">
        <v>423</v>
      </c>
      <c r="U706" s="1"/>
    </row>
    <row r="707">
      <c r="A707" s="218">
        <v>45208.92763155093</v>
      </c>
      <c r="B707" s="1" t="s">
        <v>35</v>
      </c>
      <c r="C707" s="1" t="s">
        <v>71</v>
      </c>
      <c r="D707" s="1">
        <v>3.0</v>
      </c>
      <c r="E707" s="1">
        <v>2.0</v>
      </c>
      <c r="F707" s="1" t="s">
        <v>1246</v>
      </c>
      <c r="G707" s="218">
        <v>45209.8125</v>
      </c>
      <c r="H707" s="1" t="s">
        <v>57</v>
      </c>
      <c r="I707" s="1" t="s">
        <v>36</v>
      </c>
      <c r="J707" s="219"/>
      <c r="K707" s="219"/>
      <c r="L707" s="219"/>
      <c r="M707" s="219"/>
      <c r="N707" s="1">
        <v>182.0</v>
      </c>
      <c r="O707" s="1">
        <v>154.0</v>
      </c>
      <c r="P707" s="1">
        <v>1.0</v>
      </c>
      <c r="Q707" s="1" t="b">
        <v>0</v>
      </c>
      <c r="R707" s="1">
        <v>100.0</v>
      </c>
      <c r="S707" s="1" t="s">
        <v>355</v>
      </c>
      <c r="T707" s="1" t="s">
        <v>423</v>
      </c>
      <c r="U707" s="1"/>
    </row>
    <row r="708">
      <c r="A708" s="218">
        <v>45208.92763155093</v>
      </c>
      <c r="B708" s="1" t="s">
        <v>35</v>
      </c>
      <c r="C708" s="1" t="s">
        <v>78</v>
      </c>
      <c r="D708" s="1">
        <v>0.0</v>
      </c>
      <c r="E708" s="1">
        <v>5.0</v>
      </c>
      <c r="F708" s="1" t="s">
        <v>1247</v>
      </c>
      <c r="G708" s="218">
        <v>45210.875</v>
      </c>
      <c r="H708" s="1" t="s">
        <v>57</v>
      </c>
      <c r="I708" s="1" t="s">
        <v>99</v>
      </c>
      <c r="J708" s="219">
        <v>2.5</v>
      </c>
      <c r="K708" s="219">
        <v>4.5</v>
      </c>
      <c r="L708" s="219">
        <v>168.0</v>
      </c>
      <c r="M708" s="219" t="s">
        <v>122</v>
      </c>
      <c r="N708" s="1">
        <v>54.0</v>
      </c>
      <c r="O708" s="1">
        <v>121.0</v>
      </c>
      <c r="P708" s="1">
        <v>1.0</v>
      </c>
      <c r="Q708" s="1" t="b">
        <v>0</v>
      </c>
      <c r="R708" s="1">
        <v>100.0</v>
      </c>
      <c r="S708" s="1" t="s">
        <v>351</v>
      </c>
      <c r="T708" s="1" t="s">
        <v>423</v>
      </c>
      <c r="U708" s="1"/>
    </row>
    <row r="709">
      <c r="A709" s="218">
        <v>45208.92763155093</v>
      </c>
      <c r="B709" s="1" t="s">
        <v>35</v>
      </c>
      <c r="C709" s="1" t="s">
        <v>38</v>
      </c>
      <c r="D709" s="1">
        <v>5.0</v>
      </c>
      <c r="E709" s="1">
        <v>0.0</v>
      </c>
      <c r="F709" s="1" t="s">
        <v>1248</v>
      </c>
      <c r="G709" s="218">
        <v>45213.64583333333</v>
      </c>
      <c r="H709" s="1" t="s">
        <v>46</v>
      </c>
      <c r="I709" s="1" t="s">
        <v>82</v>
      </c>
      <c r="J709" s="219">
        <v>3.0</v>
      </c>
      <c r="K709" s="219">
        <v>3.0</v>
      </c>
      <c r="L709" s="219">
        <v>126.0</v>
      </c>
      <c r="M709" s="219" t="s">
        <v>871</v>
      </c>
      <c r="N709" s="1">
        <v>258.0</v>
      </c>
      <c r="O709" s="1">
        <v>59.0</v>
      </c>
      <c r="P709" s="1">
        <v>1.0</v>
      </c>
      <c r="Q709" s="1" t="b">
        <v>1</v>
      </c>
      <c r="R709" s="1">
        <v>100.0</v>
      </c>
      <c r="S709" s="1" t="s">
        <v>354</v>
      </c>
      <c r="T709" s="1" t="s">
        <v>422</v>
      </c>
      <c r="U709" s="1"/>
    </row>
    <row r="710">
      <c r="A710" s="218">
        <v>45208.92763155093</v>
      </c>
      <c r="B710" s="1" t="s">
        <v>35</v>
      </c>
      <c r="C710" s="1" t="s">
        <v>88</v>
      </c>
      <c r="D710" s="1">
        <v>2.0</v>
      </c>
      <c r="E710" s="1">
        <v>3.0</v>
      </c>
      <c r="F710" s="1" t="s">
        <v>1249</v>
      </c>
      <c r="G710" s="218">
        <v>45213.75</v>
      </c>
      <c r="H710" s="1" t="s">
        <v>56</v>
      </c>
      <c r="I710" s="1" t="s">
        <v>1185</v>
      </c>
      <c r="J710" s="219">
        <v>8.5</v>
      </c>
      <c r="K710" s="219">
        <v>8.5</v>
      </c>
      <c r="L710" s="219">
        <v>-330.0</v>
      </c>
      <c r="M710" s="219" t="s">
        <v>235</v>
      </c>
      <c r="N710" s="1">
        <v>143.0</v>
      </c>
      <c r="O710" s="1">
        <v>155.0</v>
      </c>
      <c r="P710" s="1">
        <v>1.0</v>
      </c>
      <c r="Q710" s="1" t="b">
        <v>1</v>
      </c>
      <c r="R710" s="1">
        <v>100.0</v>
      </c>
      <c r="S710" s="1" t="s">
        <v>353</v>
      </c>
      <c r="T710" s="1" t="s">
        <v>423</v>
      </c>
      <c r="U710" s="1"/>
    </row>
    <row r="711">
      <c r="A711" s="218">
        <v>45208.92763155093</v>
      </c>
      <c r="B711" s="1" t="s">
        <v>35</v>
      </c>
      <c r="C711" s="1" t="s">
        <v>74</v>
      </c>
      <c r="D711" s="1">
        <v>3.0</v>
      </c>
      <c r="E711" s="1">
        <v>2.0</v>
      </c>
      <c r="F711" s="1" t="s">
        <v>1250</v>
      </c>
      <c r="G711" s="218">
        <v>45213.79166666667</v>
      </c>
      <c r="H711" s="1" t="s">
        <v>46</v>
      </c>
      <c r="I711" s="1" t="s">
        <v>96</v>
      </c>
      <c r="J711" s="219">
        <v>0.5</v>
      </c>
      <c r="K711" s="219">
        <v>1.5</v>
      </c>
      <c r="L711" s="219">
        <v>-102.0</v>
      </c>
      <c r="M711" s="219" t="s">
        <v>104</v>
      </c>
      <c r="N711" s="1">
        <v>179.0</v>
      </c>
      <c r="O711" s="1">
        <v>103.0</v>
      </c>
      <c r="P711" s="1">
        <v>1.0</v>
      </c>
      <c r="Q711" s="1" t="b">
        <v>1</v>
      </c>
      <c r="R711" s="1">
        <v>100.0</v>
      </c>
      <c r="S711" s="1" t="s">
        <v>296</v>
      </c>
      <c r="T711" s="1" t="s">
        <v>422</v>
      </c>
      <c r="U711" s="1"/>
    </row>
    <row r="712">
      <c r="A712" s="218">
        <v>45208.92763155093</v>
      </c>
      <c r="B712" s="1" t="s">
        <v>35</v>
      </c>
      <c r="C712" s="1" t="s">
        <v>79</v>
      </c>
      <c r="D712" s="1">
        <v>4.0</v>
      </c>
      <c r="E712" s="1">
        <v>1.0</v>
      </c>
      <c r="F712" s="1" t="s">
        <v>1251</v>
      </c>
      <c r="G712" s="218">
        <v>45213.8125</v>
      </c>
      <c r="H712" s="1" t="s">
        <v>67</v>
      </c>
      <c r="I712" s="1" t="s">
        <v>82</v>
      </c>
      <c r="J712" s="219">
        <v>3.5</v>
      </c>
      <c r="K712" s="219">
        <v>3.5</v>
      </c>
      <c r="L712" s="219">
        <v>150.0</v>
      </c>
      <c r="M712" s="219" t="s">
        <v>104</v>
      </c>
      <c r="N712" s="1">
        <v>195.0</v>
      </c>
      <c r="O712" s="1">
        <v>73.0</v>
      </c>
      <c r="P712" s="1">
        <v>1.0</v>
      </c>
      <c r="Q712" s="1" t="b">
        <v>1</v>
      </c>
      <c r="R712" s="1">
        <v>100.0</v>
      </c>
      <c r="S712" s="1" t="s">
        <v>301</v>
      </c>
      <c r="T712" s="1" t="s">
        <v>422</v>
      </c>
      <c r="U712" s="1"/>
    </row>
    <row r="713">
      <c r="A713" s="218">
        <v>45208.92763155093</v>
      </c>
      <c r="B713" s="1" t="s">
        <v>35</v>
      </c>
      <c r="C713" s="1" t="s">
        <v>63</v>
      </c>
      <c r="D713" s="1">
        <v>6.0</v>
      </c>
      <c r="E713" s="1">
        <v>0.0</v>
      </c>
      <c r="F713" s="1" t="s">
        <v>1252</v>
      </c>
      <c r="G713" s="218">
        <v>45213.5</v>
      </c>
      <c r="H713" s="1"/>
      <c r="I713" s="1" t="s">
        <v>86</v>
      </c>
      <c r="J713" s="219">
        <v>-31.5</v>
      </c>
      <c r="K713" s="219">
        <v>-31.5</v>
      </c>
      <c r="L713" s="219">
        <v>-30000.0</v>
      </c>
      <c r="M713" s="219" t="s">
        <v>104</v>
      </c>
      <c r="N713" s="1">
        <v>244.0</v>
      </c>
      <c r="O713" s="1">
        <v>78.0</v>
      </c>
      <c r="P713" s="1">
        <v>1.0</v>
      </c>
      <c r="Q713" s="1" t="b">
        <v>0</v>
      </c>
      <c r="R713" s="1">
        <v>100.0</v>
      </c>
      <c r="S713" s="1" t="s">
        <v>292</v>
      </c>
      <c r="T713" s="1" t="s">
        <v>422</v>
      </c>
      <c r="U713" s="1"/>
    </row>
    <row r="714">
      <c r="A714" s="218">
        <v>45208.92763155093</v>
      </c>
      <c r="B714" s="1" t="s">
        <v>35</v>
      </c>
      <c r="C714" s="1" t="s">
        <v>75</v>
      </c>
      <c r="D714" s="1">
        <v>1.0</v>
      </c>
      <c r="E714" s="1">
        <v>5.0</v>
      </c>
      <c r="F714" s="1" t="s">
        <v>1254</v>
      </c>
      <c r="G714" s="218">
        <v>45213.5</v>
      </c>
      <c r="H714" s="1" t="s">
        <v>59</v>
      </c>
      <c r="I714" s="1" t="s">
        <v>99</v>
      </c>
      <c r="J714" s="219">
        <v>10.5</v>
      </c>
      <c r="K714" s="219">
        <v>10.5</v>
      </c>
      <c r="L714" s="219">
        <v>315.0</v>
      </c>
      <c r="M714" s="219" t="s">
        <v>867</v>
      </c>
      <c r="N714" s="1">
        <v>80.0</v>
      </c>
      <c r="O714" s="1">
        <v>212.0</v>
      </c>
      <c r="P714" s="1">
        <v>1.0</v>
      </c>
      <c r="Q714" s="1" t="b">
        <v>1</v>
      </c>
      <c r="R714" s="1">
        <v>100.0</v>
      </c>
      <c r="S714" s="1" t="s">
        <v>352</v>
      </c>
      <c r="T714" s="1" t="s">
        <v>423</v>
      </c>
      <c r="U714" s="1"/>
    </row>
    <row r="715">
      <c r="A715" s="218">
        <v>45208.92763155093</v>
      </c>
      <c r="B715" s="1" t="s">
        <v>35</v>
      </c>
      <c r="C715" s="1" t="s">
        <v>81</v>
      </c>
      <c r="D715" s="1">
        <v>2.0</v>
      </c>
      <c r="E715" s="1">
        <v>4.0</v>
      </c>
      <c r="F715" s="1" t="s">
        <v>1255</v>
      </c>
      <c r="G715" s="218">
        <v>45213.5</v>
      </c>
      <c r="H715" s="1" t="s">
        <v>67</v>
      </c>
      <c r="I715" s="1" t="s">
        <v>40</v>
      </c>
      <c r="J715" s="219">
        <v>8.5</v>
      </c>
      <c r="K715" s="219">
        <v>7.0</v>
      </c>
      <c r="L715" s="219">
        <v>240.0</v>
      </c>
      <c r="M715" s="219" t="s">
        <v>917</v>
      </c>
      <c r="N715" s="1">
        <v>139.0</v>
      </c>
      <c r="O715" s="1">
        <v>204.0</v>
      </c>
      <c r="P715" s="1">
        <v>1.0</v>
      </c>
      <c r="Q715" s="1" t="b">
        <v>0</v>
      </c>
      <c r="R715" s="1">
        <v>100.0</v>
      </c>
      <c r="S715" s="1" t="s">
        <v>407</v>
      </c>
      <c r="T715" s="1" t="s">
        <v>423</v>
      </c>
      <c r="U715" s="1"/>
    </row>
    <row r="716">
      <c r="A716" s="218">
        <v>45208.92763155093</v>
      </c>
      <c r="B716" s="1" t="s">
        <v>35</v>
      </c>
      <c r="C716" s="1" t="s">
        <v>80</v>
      </c>
      <c r="D716" s="1">
        <v>3.0</v>
      </c>
      <c r="E716" s="1">
        <v>3.0</v>
      </c>
      <c r="F716" s="1"/>
      <c r="G716" s="218"/>
      <c r="H716" s="1"/>
      <c r="I716" s="1"/>
      <c r="J716" s="219"/>
      <c r="K716" s="219"/>
      <c r="L716" s="219"/>
      <c r="M716" s="219"/>
      <c r="N716" s="1">
        <v>114.0</v>
      </c>
      <c r="O716" s="1">
        <v>126.0</v>
      </c>
      <c r="P716" s="1">
        <v>3.0</v>
      </c>
      <c r="Q716" s="1" t="b">
        <v>1</v>
      </c>
      <c r="R716" s="1">
        <v>100.0</v>
      </c>
      <c r="S716" s="1" t="s">
        <v>282</v>
      </c>
      <c r="T716" s="1" t="s">
        <v>422</v>
      </c>
      <c r="U716" s="1"/>
    </row>
    <row r="717">
      <c r="A717" s="218">
        <v>45208.92763155093</v>
      </c>
      <c r="B717" s="1"/>
      <c r="C717" s="1"/>
      <c r="D717" s="1"/>
      <c r="E717" s="1"/>
      <c r="F717" s="1"/>
      <c r="G717" s="218"/>
      <c r="H717" s="1"/>
      <c r="I717" s="1"/>
      <c r="J717" s="219"/>
      <c r="K717" s="219"/>
      <c r="L717" s="219"/>
      <c r="M717" s="219"/>
      <c r="N717" s="1"/>
      <c r="O717" s="1"/>
      <c r="P717" s="1"/>
      <c r="Q717" s="1"/>
      <c r="R717" s="1"/>
      <c r="S717" s="1" t="e">
        <v>#N/A</v>
      </c>
      <c r="T717" s="1" t="e">
        <v>#N/A</v>
      </c>
      <c r="U717" s="1"/>
    </row>
    <row r="718">
      <c r="A718" s="218">
        <v>45208.92763155093</v>
      </c>
      <c r="B718" s="1" t="s">
        <v>58</v>
      </c>
      <c r="C718" s="1" t="s">
        <v>102</v>
      </c>
      <c r="D718" s="1">
        <v>5.0</v>
      </c>
      <c r="E718" s="1">
        <v>0.0</v>
      </c>
      <c r="F718" s="1" t="s">
        <v>1256</v>
      </c>
      <c r="G718" s="218">
        <v>45209.8125</v>
      </c>
      <c r="H718" s="1" t="s">
        <v>125</v>
      </c>
      <c r="I718" s="1" t="s">
        <v>40</v>
      </c>
      <c r="J718" s="219"/>
      <c r="K718" s="219"/>
      <c r="L718" s="219"/>
      <c r="M718" s="219"/>
      <c r="N718" s="1">
        <v>181.0</v>
      </c>
      <c r="O718" s="1">
        <v>90.0</v>
      </c>
      <c r="P718" s="1">
        <v>1.0</v>
      </c>
      <c r="Q718" s="1" t="b">
        <v>1</v>
      </c>
      <c r="R718" s="1">
        <v>100.0</v>
      </c>
      <c r="S718" s="1" t="s">
        <v>351</v>
      </c>
      <c r="T718" s="1" t="s">
        <v>423</v>
      </c>
      <c r="U718" s="1"/>
    </row>
    <row r="719">
      <c r="A719" s="218">
        <v>45208.92763155093</v>
      </c>
      <c r="B719" s="1" t="s">
        <v>58</v>
      </c>
      <c r="C719" s="1" t="s">
        <v>118</v>
      </c>
      <c r="D719" s="1">
        <v>4.0</v>
      </c>
      <c r="E719" s="1">
        <v>1.0</v>
      </c>
      <c r="F719" s="1" t="s">
        <v>1257</v>
      </c>
      <c r="G719" s="218">
        <v>45212.79166666667</v>
      </c>
      <c r="H719" s="1" t="s">
        <v>46</v>
      </c>
      <c r="I719" s="1" t="s">
        <v>76</v>
      </c>
      <c r="J719" s="219">
        <v>3.5</v>
      </c>
      <c r="K719" s="219">
        <v>3.5</v>
      </c>
      <c r="L719" s="219">
        <v>-160.0</v>
      </c>
      <c r="M719" s="219" t="s">
        <v>104</v>
      </c>
      <c r="N719" s="1">
        <v>183.0</v>
      </c>
      <c r="O719" s="1">
        <v>107.0</v>
      </c>
      <c r="P719" s="1">
        <v>1.0</v>
      </c>
      <c r="Q719" s="1" t="b">
        <v>0</v>
      </c>
      <c r="R719" s="1">
        <v>100.0</v>
      </c>
      <c r="S719" s="1" t="s">
        <v>407</v>
      </c>
      <c r="T719" s="1" t="s">
        <v>423</v>
      </c>
      <c r="U719" s="1"/>
    </row>
    <row r="720">
      <c r="A720" s="218">
        <v>45208.92763155093</v>
      </c>
      <c r="B720" s="1" t="s">
        <v>58</v>
      </c>
      <c r="C720" s="1" t="s">
        <v>119</v>
      </c>
      <c r="D720" s="1">
        <v>4.0</v>
      </c>
      <c r="E720" s="1">
        <v>1.0</v>
      </c>
      <c r="F720" s="1" t="s">
        <v>1258</v>
      </c>
      <c r="G720" s="218">
        <v>45213.64583333333</v>
      </c>
      <c r="H720" s="1" t="s">
        <v>67</v>
      </c>
      <c r="I720" s="1" t="s">
        <v>76</v>
      </c>
      <c r="J720" s="219">
        <v>5.5</v>
      </c>
      <c r="K720" s="219">
        <v>4.5</v>
      </c>
      <c r="L720" s="219">
        <v>150.0</v>
      </c>
      <c r="M720" s="219" t="s">
        <v>73</v>
      </c>
      <c r="N720" s="1">
        <v>155.0</v>
      </c>
      <c r="O720" s="1">
        <v>112.0</v>
      </c>
      <c r="P720" s="1">
        <v>1.0</v>
      </c>
      <c r="Q720" s="1" t="b">
        <v>0</v>
      </c>
      <c r="R720" s="1">
        <v>100.0</v>
      </c>
      <c r="S720" s="1" t="s">
        <v>296</v>
      </c>
      <c r="T720" s="1" t="s">
        <v>422</v>
      </c>
      <c r="U720" s="1"/>
    </row>
    <row r="721">
      <c r="A721" s="218">
        <v>45208.92763155093</v>
      </c>
      <c r="B721" s="1" t="s">
        <v>58</v>
      </c>
      <c r="C721" s="1" t="s">
        <v>113</v>
      </c>
      <c r="D721" s="1">
        <v>2.0</v>
      </c>
      <c r="E721" s="1">
        <v>4.0</v>
      </c>
      <c r="F721" s="1" t="s">
        <v>1259</v>
      </c>
      <c r="G721" s="218">
        <v>45213.64583333333</v>
      </c>
      <c r="H721" s="1" t="s">
        <v>57</v>
      </c>
      <c r="I721" s="1" t="s">
        <v>900</v>
      </c>
      <c r="J721" s="219">
        <v>-0.5</v>
      </c>
      <c r="K721" s="219">
        <v>1.5</v>
      </c>
      <c r="L721" s="219">
        <v>-113.0</v>
      </c>
      <c r="M721" s="219" t="s">
        <v>854</v>
      </c>
      <c r="N721" s="1">
        <v>141.0</v>
      </c>
      <c r="O721" s="1">
        <v>160.0</v>
      </c>
      <c r="P721" s="1">
        <v>1.0</v>
      </c>
      <c r="Q721" s="1" t="b">
        <v>1</v>
      </c>
      <c r="R721" s="1">
        <v>100.0</v>
      </c>
      <c r="S721" s="1" t="s">
        <v>301</v>
      </c>
      <c r="T721" s="1" t="s">
        <v>422</v>
      </c>
      <c r="U721" s="1"/>
    </row>
    <row r="722">
      <c r="A722" s="218">
        <v>45208.92763155093</v>
      </c>
      <c r="B722" s="1" t="s">
        <v>58</v>
      </c>
      <c r="C722" s="1" t="s">
        <v>117</v>
      </c>
      <c r="D722" s="1">
        <v>2.0</v>
      </c>
      <c r="E722" s="1">
        <v>4.0</v>
      </c>
      <c r="F722" s="1" t="s">
        <v>1260</v>
      </c>
      <c r="G722" s="218">
        <v>45213.66666666667</v>
      </c>
      <c r="H722" s="1" t="s">
        <v>57</v>
      </c>
      <c r="I722" s="1" t="s">
        <v>40</v>
      </c>
      <c r="J722" s="219">
        <v>6.5</v>
      </c>
      <c r="K722" s="219">
        <v>6.5</v>
      </c>
      <c r="L722" s="219">
        <v>-300.0</v>
      </c>
      <c r="M722" s="219" t="s">
        <v>906</v>
      </c>
      <c r="N722" s="1">
        <v>151.0</v>
      </c>
      <c r="O722" s="1">
        <v>144.0</v>
      </c>
      <c r="P722" s="1">
        <v>1.0</v>
      </c>
      <c r="Q722" s="1" t="b">
        <v>0</v>
      </c>
      <c r="R722" s="1">
        <v>100.0</v>
      </c>
      <c r="S722" s="1" t="s">
        <v>352</v>
      </c>
      <c r="T722" s="1" t="s">
        <v>423</v>
      </c>
      <c r="U722" s="1"/>
    </row>
    <row r="723">
      <c r="A723" s="218">
        <v>45208.92763155093</v>
      </c>
      <c r="B723" s="1" t="s">
        <v>58</v>
      </c>
      <c r="C723" s="1" t="s">
        <v>112</v>
      </c>
      <c r="D723" s="1">
        <v>3.0</v>
      </c>
      <c r="E723" s="1">
        <v>2.0</v>
      </c>
      <c r="F723" s="1" t="s">
        <v>1261</v>
      </c>
      <c r="G723" s="218">
        <v>45213.79166666667</v>
      </c>
      <c r="H723" s="1" t="s">
        <v>69</v>
      </c>
      <c r="I723" s="1" t="s">
        <v>76</v>
      </c>
      <c r="J723" s="219">
        <v>13.5</v>
      </c>
      <c r="K723" s="219">
        <v>12.5</v>
      </c>
      <c r="L723" s="219">
        <v>365.0</v>
      </c>
      <c r="M723" s="219" t="s">
        <v>994</v>
      </c>
      <c r="N723" s="1">
        <v>148.0</v>
      </c>
      <c r="O723" s="1">
        <v>91.0</v>
      </c>
      <c r="P723" s="1">
        <v>1.0</v>
      </c>
      <c r="Q723" s="1" t="b">
        <v>0</v>
      </c>
      <c r="R723" s="1">
        <v>100.0</v>
      </c>
      <c r="S723" s="1" t="s">
        <v>292</v>
      </c>
      <c r="T723" s="1" t="s">
        <v>422</v>
      </c>
      <c r="U723" s="1"/>
    </row>
    <row r="724">
      <c r="A724" s="218">
        <v>45208.92763155093</v>
      </c>
      <c r="B724" s="1" t="s">
        <v>58</v>
      </c>
      <c r="C724" s="1" t="s">
        <v>111</v>
      </c>
      <c r="D724" s="1">
        <v>4.0</v>
      </c>
      <c r="E724" s="1">
        <v>1.0</v>
      </c>
      <c r="F724" s="1" t="s">
        <v>1262</v>
      </c>
      <c r="G724" s="218">
        <v>45213.79166666667</v>
      </c>
      <c r="H724" s="1" t="s">
        <v>59</v>
      </c>
      <c r="I724" s="1" t="s">
        <v>36</v>
      </c>
      <c r="J724" s="219">
        <v>1.5</v>
      </c>
      <c r="K724" s="219">
        <v>1.5</v>
      </c>
      <c r="L724" s="219">
        <v>-102.0</v>
      </c>
      <c r="M724" s="219" t="s">
        <v>104</v>
      </c>
      <c r="N724" s="1">
        <v>158.0</v>
      </c>
      <c r="O724" s="1">
        <v>130.0</v>
      </c>
      <c r="P724" s="1">
        <v>1.0</v>
      </c>
      <c r="Q724" s="1" t="b">
        <v>1</v>
      </c>
      <c r="R724" s="1">
        <v>100.0</v>
      </c>
      <c r="S724" s="1" t="s">
        <v>355</v>
      </c>
      <c r="T724" s="1" t="s">
        <v>423</v>
      </c>
      <c r="U724" s="1"/>
    </row>
    <row r="725">
      <c r="A725" s="218">
        <v>45208.92763155093</v>
      </c>
      <c r="B725" s="1" t="s">
        <v>58</v>
      </c>
      <c r="C725" s="1" t="s">
        <v>109</v>
      </c>
      <c r="D725" s="1">
        <v>4.0</v>
      </c>
      <c r="E725" s="1">
        <v>1.0</v>
      </c>
      <c r="F725" s="1" t="s">
        <v>1263</v>
      </c>
      <c r="G725" s="218">
        <v>45213.83333333333</v>
      </c>
      <c r="H725" s="1" t="s">
        <v>62</v>
      </c>
      <c r="I725" s="1" t="s">
        <v>92</v>
      </c>
      <c r="J725" s="219">
        <v>5.5</v>
      </c>
      <c r="K725" s="219">
        <v>4.5</v>
      </c>
      <c r="L725" s="219">
        <v>152.0</v>
      </c>
      <c r="M725" s="219" t="s">
        <v>114</v>
      </c>
      <c r="N725" s="1">
        <v>153.0</v>
      </c>
      <c r="O725" s="1">
        <v>61.0</v>
      </c>
      <c r="P725" s="1">
        <v>1.0</v>
      </c>
      <c r="Q725" s="1" t="b">
        <v>0</v>
      </c>
      <c r="R725" s="1">
        <v>100.0</v>
      </c>
      <c r="S725" s="1" t="s">
        <v>354</v>
      </c>
      <c r="T725" s="1" t="s">
        <v>422</v>
      </c>
      <c r="U725" s="1"/>
    </row>
    <row r="726">
      <c r="A726" s="218">
        <v>45208.92763155093</v>
      </c>
      <c r="B726" s="1" t="s">
        <v>58</v>
      </c>
      <c r="C726" s="1" t="s">
        <v>105</v>
      </c>
      <c r="D726" s="1">
        <v>2.0</v>
      </c>
      <c r="E726" s="1">
        <v>3.0</v>
      </c>
      <c r="F726" s="1" t="s">
        <v>1264</v>
      </c>
      <c r="G726" s="218">
        <v>45213.90625</v>
      </c>
      <c r="H726" s="1" t="s">
        <v>59</v>
      </c>
      <c r="I726" s="1" t="s">
        <v>96</v>
      </c>
      <c r="J726" s="219">
        <v>10.5</v>
      </c>
      <c r="K726" s="219">
        <v>7.5</v>
      </c>
      <c r="L726" s="219">
        <v>-310.0</v>
      </c>
      <c r="M726" s="219" t="s">
        <v>971</v>
      </c>
      <c r="N726" s="1">
        <v>155.0</v>
      </c>
      <c r="O726" s="1">
        <v>180.0</v>
      </c>
      <c r="P726" s="1">
        <v>1.0</v>
      </c>
      <c r="Q726" s="1" t="b">
        <v>0</v>
      </c>
      <c r="R726" s="1">
        <v>100.0</v>
      </c>
      <c r="S726" s="1" t="s">
        <v>353</v>
      </c>
      <c r="T726" s="1" t="s">
        <v>423</v>
      </c>
      <c r="U726" s="1"/>
    </row>
    <row r="727">
      <c r="A727" s="218">
        <v>45208.92763155093</v>
      </c>
      <c r="B727" s="1" t="s">
        <v>58</v>
      </c>
      <c r="C727" s="1" t="s">
        <v>116</v>
      </c>
      <c r="D727" s="1">
        <v>3.0</v>
      </c>
      <c r="E727" s="1">
        <v>3.0</v>
      </c>
      <c r="F727" s="1"/>
      <c r="G727" s="218"/>
      <c r="H727" s="1"/>
      <c r="I727" s="1"/>
      <c r="J727" s="219"/>
      <c r="K727" s="219"/>
      <c r="L727" s="219"/>
      <c r="M727" s="219"/>
      <c r="N727" s="1">
        <v>130.0</v>
      </c>
      <c r="O727" s="1">
        <v>160.0</v>
      </c>
      <c r="P727" s="1">
        <v>3.0</v>
      </c>
      <c r="Q727" s="1" t="b">
        <v>1</v>
      </c>
      <c r="R727" s="1">
        <v>100.0</v>
      </c>
      <c r="S727" s="1" t="s">
        <v>282</v>
      </c>
      <c r="T727" s="1" t="s">
        <v>422</v>
      </c>
      <c r="U727" s="1"/>
    </row>
    <row r="728">
      <c r="A728" s="218">
        <v>45208.92763155093</v>
      </c>
      <c r="B728" s="1"/>
      <c r="C728" s="1"/>
      <c r="D728" s="1"/>
      <c r="E728" s="1"/>
      <c r="F728" s="1"/>
      <c r="G728" s="218"/>
      <c r="H728" s="1"/>
      <c r="I728" s="1"/>
      <c r="J728" s="219"/>
      <c r="K728" s="219"/>
      <c r="L728" s="219"/>
      <c r="M728" s="219"/>
      <c r="N728" s="1"/>
      <c r="O728" s="1"/>
      <c r="P728" s="1"/>
      <c r="Q728" s="1"/>
      <c r="R728" s="1"/>
      <c r="S728" s="1" t="e">
        <v>#N/A</v>
      </c>
      <c r="T728" s="1" t="e">
        <v>#N/A</v>
      </c>
      <c r="U728" s="1"/>
    </row>
    <row r="729">
      <c r="A729" s="218">
        <v>45208.92763155093</v>
      </c>
      <c r="B729" s="1" t="s">
        <v>56</v>
      </c>
      <c r="C729" s="1" t="s">
        <v>120</v>
      </c>
      <c r="D729" s="1">
        <v>5.0</v>
      </c>
      <c r="E729" s="1">
        <v>1.0</v>
      </c>
      <c r="F729" s="1" t="s">
        <v>1265</v>
      </c>
      <c r="G729" s="218">
        <v>45213.58333333333</v>
      </c>
      <c r="H729" s="1" t="s">
        <v>60</v>
      </c>
      <c r="I729" s="1" t="s">
        <v>935</v>
      </c>
      <c r="J729" s="219">
        <v>-15.5</v>
      </c>
      <c r="K729" s="219">
        <v>-16.5</v>
      </c>
      <c r="L729" s="219">
        <v>-880.0</v>
      </c>
      <c r="M729" s="219" t="s">
        <v>73</v>
      </c>
      <c r="N729" s="1">
        <v>245.0</v>
      </c>
      <c r="O729" s="1">
        <v>138.0</v>
      </c>
      <c r="P729" s="1">
        <v>1.0</v>
      </c>
      <c r="Q729" s="1" t="b">
        <v>1</v>
      </c>
      <c r="R729" s="1">
        <v>100.0</v>
      </c>
      <c r="S729" s="1" t="s">
        <v>352</v>
      </c>
      <c r="T729" s="1" t="s">
        <v>423</v>
      </c>
      <c r="U729" s="1"/>
    </row>
    <row r="730">
      <c r="A730" s="218">
        <v>45208.92763155093</v>
      </c>
      <c r="B730" s="1" t="s">
        <v>56</v>
      </c>
      <c r="C730" s="1" t="s">
        <v>135</v>
      </c>
      <c r="D730" s="1">
        <v>5.0</v>
      </c>
      <c r="E730" s="1">
        <v>0.0</v>
      </c>
      <c r="F730" s="1" t="s">
        <v>1266</v>
      </c>
      <c r="G730" s="218">
        <v>45213.64583333333</v>
      </c>
      <c r="H730" s="1" t="s">
        <v>60</v>
      </c>
      <c r="I730" s="1" t="s">
        <v>888</v>
      </c>
      <c r="J730" s="219">
        <v>-42.5</v>
      </c>
      <c r="K730" s="219">
        <v>-42.5</v>
      </c>
      <c r="L730" s="219">
        <v>1600.0</v>
      </c>
      <c r="M730" s="219" t="s">
        <v>235</v>
      </c>
      <c r="N730" s="1">
        <v>203.0</v>
      </c>
      <c r="O730" s="1">
        <v>48.0</v>
      </c>
      <c r="P730" s="1">
        <v>1.0</v>
      </c>
      <c r="Q730" s="1" t="b">
        <v>0</v>
      </c>
      <c r="R730" s="1">
        <v>100.0</v>
      </c>
      <c r="S730" s="1" t="s">
        <v>282</v>
      </c>
      <c r="T730" s="1" t="s">
        <v>422</v>
      </c>
      <c r="U730" s="1"/>
    </row>
    <row r="731">
      <c r="A731" s="218">
        <v>45208.92763155093</v>
      </c>
      <c r="B731" s="1" t="s">
        <v>56</v>
      </c>
      <c r="C731" s="1" t="s">
        <v>133</v>
      </c>
      <c r="D731" s="1">
        <v>2.0</v>
      </c>
      <c r="E731" s="1">
        <v>3.0</v>
      </c>
      <c r="F731" s="1" t="s">
        <v>1267</v>
      </c>
      <c r="G731" s="218">
        <v>45213.64583333333</v>
      </c>
      <c r="H731" s="1" t="s">
        <v>69</v>
      </c>
      <c r="I731" s="1" t="s">
        <v>36</v>
      </c>
      <c r="J731" s="219">
        <v>2.5</v>
      </c>
      <c r="K731" s="219">
        <v>2.5</v>
      </c>
      <c r="L731" s="219">
        <v>108.0</v>
      </c>
      <c r="M731" s="219" t="s">
        <v>954</v>
      </c>
      <c r="N731" s="1">
        <v>103.0</v>
      </c>
      <c r="O731" s="1">
        <v>125.0</v>
      </c>
      <c r="P731" s="1">
        <v>1.0</v>
      </c>
      <c r="Q731" s="1" t="b">
        <v>0</v>
      </c>
      <c r="R731" s="1">
        <v>100.0</v>
      </c>
      <c r="S731" s="1" t="s">
        <v>407</v>
      </c>
      <c r="T731" s="1" t="s">
        <v>423</v>
      </c>
      <c r="U731" s="1"/>
    </row>
    <row r="732">
      <c r="A732" s="218">
        <v>45208.92763155093</v>
      </c>
      <c r="B732" s="1" t="s">
        <v>56</v>
      </c>
      <c r="C732" s="1" t="s">
        <v>127</v>
      </c>
      <c r="D732" s="1">
        <v>4.0</v>
      </c>
      <c r="E732" s="1">
        <v>2.0</v>
      </c>
      <c r="F732" s="1" t="s">
        <v>1268</v>
      </c>
      <c r="G732" s="218">
        <v>45213.64583333333</v>
      </c>
      <c r="H732" s="1" t="s">
        <v>46</v>
      </c>
      <c r="I732" s="1" t="s">
        <v>945</v>
      </c>
      <c r="J732" s="219">
        <v>1.0</v>
      </c>
      <c r="K732" s="219">
        <v>2.5</v>
      </c>
      <c r="L732" s="219">
        <v>110.0</v>
      </c>
      <c r="M732" s="219" t="s">
        <v>114</v>
      </c>
      <c r="N732" s="1">
        <v>163.0</v>
      </c>
      <c r="O732" s="1">
        <v>101.0</v>
      </c>
      <c r="P732" s="1">
        <v>1.0</v>
      </c>
      <c r="Q732" s="1" t="b">
        <v>0</v>
      </c>
      <c r="R732" s="1">
        <v>100.0</v>
      </c>
      <c r="S732" s="1" t="s">
        <v>292</v>
      </c>
      <c r="T732" s="1" t="s">
        <v>422</v>
      </c>
      <c r="U732" s="1"/>
    </row>
    <row r="733">
      <c r="A733" s="218">
        <v>45208.92763155093</v>
      </c>
      <c r="B733" s="1" t="s">
        <v>56</v>
      </c>
      <c r="C733" s="1" t="s">
        <v>123</v>
      </c>
      <c r="D733" s="1">
        <v>2.0</v>
      </c>
      <c r="E733" s="1">
        <v>3.0</v>
      </c>
      <c r="F733" s="1" t="s">
        <v>1269</v>
      </c>
      <c r="G733" s="218">
        <v>45213.64583333333</v>
      </c>
      <c r="H733" s="1" t="s">
        <v>46</v>
      </c>
      <c r="I733" s="1" t="s">
        <v>99</v>
      </c>
      <c r="J733" s="219">
        <v>2.5</v>
      </c>
      <c r="K733" s="219">
        <v>3.5</v>
      </c>
      <c r="L733" s="219">
        <v>-205.0</v>
      </c>
      <c r="M733" s="219" t="s">
        <v>122</v>
      </c>
      <c r="N733" s="1">
        <v>147.0</v>
      </c>
      <c r="O733" s="1">
        <v>102.0</v>
      </c>
      <c r="P733" s="1">
        <v>1.0</v>
      </c>
      <c r="Q733" s="1" t="b">
        <v>1</v>
      </c>
      <c r="R733" s="1">
        <v>100.0</v>
      </c>
      <c r="S733" s="1" t="s">
        <v>351</v>
      </c>
      <c r="T733" s="1" t="s">
        <v>423</v>
      </c>
      <c r="U733" s="1"/>
    </row>
    <row r="734">
      <c r="A734" s="218">
        <v>45208.92763155093</v>
      </c>
      <c r="B734" s="1" t="s">
        <v>56</v>
      </c>
      <c r="C734" s="1" t="s">
        <v>129</v>
      </c>
      <c r="D734" s="1">
        <v>1.0</v>
      </c>
      <c r="E734" s="1">
        <v>5.0</v>
      </c>
      <c r="F734" s="1" t="s">
        <v>1249</v>
      </c>
      <c r="G734" s="218">
        <v>45213.75</v>
      </c>
      <c r="H734" s="1" t="s">
        <v>35</v>
      </c>
      <c r="I734" s="1" t="s">
        <v>1185</v>
      </c>
      <c r="J734" s="219"/>
      <c r="K734" s="219"/>
      <c r="L734" s="219"/>
      <c r="M734" s="219"/>
      <c r="N734" s="1">
        <v>168.0</v>
      </c>
      <c r="O734" s="1">
        <v>202.0</v>
      </c>
      <c r="P734" s="1">
        <v>1.0</v>
      </c>
      <c r="Q734" s="1" t="b">
        <v>0</v>
      </c>
      <c r="R734" s="1">
        <v>100.0</v>
      </c>
      <c r="S734" s="1" t="s">
        <v>353</v>
      </c>
      <c r="T734" s="1" t="s">
        <v>423</v>
      </c>
      <c r="U734" s="1"/>
    </row>
    <row r="735">
      <c r="A735" s="218">
        <v>45208.92763155093</v>
      </c>
      <c r="B735" s="1" t="s">
        <v>56</v>
      </c>
      <c r="C735" s="1" t="s">
        <v>126</v>
      </c>
      <c r="D735" s="1">
        <v>4.0</v>
      </c>
      <c r="E735" s="1">
        <v>2.0</v>
      </c>
      <c r="F735" s="1" t="s">
        <v>1270</v>
      </c>
      <c r="G735" s="218">
        <v>45213.79166666667</v>
      </c>
      <c r="H735" s="1" t="s">
        <v>67</v>
      </c>
      <c r="I735" s="1" t="s">
        <v>935</v>
      </c>
      <c r="J735" s="219">
        <v>-15.5</v>
      </c>
      <c r="K735" s="219">
        <v>-15.5</v>
      </c>
      <c r="L735" s="219">
        <v>500.0</v>
      </c>
      <c r="M735" s="219" t="s">
        <v>971</v>
      </c>
      <c r="N735" s="1">
        <v>247.0</v>
      </c>
      <c r="O735" s="1">
        <v>179.0</v>
      </c>
      <c r="P735" s="1">
        <v>1.0</v>
      </c>
      <c r="Q735" s="1" t="b">
        <v>0</v>
      </c>
      <c r="R735" s="1">
        <v>100.0</v>
      </c>
      <c r="S735" s="1" t="s">
        <v>355</v>
      </c>
      <c r="T735" s="1" t="s">
        <v>423</v>
      </c>
      <c r="U735" s="1"/>
    </row>
    <row r="736">
      <c r="A736" s="218">
        <v>45208.92763155093</v>
      </c>
      <c r="B736" s="1" t="s">
        <v>56</v>
      </c>
      <c r="C736" s="1" t="s">
        <v>128</v>
      </c>
      <c r="D736" s="1">
        <v>5.0</v>
      </c>
      <c r="E736" s="1">
        <v>2.0</v>
      </c>
      <c r="F736" s="1" t="s">
        <v>1271</v>
      </c>
      <c r="G736" s="218">
        <v>45213.8125</v>
      </c>
      <c r="H736" s="1" t="s">
        <v>57</v>
      </c>
      <c r="I736" s="1" t="s">
        <v>90</v>
      </c>
      <c r="J736" s="219">
        <v>-1.0</v>
      </c>
      <c r="K736" s="219">
        <v>-2.5</v>
      </c>
      <c r="L736" s="219">
        <v>110.0</v>
      </c>
      <c r="M736" s="219" t="s">
        <v>994</v>
      </c>
      <c r="N736" s="1">
        <v>239.0</v>
      </c>
      <c r="O736" s="1">
        <v>111.0</v>
      </c>
      <c r="P736" s="1">
        <v>1.0</v>
      </c>
      <c r="Q736" s="1" t="b">
        <v>1</v>
      </c>
      <c r="R736" s="1">
        <v>100.0</v>
      </c>
      <c r="S736" s="1" t="s">
        <v>354</v>
      </c>
      <c r="T736" s="1" t="s">
        <v>422</v>
      </c>
      <c r="U736" s="1"/>
    </row>
    <row r="737">
      <c r="A737" s="218">
        <v>45208.92763155093</v>
      </c>
      <c r="B737" s="1" t="s">
        <v>56</v>
      </c>
      <c r="C737" s="1" t="s">
        <v>124</v>
      </c>
      <c r="D737" s="1">
        <v>3.0</v>
      </c>
      <c r="E737" s="1">
        <v>3.0</v>
      </c>
      <c r="F737" s="1" t="s">
        <v>1272</v>
      </c>
      <c r="G737" s="218">
        <v>45213.5</v>
      </c>
      <c r="H737" s="1" t="s">
        <v>62</v>
      </c>
      <c r="I737" s="1" t="s">
        <v>96</v>
      </c>
      <c r="J737" s="219">
        <v>3.5</v>
      </c>
      <c r="K737" s="219">
        <v>3.5</v>
      </c>
      <c r="L737" s="219">
        <v>142.0</v>
      </c>
      <c r="M737" s="219" t="s">
        <v>854</v>
      </c>
      <c r="N737" s="1">
        <v>131.0</v>
      </c>
      <c r="O737" s="1">
        <v>130.0</v>
      </c>
      <c r="P737" s="1">
        <v>1.0</v>
      </c>
      <c r="Q737" s="1" t="b">
        <v>0</v>
      </c>
      <c r="R737" s="1">
        <v>100.0</v>
      </c>
      <c r="S737" s="1" t="s">
        <v>296</v>
      </c>
      <c r="T737" s="1" t="s">
        <v>422</v>
      </c>
      <c r="U737" s="1"/>
    </row>
    <row r="738">
      <c r="A738" s="218">
        <v>45208.92763155093</v>
      </c>
      <c r="B738" s="1" t="s">
        <v>56</v>
      </c>
      <c r="C738" s="1" t="s">
        <v>130</v>
      </c>
      <c r="D738" s="1">
        <v>4.0</v>
      </c>
      <c r="E738" s="1">
        <v>2.0</v>
      </c>
      <c r="F738" s="1" t="s">
        <v>1273</v>
      </c>
      <c r="G738" s="218">
        <v>45213.5</v>
      </c>
      <c r="H738" s="1" t="s">
        <v>125</v>
      </c>
      <c r="I738" s="1" t="s">
        <v>82</v>
      </c>
      <c r="J738" s="219">
        <v>19.5</v>
      </c>
      <c r="K738" s="219">
        <v>17.5</v>
      </c>
      <c r="L738" s="219">
        <v>640.0</v>
      </c>
      <c r="M738" s="219" t="s">
        <v>104</v>
      </c>
      <c r="N738" s="1">
        <v>198.0</v>
      </c>
      <c r="O738" s="1">
        <v>114.0</v>
      </c>
      <c r="P738" s="1">
        <v>1.0</v>
      </c>
      <c r="Q738" s="1" t="b">
        <v>1</v>
      </c>
      <c r="R738" s="1">
        <v>100.0</v>
      </c>
      <c r="S738" s="1" t="s">
        <v>301</v>
      </c>
      <c r="T738" s="1" t="s">
        <v>422</v>
      </c>
      <c r="U738" s="1"/>
    </row>
    <row r="739">
      <c r="A739" s="218">
        <v>45208.92763155093</v>
      </c>
      <c r="B739" s="1"/>
      <c r="C739" s="1"/>
      <c r="D739" s="1"/>
      <c r="E739" s="1"/>
      <c r="F739" s="1"/>
      <c r="G739" s="218"/>
      <c r="H739" s="1"/>
      <c r="I739" s="1"/>
      <c r="J739" s="219"/>
      <c r="K739" s="219"/>
      <c r="L739" s="219"/>
      <c r="M739" s="219"/>
      <c r="N739" s="1"/>
      <c r="O739" s="1"/>
      <c r="P739" s="1"/>
      <c r="Q739" s="1"/>
      <c r="R739" s="1"/>
      <c r="S739" s="1" t="e">
        <v>#N/A</v>
      </c>
      <c r="T739" s="1" t="e">
        <v>#N/A</v>
      </c>
      <c r="U739" s="1"/>
    </row>
    <row r="740">
      <c r="A740" s="218">
        <v>45208.92763155093</v>
      </c>
      <c r="B740" s="1" t="s">
        <v>60</v>
      </c>
      <c r="C740" s="1" t="s">
        <v>139</v>
      </c>
      <c r="D740" s="1">
        <v>3.0</v>
      </c>
      <c r="E740" s="1">
        <v>2.0</v>
      </c>
      <c r="F740" s="1" t="s">
        <v>1274</v>
      </c>
      <c r="G740" s="218">
        <v>45211.8125</v>
      </c>
      <c r="H740" s="1" t="s">
        <v>62</v>
      </c>
      <c r="I740" s="1" t="s">
        <v>76</v>
      </c>
      <c r="J740" s="219">
        <v>-12.5</v>
      </c>
      <c r="K740" s="219">
        <v>-10.5</v>
      </c>
      <c r="L740" s="219">
        <v>-430.0</v>
      </c>
      <c r="M740" s="219" t="s">
        <v>937</v>
      </c>
      <c r="N740" s="1">
        <v>169.0</v>
      </c>
      <c r="O740" s="1">
        <v>92.0</v>
      </c>
      <c r="P740" s="1">
        <v>1.0</v>
      </c>
      <c r="Q740" s="1" t="b">
        <v>0</v>
      </c>
      <c r="R740" s="1">
        <v>100.0</v>
      </c>
      <c r="S740" s="1" t="s">
        <v>407</v>
      </c>
      <c r="T740" s="1" t="s">
        <v>423</v>
      </c>
      <c r="U740" s="1"/>
    </row>
    <row r="741">
      <c r="A741" s="218">
        <v>45208.92763155093</v>
      </c>
      <c r="B741" s="1" t="s">
        <v>60</v>
      </c>
      <c r="C741" s="1" t="s">
        <v>177</v>
      </c>
      <c r="D741" s="1">
        <v>1.0</v>
      </c>
      <c r="E741" s="1">
        <v>5.0</v>
      </c>
      <c r="F741" s="1" t="s">
        <v>1265</v>
      </c>
      <c r="G741" s="218">
        <v>45213.58333333333</v>
      </c>
      <c r="H741" s="1" t="s">
        <v>56</v>
      </c>
      <c r="I741" s="1" t="s">
        <v>935</v>
      </c>
      <c r="J741" s="219">
        <v>15.5</v>
      </c>
      <c r="K741" s="219">
        <v>16.5</v>
      </c>
      <c r="L741" s="219">
        <v>-880.0</v>
      </c>
      <c r="M741" s="219" t="s">
        <v>73</v>
      </c>
      <c r="N741" s="1">
        <v>99.0</v>
      </c>
      <c r="O741" s="1">
        <v>202.0</v>
      </c>
      <c r="P741" s="1">
        <v>1.0</v>
      </c>
      <c r="Q741" s="1" t="b">
        <v>0</v>
      </c>
      <c r="R741" s="1">
        <v>100.0</v>
      </c>
      <c r="S741" s="1" t="s">
        <v>352</v>
      </c>
      <c r="T741" s="1" t="s">
        <v>423</v>
      </c>
      <c r="U741" s="1"/>
    </row>
    <row r="742">
      <c r="A742" s="218">
        <v>45208.92763155093</v>
      </c>
      <c r="B742" s="1" t="s">
        <v>60</v>
      </c>
      <c r="C742" s="1" t="s">
        <v>176</v>
      </c>
      <c r="D742" s="1">
        <v>1.0</v>
      </c>
      <c r="E742" s="1">
        <v>6.0</v>
      </c>
      <c r="F742" s="1" t="s">
        <v>1266</v>
      </c>
      <c r="G742" s="218">
        <v>45213.64583333333</v>
      </c>
      <c r="H742" s="1" t="s">
        <v>56</v>
      </c>
      <c r="I742" s="1" t="s">
        <v>888</v>
      </c>
      <c r="J742" s="219"/>
      <c r="K742" s="219"/>
      <c r="L742" s="219"/>
      <c r="M742" s="219"/>
      <c r="N742" s="1">
        <v>183.0</v>
      </c>
      <c r="O742" s="1">
        <v>276.0</v>
      </c>
      <c r="P742" s="1">
        <v>1.0</v>
      </c>
      <c r="Q742" s="1" t="b">
        <v>1</v>
      </c>
      <c r="R742" s="1">
        <v>100.0</v>
      </c>
      <c r="S742" s="1" t="s">
        <v>351</v>
      </c>
      <c r="T742" s="1" t="s">
        <v>423</v>
      </c>
      <c r="U742" s="1"/>
    </row>
    <row r="743">
      <c r="A743" s="218">
        <v>45208.92763155093</v>
      </c>
      <c r="B743" s="1" t="s">
        <v>60</v>
      </c>
      <c r="C743" s="1" t="s">
        <v>164</v>
      </c>
      <c r="D743" s="1">
        <v>6.0</v>
      </c>
      <c r="E743" s="1">
        <v>0.0</v>
      </c>
      <c r="F743" s="1" t="s">
        <v>1275</v>
      </c>
      <c r="G743" s="218">
        <v>45213.77083333333</v>
      </c>
      <c r="H743" s="1" t="s">
        <v>69</v>
      </c>
      <c r="I743" s="1" t="s">
        <v>1019</v>
      </c>
      <c r="J743" s="219">
        <v>-9.5</v>
      </c>
      <c r="K743" s="219">
        <v>-7.5</v>
      </c>
      <c r="L743" s="219">
        <v>-320.0</v>
      </c>
      <c r="M743" s="219" t="s">
        <v>151</v>
      </c>
      <c r="N743" s="1">
        <v>218.0</v>
      </c>
      <c r="O743" s="1">
        <v>106.0</v>
      </c>
      <c r="P743" s="1">
        <v>1.0</v>
      </c>
      <c r="Q743" s="1" t="b">
        <v>1</v>
      </c>
      <c r="R743" s="1">
        <v>100.0</v>
      </c>
      <c r="S743" s="1" t="s">
        <v>301</v>
      </c>
      <c r="T743" s="1" t="s">
        <v>422</v>
      </c>
      <c r="U743" s="1"/>
    </row>
    <row r="744">
      <c r="A744" s="218">
        <v>45208.92763155093</v>
      </c>
      <c r="B744" s="1" t="s">
        <v>60</v>
      </c>
      <c r="C744" s="1" t="s">
        <v>173</v>
      </c>
      <c r="D744" s="1">
        <v>2.0</v>
      </c>
      <c r="E744" s="1">
        <v>4.0</v>
      </c>
      <c r="F744" s="1" t="s">
        <v>1276</v>
      </c>
      <c r="G744" s="218">
        <v>45213.95833333333</v>
      </c>
      <c r="H744" s="1" t="s">
        <v>70</v>
      </c>
      <c r="I744" s="1" t="s">
        <v>99</v>
      </c>
      <c r="J744" s="219">
        <v>6.0</v>
      </c>
      <c r="K744" s="219">
        <v>6.0</v>
      </c>
      <c r="L744" s="219">
        <v>-230.0</v>
      </c>
      <c r="M744" s="219" t="s">
        <v>845</v>
      </c>
      <c r="N744" s="1">
        <v>133.0</v>
      </c>
      <c r="O744" s="1">
        <v>208.0</v>
      </c>
      <c r="P744" s="1">
        <v>1.0</v>
      </c>
      <c r="Q744" s="1" t="b">
        <v>1</v>
      </c>
      <c r="R744" s="1">
        <v>100.0</v>
      </c>
      <c r="S744" s="1" t="s">
        <v>353</v>
      </c>
      <c r="T744" s="1" t="s">
        <v>423</v>
      </c>
      <c r="U744" s="1"/>
    </row>
    <row r="745">
      <c r="A745" s="218">
        <v>45208.92763155093</v>
      </c>
      <c r="B745" s="1" t="s">
        <v>60</v>
      </c>
      <c r="C745" s="1" t="s">
        <v>178</v>
      </c>
      <c r="D745" s="1">
        <v>2.0</v>
      </c>
      <c r="E745" s="1">
        <v>3.0</v>
      </c>
      <c r="F745" s="1" t="s">
        <v>1277</v>
      </c>
      <c r="G745" s="218">
        <v>45213.5</v>
      </c>
      <c r="H745" s="1" t="s">
        <v>46</v>
      </c>
      <c r="I745" s="1" t="s">
        <v>888</v>
      </c>
      <c r="J745" s="219">
        <v>6.0</v>
      </c>
      <c r="K745" s="219">
        <v>6.0</v>
      </c>
      <c r="L745" s="219">
        <v>175.0</v>
      </c>
      <c r="M745" s="219" t="s">
        <v>1278</v>
      </c>
      <c r="N745" s="1">
        <v>108.0</v>
      </c>
      <c r="O745" s="1">
        <v>119.0</v>
      </c>
      <c r="P745" s="1">
        <v>1.0</v>
      </c>
      <c r="Q745" s="1" t="b">
        <v>0</v>
      </c>
      <c r="R745" s="1">
        <v>100.0</v>
      </c>
      <c r="S745" s="1" t="s">
        <v>282</v>
      </c>
      <c r="T745" s="1" t="s">
        <v>422</v>
      </c>
      <c r="U745" s="1"/>
    </row>
    <row r="746">
      <c r="A746" s="218">
        <v>45208.92763155093</v>
      </c>
      <c r="B746" s="1" t="s">
        <v>60</v>
      </c>
      <c r="C746" s="1" t="s">
        <v>137</v>
      </c>
      <c r="D746" s="1">
        <v>5.0</v>
      </c>
      <c r="E746" s="1">
        <v>1.0</v>
      </c>
      <c r="F746" s="1" t="s">
        <v>1279</v>
      </c>
      <c r="G746" s="218">
        <v>45213.5</v>
      </c>
      <c r="H746" s="1" t="s">
        <v>57</v>
      </c>
      <c r="I746" s="1" t="s">
        <v>76</v>
      </c>
      <c r="J746" s="219">
        <v>-17.5</v>
      </c>
      <c r="K746" s="219">
        <v>-20.5</v>
      </c>
      <c r="L746" s="219">
        <v>860.0</v>
      </c>
      <c r="M746" s="219" t="s">
        <v>854</v>
      </c>
      <c r="N746" s="1">
        <v>187.0</v>
      </c>
      <c r="O746" s="1">
        <v>91.0</v>
      </c>
      <c r="P746" s="1">
        <v>1.0</v>
      </c>
      <c r="Q746" s="1" t="b">
        <v>1</v>
      </c>
      <c r="R746" s="1">
        <v>100.0</v>
      </c>
      <c r="S746" s="1" t="s">
        <v>292</v>
      </c>
      <c r="T746" s="1" t="s">
        <v>422</v>
      </c>
      <c r="U746" s="1"/>
    </row>
    <row r="747">
      <c r="A747" s="218">
        <v>45208.92763155093</v>
      </c>
      <c r="B747" s="1" t="s">
        <v>60</v>
      </c>
      <c r="C747" s="1" t="s">
        <v>174</v>
      </c>
      <c r="D747" s="1">
        <v>1.0</v>
      </c>
      <c r="E747" s="1">
        <v>5.0</v>
      </c>
      <c r="F747" s="1"/>
      <c r="G747" s="218"/>
      <c r="H747" s="1"/>
      <c r="I747" s="1"/>
      <c r="J747" s="219"/>
      <c r="K747" s="219"/>
      <c r="L747" s="219"/>
      <c r="M747" s="219"/>
      <c r="N747" s="1">
        <v>112.0</v>
      </c>
      <c r="O747" s="1">
        <v>170.0</v>
      </c>
      <c r="P747" s="1">
        <v>3.0</v>
      </c>
      <c r="Q747" s="1" t="b">
        <v>1</v>
      </c>
      <c r="R747" s="1">
        <v>100.0</v>
      </c>
      <c r="S747" s="1" t="s">
        <v>354</v>
      </c>
      <c r="T747" s="1" t="s">
        <v>422</v>
      </c>
      <c r="U747" s="1"/>
    </row>
    <row r="748">
      <c r="A748" s="218">
        <v>45208.92763155093</v>
      </c>
      <c r="B748" s="1" t="s">
        <v>60</v>
      </c>
      <c r="C748" s="1" t="s">
        <v>175</v>
      </c>
      <c r="D748" s="1">
        <v>4.0</v>
      </c>
      <c r="E748" s="1">
        <v>2.0</v>
      </c>
      <c r="F748" s="1"/>
      <c r="G748" s="218"/>
      <c r="H748" s="1"/>
      <c r="I748" s="1"/>
      <c r="J748" s="219"/>
      <c r="K748" s="219"/>
      <c r="L748" s="219"/>
      <c r="M748" s="219"/>
      <c r="N748" s="1">
        <v>213.0</v>
      </c>
      <c r="O748" s="1">
        <v>175.0</v>
      </c>
      <c r="P748" s="1">
        <v>3.0</v>
      </c>
      <c r="Q748" s="1" t="b">
        <v>1</v>
      </c>
      <c r="R748" s="1">
        <v>100.0</v>
      </c>
      <c r="S748" s="1" t="s">
        <v>355</v>
      </c>
      <c r="T748" s="1" t="s">
        <v>423</v>
      </c>
      <c r="U748" s="1"/>
    </row>
    <row r="749">
      <c r="A749" s="218">
        <v>45208.92763155093</v>
      </c>
      <c r="B749" s="1" t="s">
        <v>60</v>
      </c>
      <c r="C749" s="1" t="s">
        <v>179</v>
      </c>
      <c r="D749" s="1">
        <v>6.0</v>
      </c>
      <c r="E749" s="1">
        <v>0.0</v>
      </c>
      <c r="F749" s="1"/>
      <c r="G749" s="218"/>
      <c r="H749" s="1"/>
      <c r="I749" s="1"/>
      <c r="J749" s="219"/>
      <c r="K749" s="219"/>
      <c r="L749" s="219"/>
      <c r="M749" s="219"/>
      <c r="N749" s="1">
        <v>271.0</v>
      </c>
      <c r="O749" s="1">
        <v>84.0</v>
      </c>
      <c r="P749" s="1">
        <v>3.0</v>
      </c>
      <c r="Q749" s="1" t="b">
        <v>1</v>
      </c>
      <c r="R749" s="1">
        <v>100.0</v>
      </c>
      <c r="S749" s="1" t="s">
        <v>296</v>
      </c>
      <c r="T749" s="1" t="s">
        <v>422</v>
      </c>
      <c r="U749" s="1"/>
    </row>
    <row r="750">
      <c r="A750" s="218">
        <v>45208.92763155093</v>
      </c>
      <c r="B750" s="1"/>
      <c r="C750" s="1"/>
      <c r="D750" s="1"/>
      <c r="E750" s="1"/>
      <c r="F750" s="1"/>
      <c r="G750" s="218"/>
      <c r="H750" s="1"/>
      <c r="I750" s="1"/>
      <c r="J750" s="219"/>
      <c r="K750" s="219"/>
      <c r="L750" s="219"/>
      <c r="M750" s="219"/>
      <c r="N750" s="1"/>
      <c r="O750" s="1"/>
      <c r="P750" s="1"/>
      <c r="Q750" s="1"/>
      <c r="R750" s="1"/>
      <c r="S750" s="1" t="e">
        <v>#N/A</v>
      </c>
      <c r="T750" s="1" t="e">
        <v>#N/A</v>
      </c>
      <c r="U750" s="1"/>
    </row>
    <row r="751">
      <c r="A751" s="218">
        <v>45208.92763155093</v>
      </c>
      <c r="B751" s="1" t="s">
        <v>46</v>
      </c>
      <c r="C751" s="1" t="s">
        <v>182</v>
      </c>
      <c r="D751" s="1">
        <v>4.0</v>
      </c>
      <c r="E751" s="1">
        <v>1.0</v>
      </c>
      <c r="F751" s="1" t="s">
        <v>1257</v>
      </c>
      <c r="G751" s="218">
        <v>45212.79166666667</v>
      </c>
      <c r="H751" s="1" t="s">
        <v>58</v>
      </c>
      <c r="I751" s="1" t="s">
        <v>76</v>
      </c>
      <c r="J751" s="219">
        <v>-3.5</v>
      </c>
      <c r="K751" s="219">
        <v>-3.5</v>
      </c>
      <c r="L751" s="219">
        <v>-160.0</v>
      </c>
      <c r="M751" s="219" t="s">
        <v>104</v>
      </c>
      <c r="N751" s="1">
        <v>149.0</v>
      </c>
      <c r="O751" s="1">
        <v>87.0</v>
      </c>
      <c r="P751" s="1">
        <v>1.0</v>
      </c>
      <c r="Q751" s="1" t="b">
        <v>1</v>
      </c>
      <c r="R751" s="1">
        <v>100.0</v>
      </c>
      <c r="S751" s="1" t="s">
        <v>407</v>
      </c>
      <c r="T751" s="1" t="s">
        <v>423</v>
      </c>
      <c r="U751" s="1"/>
    </row>
    <row r="752">
      <c r="A752" s="218">
        <v>45208.92763155093</v>
      </c>
      <c r="B752" s="1" t="s">
        <v>46</v>
      </c>
      <c r="C752" s="1" t="s">
        <v>180</v>
      </c>
      <c r="D752" s="1">
        <v>5.0</v>
      </c>
      <c r="E752" s="1">
        <v>0.0</v>
      </c>
      <c r="F752" s="1" t="s">
        <v>1248</v>
      </c>
      <c r="G752" s="218">
        <v>45213.64583333333</v>
      </c>
      <c r="H752" s="1" t="s">
        <v>35</v>
      </c>
      <c r="I752" s="1" t="s">
        <v>82</v>
      </c>
      <c r="J752" s="219">
        <v>-3.0</v>
      </c>
      <c r="K752" s="219">
        <v>-3.0</v>
      </c>
      <c r="L752" s="219">
        <v>126.0</v>
      </c>
      <c r="M752" s="219" t="s">
        <v>871</v>
      </c>
      <c r="N752" s="1">
        <v>230.0</v>
      </c>
      <c r="O752" s="1">
        <v>92.0</v>
      </c>
      <c r="P752" s="1">
        <v>1.0</v>
      </c>
      <c r="Q752" s="1" t="b">
        <v>0</v>
      </c>
      <c r="R752" s="1">
        <v>100.0</v>
      </c>
      <c r="S752" s="1" t="s">
        <v>354</v>
      </c>
      <c r="T752" s="1" t="s">
        <v>422</v>
      </c>
      <c r="U752" s="1"/>
    </row>
    <row r="753">
      <c r="A753" s="218">
        <v>45208.92763155093</v>
      </c>
      <c r="B753" s="1" t="s">
        <v>46</v>
      </c>
      <c r="C753" s="1" t="s">
        <v>184</v>
      </c>
      <c r="D753" s="1">
        <v>2.0</v>
      </c>
      <c r="E753" s="1">
        <v>3.0</v>
      </c>
      <c r="F753" s="1" t="s">
        <v>1268</v>
      </c>
      <c r="G753" s="218">
        <v>45213.64583333333</v>
      </c>
      <c r="H753" s="1" t="s">
        <v>56</v>
      </c>
      <c r="I753" s="1" t="s">
        <v>945</v>
      </c>
      <c r="J753" s="219">
        <v>-1.0</v>
      </c>
      <c r="K753" s="219">
        <v>-2.5</v>
      </c>
      <c r="L753" s="219">
        <v>110.0</v>
      </c>
      <c r="M753" s="219" t="s">
        <v>114</v>
      </c>
      <c r="N753" s="1">
        <v>135.0</v>
      </c>
      <c r="O753" s="1">
        <v>147.0</v>
      </c>
      <c r="P753" s="1">
        <v>1.0</v>
      </c>
      <c r="Q753" s="1" t="b">
        <v>1</v>
      </c>
      <c r="R753" s="1">
        <v>100.0</v>
      </c>
      <c r="S753" s="1" t="s">
        <v>292</v>
      </c>
      <c r="T753" s="1" t="s">
        <v>422</v>
      </c>
      <c r="U753" s="1"/>
    </row>
    <row r="754">
      <c r="A754" s="218">
        <v>45208.92763155093</v>
      </c>
      <c r="B754" s="1" t="s">
        <v>46</v>
      </c>
      <c r="C754" s="1" t="s">
        <v>189</v>
      </c>
      <c r="D754" s="1">
        <v>1.0</v>
      </c>
      <c r="E754" s="1">
        <v>5.0</v>
      </c>
      <c r="F754" s="1" t="s">
        <v>1280</v>
      </c>
      <c r="G754" s="218">
        <v>45213.64583333333</v>
      </c>
      <c r="H754" s="1" t="s">
        <v>125</v>
      </c>
      <c r="I754" s="1" t="s">
        <v>935</v>
      </c>
      <c r="J754" s="219">
        <v>13.5</v>
      </c>
      <c r="K754" s="219">
        <v>12.5</v>
      </c>
      <c r="L754" s="219">
        <v>420.0</v>
      </c>
      <c r="M754" s="219" t="s">
        <v>854</v>
      </c>
      <c r="N754" s="1">
        <v>99.0</v>
      </c>
      <c r="O754" s="1">
        <v>177.0</v>
      </c>
      <c r="P754" s="1">
        <v>1.0</v>
      </c>
      <c r="Q754" s="1" t="b">
        <v>1</v>
      </c>
      <c r="R754" s="1">
        <v>100.0</v>
      </c>
      <c r="S754" s="1" t="s">
        <v>352</v>
      </c>
      <c r="T754" s="1" t="s">
        <v>423</v>
      </c>
      <c r="U754" s="1"/>
    </row>
    <row r="755">
      <c r="A755" s="218">
        <v>45208.92763155093</v>
      </c>
      <c r="B755" s="1" t="s">
        <v>46</v>
      </c>
      <c r="C755" s="1" t="s">
        <v>181</v>
      </c>
      <c r="D755" s="1">
        <v>4.0</v>
      </c>
      <c r="E755" s="1">
        <v>2.0</v>
      </c>
      <c r="F755" s="1" t="s">
        <v>1269</v>
      </c>
      <c r="G755" s="218">
        <v>45213.64583333333</v>
      </c>
      <c r="H755" s="1" t="s">
        <v>56</v>
      </c>
      <c r="I755" s="1" t="s">
        <v>99</v>
      </c>
      <c r="J755" s="219">
        <v>-2.5</v>
      </c>
      <c r="K755" s="219">
        <v>-3.5</v>
      </c>
      <c r="L755" s="219">
        <v>-205.0</v>
      </c>
      <c r="M755" s="219" t="s">
        <v>122</v>
      </c>
      <c r="N755" s="1">
        <v>167.0</v>
      </c>
      <c r="O755" s="1">
        <v>122.0</v>
      </c>
      <c r="P755" s="1">
        <v>1.0</v>
      </c>
      <c r="Q755" s="1" t="b">
        <v>0</v>
      </c>
      <c r="R755" s="1">
        <v>100.0</v>
      </c>
      <c r="S755" s="1" t="s">
        <v>355</v>
      </c>
      <c r="T755" s="1" t="s">
        <v>423</v>
      </c>
      <c r="U755" s="1"/>
    </row>
    <row r="756">
      <c r="A756" s="218">
        <v>45208.92763155093</v>
      </c>
      <c r="B756" s="1" t="s">
        <v>46</v>
      </c>
      <c r="C756" s="1" t="s">
        <v>186</v>
      </c>
      <c r="D756" s="1">
        <v>2.0</v>
      </c>
      <c r="E756" s="1">
        <v>4.0</v>
      </c>
      <c r="F756" s="1" t="s">
        <v>1281</v>
      </c>
      <c r="G756" s="218">
        <v>45213.64583333333</v>
      </c>
      <c r="H756" s="1" t="s">
        <v>62</v>
      </c>
      <c r="I756" s="1" t="s">
        <v>90</v>
      </c>
      <c r="J756" s="219">
        <v>14.5</v>
      </c>
      <c r="K756" s="219">
        <v>14.5</v>
      </c>
      <c r="L756" s="219">
        <v>460.0</v>
      </c>
      <c r="M756" s="219" t="s">
        <v>73</v>
      </c>
      <c r="N756" s="1">
        <v>115.0</v>
      </c>
      <c r="O756" s="1">
        <v>173.0</v>
      </c>
      <c r="P756" s="1">
        <v>1.0</v>
      </c>
      <c r="Q756" s="1" t="b">
        <v>1</v>
      </c>
      <c r="R756" s="1">
        <v>100.0</v>
      </c>
      <c r="S756" s="1" t="s">
        <v>282</v>
      </c>
      <c r="T756" s="1" t="s">
        <v>422</v>
      </c>
      <c r="U756" s="1"/>
    </row>
    <row r="757">
      <c r="A757" s="218">
        <v>45208.92763155093</v>
      </c>
      <c r="B757" s="1" t="s">
        <v>46</v>
      </c>
      <c r="C757" s="1" t="s">
        <v>188</v>
      </c>
      <c r="D757" s="1">
        <v>3.0</v>
      </c>
      <c r="E757" s="1">
        <v>3.0</v>
      </c>
      <c r="F757" s="1" t="s">
        <v>1250</v>
      </c>
      <c r="G757" s="218">
        <v>45213.79166666667</v>
      </c>
      <c r="H757" s="1" t="s">
        <v>35</v>
      </c>
      <c r="I757" s="1" t="s">
        <v>96</v>
      </c>
      <c r="J757" s="219">
        <v>-0.5</v>
      </c>
      <c r="K757" s="219">
        <v>-1.5</v>
      </c>
      <c r="L757" s="219">
        <v>-102.0</v>
      </c>
      <c r="M757" s="219" t="s">
        <v>104</v>
      </c>
      <c r="N757" s="1">
        <v>205.0</v>
      </c>
      <c r="O757" s="1">
        <v>138.0</v>
      </c>
      <c r="P757" s="1">
        <v>1.0</v>
      </c>
      <c r="Q757" s="1" t="b">
        <v>0</v>
      </c>
      <c r="R757" s="1">
        <v>100.0</v>
      </c>
      <c r="S757" s="1" t="s">
        <v>296</v>
      </c>
      <c r="T757" s="1" t="s">
        <v>422</v>
      </c>
      <c r="U757" s="1"/>
    </row>
    <row r="758">
      <c r="A758" s="218">
        <v>45208.92763155093</v>
      </c>
      <c r="B758" s="1" t="s">
        <v>46</v>
      </c>
      <c r="C758" s="1" t="s">
        <v>183</v>
      </c>
      <c r="D758" s="1">
        <v>5.0</v>
      </c>
      <c r="E758" s="1">
        <v>1.0</v>
      </c>
      <c r="F758" s="1" t="s">
        <v>1282</v>
      </c>
      <c r="G758" s="218">
        <v>45213.79166666667</v>
      </c>
      <c r="H758" s="1" t="s">
        <v>69</v>
      </c>
      <c r="I758" s="1" t="s">
        <v>99</v>
      </c>
      <c r="J758" s="219">
        <v>10.5</v>
      </c>
      <c r="K758" s="219">
        <v>10.5</v>
      </c>
      <c r="L758" s="219">
        <v>285.0</v>
      </c>
      <c r="M758" s="219" t="s">
        <v>867</v>
      </c>
      <c r="N758" s="1">
        <v>157.0</v>
      </c>
      <c r="O758" s="1">
        <v>145.0</v>
      </c>
      <c r="P758" s="1">
        <v>1.0</v>
      </c>
      <c r="Q758" s="1" t="b">
        <v>0</v>
      </c>
      <c r="R758" s="1">
        <v>100.0</v>
      </c>
      <c r="S758" s="1" t="s">
        <v>353</v>
      </c>
      <c r="T758" s="1" t="s">
        <v>423</v>
      </c>
      <c r="U758" s="1"/>
    </row>
    <row r="759">
      <c r="A759" s="218">
        <v>45208.92763155093</v>
      </c>
      <c r="B759" s="1" t="s">
        <v>46</v>
      </c>
      <c r="C759" s="1" t="s">
        <v>187</v>
      </c>
      <c r="D759" s="1">
        <v>4.0</v>
      </c>
      <c r="E759" s="1">
        <v>1.0</v>
      </c>
      <c r="F759" s="1" t="s">
        <v>1283</v>
      </c>
      <c r="G759" s="218">
        <v>45213.83333333333</v>
      </c>
      <c r="H759" s="1" t="s">
        <v>61</v>
      </c>
      <c r="I759" s="1" t="s">
        <v>900</v>
      </c>
      <c r="J759" s="219">
        <v>-3.5</v>
      </c>
      <c r="K759" s="219">
        <v>-3.5</v>
      </c>
      <c r="L759" s="219">
        <v>130.0</v>
      </c>
      <c r="M759" s="219" t="s">
        <v>151</v>
      </c>
      <c r="N759" s="1">
        <v>163.0</v>
      </c>
      <c r="O759" s="1">
        <v>56.0</v>
      </c>
      <c r="P759" s="1">
        <v>1.0</v>
      </c>
      <c r="Q759" s="1" t="b">
        <v>0</v>
      </c>
      <c r="R759" s="1">
        <v>100.0</v>
      </c>
      <c r="S759" s="1" t="s">
        <v>301</v>
      </c>
      <c r="T759" s="1" t="s">
        <v>422</v>
      </c>
      <c r="U759" s="1"/>
    </row>
    <row r="760">
      <c r="A760" s="218">
        <v>45208.92763155093</v>
      </c>
      <c r="B760" s="1" t="s">
        <v>46</v>
      </c>
      <c r="C760" s="1" t="s">
        <v>185</v>
      </c>
      <c r="D760" s="1">
        <v>4.0</v>
      </c>
      <c r="E760" s="1">
        <v>2.0</v>
      </c>
      <c r="F760" s="1" t="s">
        <v>1277</v>
      </c>
      <c r="G760" s="218">
        <v>45213.5</v>
      </c>
      <c r="H760" s="1" t="s">
        <v>60</v>
      </c>
      <c r="I760" s="1" t="s">
        <v>888</v>
      </c>
      <c r="J760" s="219">
        <v>-6.0</v>
      </c>
      <c r="K760" s="219">
        <v>-6.0</v>
      </c>
      <c r="L760" s="219">
        <v>175.0</v>
      </c>
      <c r="M760" s="219" t="s">
        <v>1278</v>
      </c>
      <c r="N760" s="1">
        <v>167.0</v>
      </c>
      <c r="O760" s="1">
        <v>88.0</v>
      </c>
      <c r="P760" s="1">
        <v>1.0</v>
      </c>
      <c r="Q760" s="1" t="b">
        <v>1</v>
      </c>
      <c r="R760" s="1">
        <v>100.0</v>
      </c>
      <c r="S760" s="1" t="s">
        <v>351</v>
      </c>
      <c r="T760" s="1" t="s">
        <v>423</v>
      </c>
      <c r="U760" s="1"/>
    </row>
    <row r="761">
      <c r="A761" s="218">
        <v>45208.92763155093</v>
      </c>
      <c r="B761" s="1"/>
      <c r="C761" s="1"/>
      <c r="D761" s="1"/>
      <c r="E761" s="1"/>
      <c r="F761" s="1"/>
      <c r="G761" s="218"/>
      <c r="H761" s="1"/>
      <c r="I761" s="1"/>
      <c r="J761" s="219"/>
      <c r="K761" s="219"/>
      <c r="L761" s="219"/>
      <c r="M761" s="219"/>
      <c r="N761" s="1"/>
      <c r="O761" s="1"/>
      <c r="P761" s="1"/>
      <c r="Q761" s="1"/>
      <c r="R761" s="1"/>
      <c r="S761" s="1" t="e">
        <v>#N/A</v>
      </c>
      <c r="T761" s="1" t="e">
        <v>#N/A</v>
      </c>
      <c r="U761" s="1"/>
    </row>
    <row r="762">
      <c r="A762" s="218">
        <v>45208.92763155093</v>
      </c>
      <c r="B762" s="1" t="s">
        <v>70</v>
      </c>
      <c r="C762" s="1" t="s">
        <v>194</v>
      </c>
      <c r="D762" s="1">
        <v>1.0</v>
      </c>
      <c r="E762" s="1">
        <v>5.0</v>
      </c>
      <c r="F762" s="1" t="s">
        <v>1284</v>
      </c>
      <c r="G762" s="218">
        <v>45210.8125</v>
      </c>
      <c r="H762" s="1" t="s">
        <v>67</v>
      </c>
      <c r="I762" s="1" t="s">
        <v>36</v>
      </c>
      <c r="J762" s="219">
        <v>-6.5</v>
      </c>
      <c r="K762" s="219">
        <v>-1.5</v>
      </c>
      <c r="L762" s="219">
        <v>-125.0</v>
      </c>
      <c r="M762" s="219" t="s">
        <v>867</v>
      </c>
      <c r="N762" s="1">
        <v>97.0</v>
      </c>
      <c r="O762" s="1">
        <v>169.0</v>
      </c>
      <c r="P762" s="1">
        <v>1.0</v>
      </c>
      <c r="Q762" s="1" t="b">
        <v>1</v>
      </c>
      <c r="R762" s="1">
        <v>100.0</v>
      </c>
      <c r="S762" s="1" t="s">
        <v>351</v>
      </c>
      <c r="T762" s="1" t="s">
        <v>423</v>
      </c>
      <c r="U762" s="1"/>
    </row>
    <row r="763">
      <c r="A763" s="218">
        <v>45208.92763155093</v>
      </c>
      <c r="B763" s="1" t="s">
        <v>70</v>
      </c>
      <c r="C763" s="1" t="s">
        <v>193</v>
      </c>
      <c r="D763" s="1">
        <v>1.0</v>
      </c>
      <c r="E763" s="1">
        <v>4.0</v>
      </c>
      <c r="F763" s="1" t="s">
        <v>1285</v>
      </c>
      <c r="G763" s="218">
        <v>45212.91666666667</v>
      </c>
      <c r="H763" s="1" t="s">
        <v>61</v>
      </c>
      <c r="I763" s="1" t="s">
        <v>76</v>
      </c>
      <c r="J763" s="219">
        <v>10.5</v>
      </c>
      <c r="K763" s="219">
        <v>10.5</v>
      </c>
      <c r="L763" s="219">
        <v>340.0</v>
      </c>
      <c r="M763" s="219" t="s">
        <v>954</v>
      </c>
      <c r="N763" s="1">
        <v>96.0</v>
      </c>
      <c r="O763" s="1">
        <v>173.0</v>
      </c>
      <c r="P763" s="1">
        <v>1.0</v>
      </c>
      <c r="Q763" s="1" t="b">
        <v>0</v>
      </c>
      <c r="R763" s="1">
        <v>100.0</v>
      </c>
      <c r="S763" s="1" t="s">
        <v>354</v>
      </c>
      <c r="T763" s="1" t="s">
        <v>422</v>
      </c>
      <c r="U763" s="1"/>
    </row>
    <row r="764">
      <c r="A764" s="218">
        <v>45208.92763155093</v>
      </c>
      <c r="B764" s="1" t="s">
        <v>70</v>
      </c>
      <c r="C764" s="1" t="s">
        <v>192</v>
      </c>
      <c r="D764" s="1">
        <v>5.0</v>
      </c>
      <c r="E764" s="1">
        <v>1.0</v>
      </c>
      <c r="F764" s="1" t="s">
        <v>1286</v>
      </c>
      <c r="G764" s="218">
        <v>45213.64583333333</v>
      </c>
      <c r="H764" s="1" t="s">
        <v>61</v>
      </c>
      <c r="I764" s="1" t="s">
        <v>96</v>
      </c>
      <c r="J764" s="219">
        <v>-3.5</v>
      </c>
      <c r="K764" s="219">
        <v>-3.5</v>
      </c>
      <c r="L764" s="219">
        <v>-170.0</v>
      </c>
      <c r="M764" s="219" t="s">
        <v>235</v>
      </c>
      <c r="N764" s="1">
        <v>216.0</v>
      </c>
      <c r="O764" s="1">
        <v>153.0</v>
      </c>
      <c r="P764" s="1">
        <v>1.0</v>
      </c>
      <c r="Q764" s="1" t="b">
        <v>0</v>
      </c>
      <c r="R764" s="1">
        <v>100.0</v>
      </c>
      <c r="S764" s="1" t="s">
        <v>296</v>
      </c>
      <c r="T764" s="1" t="s">
        <v>422</v>
      </c>
      <c r="U764" s="1"/>
    </row>
    <row r="765">
      <c r="A765" s="218">
        <v>45208.92763155093</v>
      </c>
      <c r="B765" s="1" t="s">
        <v>70</v>
      </c>
      <c r="C765" s="1" t="s">
        <v>199</v>
      </c>
      <c r="D765" s="1">
        <v>2.0</v>
      </c>
      <c r="E765" s="1">
        <v>4.0</v>
      </c>
      <c r="F765" s="1" t="s">
        <v>1287</v>
      </c>
      <c r="G765" s="218">
        <v>45213.64583333333</v>
      </c>
      <c r="H765" s="1" t="s">
        <v>67</v>
      </c>
      <c r="I765" s="1" t="s">
        <v>935</v>
      </c>
      <c r="J765" s="219">
        <v>-5.5</v>
      </c>
      <c r="K765" s="219">
        <v>-5.5</v>
      </c>
      <c r="L765" s="219">
        <v>190.0</v>
      </c>
      <c r="M765" s="219" t="s">
        <v>874</v>
      </c>
      <c r="N765" s="1">
        <v>169.0</v>
      </c>
      <c r="O765" s="1">
        <v>201.0</v>
      </c>
      <c r="P765" s="1">
        <v>1.0</v>
      </c>
      <c r="Q765" s="1" t="b">
        <v>1</v>
      </c>
      <c r="R765" s="1">
        <v>100.0</v>
      </c>
      <c r="S765" s="1" t="s">
        <v>352</v>
      </c>
      <c r="T765" s="1" t="s">
        <v>423</v>
      </c>
      <c r="U765" s="1"/>
    </row>
    <row r="766">
      <c r="A766" s="218">
        <v>45208.92763155093</v>
      </c>
      <c r="B766" s="1" t="s">
        <v>70</v>
      </c>
      <c r="C766" s="1" t="s">
        <v>196</v>
      </c>
      <c r="D766" s="1">
        <v>5.0</v>
      </c>
      <c r="E766" s="1">
        <v>1.0</v>
      </c>
      <c r="F766" s="1" t="s">
        <v>1288</v>
      </c>
      <c r="G766" s="218">
        <v>45213.8125</v>
      </c>
      <c r="H766" s="1" t="s">
        <v>59</v>
      </c>
      <c r="I766" s="1" t="s">
        <v>945</v>
      </c>
      <c r="J766" s="219">
        <v>-2.5</v>
      </c>
      <c r="K766" s="219">
        <v>-2.5</v>
      </c>
      <c r="L766" s="219">
        <v>112.0</v>
      </c>
      <c r="M766" s="219" t="s">
        <v>73</v>
      </c>
      <c r="N766" s="1">
        <v>198.0</v>
      </c>
      <c r="O766" s="1">
        <v>127.0</v>
      </c>
      <c r="P766" s="1">
        <v>1.0</v>
      </c>
      <c r="Q766" s="1" t="b">
        <v>0</v>
      </c>
      <c r="R766" s="1">
        <v>100.0</v>
      </c>
      <c r="S766" s="1" t="s">
        <v>292</v>
      </c>
      <c r="T766" s="1" t="s">
        <v>422</v>
      </c>
      <c r="U766" s="1"/>
    </row>
    <row r="767">
      <c r="A767" s="218">
        <v>45208.92763155093</v>
      </c>
      <c r="B767" s="1" t="s">
        <v>70</v>
      </c>
      <c r="C767" s="1" t="s">
        <v>198</v>
      </c>
      <c r="D767" s="1">
        <v>2.0</v>
      </c>
      <c r="E767" s="1">
        <v>3.0</v>
      </c>
      <c r="F767" s="1" t="s">
        <v>1289</v>
      </c>
      <c r="G767" s="218">
        <v>45213.83333333333</v>
      </c>
      <c r="H767" s="1" t="s">
        <v>61</v>
      </c>
      <c r="I767" s="1" t="s">
        <v>40</v>
      </c>
      <c r="J767" s="219">
        <v>-8.5</v>
      </c>
      <c r="K767" s="219">
        <v>-9.5</v>
      </c>
      <c r="L767" s="219">
        <v>260.0</v>
      </c>
      <c r="M767" s="219" t="s">
        <v>990</v>
      </c>
      <c r="N767" s="1">
        <v>126.0</v>
      </c>
      <c r="O767" s="1">
        <v>146.0</v>
      </c>
      <c r="P767" s="1">
        <v>1.0</v>
      </c>
      <c r="Q767" s="1" t="b">
        <v>0</v>
      </c>
      <c r="R767" s="1">
        <v>100.0</v>
      </c>
      <c r="S767" s="1" t="s">
        <v>407</v>
      </c>
      <c r="T767" s="1" t="s">
        <v>423</v>
      </c>
      <c r="U767" s="1"/>
    </row>
    <row r="768">
      <c r="A768" s="218">
        <v>45208.92763155093</v>
      </c>
      <c r="B768" s="1" t="s">
        <v>70</v>
      </c>
      <c r="C768" s="1" t="s">
        <v>190</v>
      </c>
      <c r="D768" s="1">
        <v>2.0</v>
      </c>
      <c r="E768" s="1">
        <v>4.0</v>
      </c>
      <c r="F768" s="1" t="s">
        <v>1276</v>
      </c>
      <c r="G768" s="218">
        <v>45213.95833333333</v>
      </c>
      <c r="H768" s="1" t="s">
        <v>60</v>
      </c>
      <c r="I768" s="1" t="s">
        <v>99</v>
      </c>
      <c r="J768" s="219">
        <v>-6.0</v>
      </c>
      <c r="K768" s="219">
        <v>-6.0</v>
      </c>
      <c r="L768" s="219">
        <v>-230.0</v>
      </c>
      <c r="M768" s="219" t="s">
        <v>845</v>
      </c>
      <c r="N768" s="1">
        <v>116.0</v>
      </c>
      <c r="O768" s="1">
        <v>185.0</v>
      </c>
      <c r="P768" s="1">
        <v>1.0</v>
      </c>
      <c r="Q768" s="1" t="b">
        <v>0</v>
      </c>
      <c r="R768" s="1">
        <v>100.0</v>
      </c>
      <c r="S768" s="1" t="s">
        <v>353</v>
      </c>
      <c r="T768" s="1" t="s">
        <v>423</v>
      </c>
      <c r="U768" s="1"/>
    </row>
    <row r="769">
      <c r="A769" s="218">
        <v>45208.92763155093</v>
      </c>
      <c r="B769" s="1" t="s">
        <v>70</v>
      </c>
      <c r="C769" s="1" t="s">
        <v>195</v>
      </c>
      <c r="D769" s="1">
        <v>2.0</v>
      </c>
      <c r="E769" s="1">
        <v>3.0</v>
      </c>
      <c r="F769" s="1" t="s">
        <v>1290</v>
      </c>
      <c r="G769" s="218">
        <v>45213.5</v>
      </c>
      <c r="H769" s="1" t="s">
        <v>59</v>
      </c>
      <c r="I769" s="1" t="s">
        <v>92</v>
      </c>
      <c r="J769" s="219">
        <v>34.5</v>
      </c>
      <c r="K769" s="219">
        <v>34.5</v>
      </c>
      <c r="L769" s="219">
        <v>2400.0</v>
      </c>
      <c r="M769" s="219" t="s">
        <v>874</v>
      </c>
      <c r="N769" s="1">
        <v>104.0</v>
      </c>
      <c r="O769" s="1">
        <v>122.0</v>
      </c>
      <c r="P769" s="1">
        <v>1.0</v>
      </c>
      <c r="Q769" s="1" t="b">
        <v>1</v>
      </c>
      <c r="R769" s="1">
        <v>100.0</v>
      </c>
      <c r="S769" s="1" t="s">
        <v>282</v>
      </c>
      <c r="T769" s="1" t="s">
        <v>422</v>
      </c>
      <c r="U769" s="1"/>
    </row>
    <row r="770">
      <c r="A770" s="218">
        <v>45208.92763155093</v>
      </c>
      <c r="B770" s="1" t="s">
        <v>70</v>
      </c>
      <c r="C770" s="1" t="s">
        <v>197</v>
      </c>
      <c r="D770" s="1">
        <v>1.0</v>
      </c>
      <c r="E770" s="1">
        <v>5.0</v>
      </c>
      <c r="F770" s="1"/>
      <c r="G770" s="218"/>
      <c r="H770" s="1"/>
      <c r="I770" s="1"/>
      <c r="J770" s="219"/>
      <c r="K770" s="219"/>
      <c r="L770" s="219"/>
      <c r="M770" s="219"/>
      <c r="N770" s="1">
        <v>142.0</v>
      </c>
      <c r="O770" s="1">
        <v>212.0</v>
      </c>
      <c r="P770" s="1">
        <v>3.0</v>
      </c>
      <c r="Q770" s="1" t="b">
        <v>0</v>
      </c>
      <c r="R770" s="1">
        <v>100.0</v>
      </c>
      <c r="S770" s="1" t="s">
        <v>355</v>
      </c>
      <c r="T770" s="1" t="s">
        <v>423</v>
      </c>
      <c r="U770" s="1"/>
    </row>
    <row r="771">
      <c r="A771" s="218">
        <v>45208.92763155093</v>
      </c>
      <c r="B771" s="1" t="s">
        <v>70</v>
      </c>
      <c r="C771" s="1" t="s">
        <v>191</v>
      </c>
      <c r="D771" s="1">
        <v>4.0</v>
      </c>
      <c r="E771" s="1">
        <v>2.0</v>
      </c>
      <c r="F771" s="1"/>
      <c r="G771" s="218"/>
      <c r="H771" s="1"/>
      <c r="I771" s="1"/>
      <c r="J771" s="219"/>
      <c r="K771" s="219"/>
      <c r="L771" s="219"/>
      <c r="M771" s="219"/>
      <c r="N771" s="1">
        <v>193.0</v>
      </c>
      <c r="O771" s="1">
        <v>116.0</v>
      </c>
      <c r="P771" s="1">
        <v>3.0</v>
      </c>
      <c r="Q771" s="1" t="b">
        <v>1</v>
      </c>
      <c r="R771" s="1">
        <v>100.0</v>
      </c>
      <c r="S771" s="1" t="s">
        <v>301</v>
      </c>
      <c r="T771" s="1" t="s">
        <v>422</v>
      </c>
      <c r="U771" s="1"/>
    </row>
    <row r="772">
      <c r="A772" s="218">
        <v>45208.92763155093</v>
      </c>
      <c r="B772" s="1"/>
      <c r="C772" s="1"/>
      <c r="D772" s="1"/>
      <c r="E772" s="1"/>
      <c r="F772" s="1"/>
      <c r="G772" s="218"/>
      <c r="H772" s="1"/>
      <c r="I772" s="1"/>
      <c r="J772" s="219"/>
      <c r="K772" s="219"/>
      <c r="L772" s="219"/>
      <c r="M772" s="219"/>
      <c r="N772" s="1"/>
      <c r="O772" s="1"/>
      <c r="P772" s="1"/>
      <c r="Q772" s="1"/>
      <c r="R772" s="1"/>
      <c r="S772" s="1" t="e">
        <v>#N/A</v>
      </c>
      <c r="T772" s="1" t="e">
        <v>#N/A</v>
      </c>
      <c r="U772" s="1"/>
    </row>
    <row r="773">
      <c r="A773" s="218">
        <v>45208.92763155093</v>
      </c>
      <c r="B773" s="1" t="s">
        <v>57</v>
      </c>
      <c r="C773" s="1" t="s">
        <v>206</v>
      </c>
      <c r="D773" s="1">
        <v>2.0</v>
      </c>
      <c r="E773" s="1">
        <v>3.0</v>
      </c>
      <c r="F773" s="1" t="s">
        <v>1246</v>
      </c>
      <c r="G773" s="218">
        <v>45209.8125</v>
      </c>
      <c r="H773" s="1" t="s">
        <v>35</v>
      </c>
      <c r="I773" s="1" t="s">
        <v>36</v>
      </c>
      <c r="J773" s="219"/>
      <c r="K773" s="219"/>
      <c r="L773" s="219"/>
      <c r="M773" s="219"/>
      <c r="N773" s="1">
        <v>154.0</v>
      </c>
      <c r="O773" s="1">
        <v>118.0</v>
      </c>
      <c r="P773" s="1">
        <v>1.0</v>
      </c>
      <c r="Q773" s="1" t="b">
        <v>1</v>
      </c>
      <c r="R773" s="1">
        <v>100.0</v>
      </c>
      <c r="S773" s="1" t="s">
        <v>355</v>
      </c>
      <c r="T773" s="1" t="s">
        <v>423</v>
      </c>
      <c r="U773" s="1"/>
    </row>
    <row r="774">
      <c r="A774" s="218">
        <v>45208.92763155093</v>
      </c>
      <c r="B774" s="1" t="s">
        <v>57</v>
      </c>
      <c r="C774" s="1" t="s">
        <v>201</v>
      </c>
      <c r="D774" s="1">
        <v>3.0</v>
      </c>
      <c r="E774" s="1">
        <v>3.0</v>
      </c>
      <c r="F774" s="1" t="s">
        <v>1247</v>
      </c>
      <c r="G774" s="218">
        <v>45210.875</v>
      </c>
      <c r="H774" s="1" t="s">
        <v>35</v>
      </c>
      <c r="I774" s="1" t="s">
        <v>99</v>
      </c>
      <c r="J774" s="219">
        <v>-2.5</v>
      </c>
      <c r="K774" s="219">
        <v>-4.5</v>
      </c>
      <c r="L774" s="219">
        <v>168.0</v>
      </c>
      <c r="M774" s="219" t="s">
        <v>122</v>
      </c>
      <c r="N774" s="1">
        <v>183.0</v>
      </c>
      <c r="O774" s="1">
        <v>149.0</v>
      </c>
      <c r="P774" s="1">
        <v>1.0</v>
      </c>
      <c r="Q774" s="1" t="b">
        <v>1</v>
      </c>
      <c r="R774" s="1">
        <v>100.0</v>
      </c>
      <c r="S774" s="1" t="s">
        <v>351</v>
      </c>
      <c r="T774" s="1" t="s">
        <v>423</v>
      </c>
      <c r="U774" s="1"/>
    </row>
    <row r="775">
      <c r="A775" s="218">
        <v>45208.92763155093</v>
      </c>
      <c r="B775" s="1" t="s">
        <v>57</v>
      </c>
      <c r="C775" s="1" t="s">
        <v>210</v>
      </c>
      <c r="D775" s="1">
        <v>2.0</v>
      </c>
      <c r="E775" s="1">
        <v>3.0</v>
      </c>
      <c r="F775" s="1" t="s">
        <v>1291</v>
      </c>
      <c r="G775" s="218">
        <v>45211.79166666667</v>
      </c>
      <c r="H775" s="1"/>
      <c r="I775" s="1" t="s">
        <v>96</v>
      </c>
      <c r="J775" s="219">
        <v>3.5</v>
      </c>
      <c r="K775" s="219">
        <v>2.5</v>
      </c>
      <c r="L775" s="219">
        <v>-137.0</v>
      </c>
      <c r="M775" s="219" t="s">
        <v>73</v>
      </c>
      <c r="N775" s="1">
        <v>137.0</v>
      </c>
      <c r="O775" s="1">
        <v>149.0</v>
      </c>
      <c r="P775" s="1">
        <v>1.0</v>
      </c>
      <c r="Q775" s="1" t="b">
        <v>0</v>
      </c>
      <c r="R775" s="1">
        <v>100.0</v>
      </c>
      <c r="S775" s="1" t="s">
        <v>296</v>
      </c>
      <c r="T775" s="1" t="s">
        <v>422</v>
      </c>
      <c r="U775" s="1"/>
    </row>
    <row r="776">
      <c r="A776" s="218">
        <v>45208.92763155093</v>
      </c>
      <c r="B776" s="1" t="s">
        <v>57</v>
      </c>
      <c r="C776" s="1" t="s">
        <v>208</v>
      </c>
      <c r="D776" s="1">
        <v>3.0</v>
      </c>
      <c r="E776" s="1">
        <v>2.0</v>
      </c>
      <c r="F776" s="1" t="s">
        <v>1259</v>
      </c>
      <c r="G776" s="218">
        <v>45213.64583333333</v>
      </c>
      <c r="H776" s="1" t="s">
        <v>58</v>
      </c>
      <c r="I776" s="1" t="s">
        <v>900</v>
      </c>
      <c r="J776" s="219">
        <v>0.5</v>
      </c>
      <c r="K776" s="219">
        <v>-1.5</v>
      </c>
      <c r="L776" s="219">
        <v>-113.0</v>
      </c>
      <c r="M776" s="219" t="s">
        <v>854</v>
      </c>
      <c r="N776" s="1">
        <v>128.0</v>
      </c>
      <c r="O776" s="1">
        <v>108.0</v>
      </c>
      <c r="P776" s="1">
        <v>1.0</v>
      </c>
      <c r="Q776" s="1" t="b">
        <v>0</v>
      </c>
      <c r="R776" s="1">
        <v>100.0</v>
      </c>
      <c r="S776" s="1" t="s">
        <v>301</v>
      </c>
      <c r="T776" s="1" t="s">
        <v>422</v>
      </c>
      <c r="U776" s="1"/>
    </row>
    <row r="777">
      <c r="A777" s="218">
        <v>45208.92763155093</v>
      </c>
      <c r="B777" s="1" t="s">
        <v>57</v>
      </c>
      <c r="C777" s="1" t="s">
        <v>214</v>
      </c>
      <c r="D777" s="1">
        <v>5.0</v>
      </c>
      <c r="E777" s="1">
        <v>1.0</v>
      </c>
      <c r="F777" s="1" t="s">
        <v>1260</v>
      </c>
      <c r="G777" s="218">
        <v>45213.66666666667</v>
      </c>
      <c r="H777" s="1" t="s">
        <v>58</v>
      </c>
      <c r="I777" s="1" t="s">
        <v>40</v>
      </c>
      <c r="J777" s="219">
        <v>-6.5</v>
      </c>
      <c r="K777" s="219">
        <v>-6.5</v>
      </c>
      <c r="L777" s="219">
        <v>-300.0</v>
      </c>
      <c r="M777" s="219" t="s">
        <v>906</v>
      </c>
      <c r="N777" s="1">
        <v>147.0</v>
      </c>
      <c r="O777" s="1">
        <v>71.0</v>
      </c>
      <c r="P777" s="1">
        <v>1.0</v>
      </c>
      <c r="Q777" s="1" t="b">
        <v>1</v>
      </c>
      <c r="R777" s="1">
        <v>100.0</v>
      </c>
      <c r="S777" s="1" t="s">
        <v>352</v>
      </c>
      <c r="T777" s="1" t="s">
        <v>423</v>
      </c>
      <c r="U777" s="1"/>
    </row>
    <row r="778">
      <c r="A778" s="218">
        <v>45208.92763155093</v>
      </c>
      <c r="B778" s="1" t="s">
        <v>57</v>
      </c>
      <c r="C778" s="1" t="s">
        <v>202</v>
      </c>
      <c r="D778" s="1">
        <v>4.0</v>
      </c>
      <c r="E778" s="1">
        <v>1.0</v>
      </c>
      <c r="F778" s="1" t="s">
        <v>1292</v>
      </c>
      <c r="G778" s="218">
        <v>45213.70833333333</v>
      </c>
      <c r="H778" s="1" t="s">
        <v>125</v>
      </c>
      <c r="I778" s="1" t="s">
        <v>1185</v>
      </c>
      <c r="J778" s="219">
        <v>-9.5</v>
      </c>
      <c r="K778" s="219">
        <v>-9.5</v>
      </c>
      <c r="L778" s="219">
        <v>-360.0</v>
      </c>
      <c r="M778" s="219" t="s">
        <v>840</v>
      </c>
      <c r="N778" s="1">
        <v>180.0</v>
      </c>
      <c r="O778" s="1">
        <v>134.0</v>
      </c>
      <c r="P778" s="1">
        <v>1.0</v>
      </c>
      <c r="Q778" s="1" t="b">
        <v>1</v>
      </c>
      <c r="R778" s="1">
        <v>100.0</v>
      </c>
      <c r="S778" s="1" t="s">
        <v>353</v>
      </c>
      <c r="T778" s="1" t="s">
        <v>423</v>
      </c>
      <c r="U778" s="1"/>
    </row>
    <row r="779">
      <c r="A779" s="218">
        <v>45208.92763155093</v>
      </c>
      <c r="B779" s="1" t="s">
        <v>57</v>
      </c>
      <c r="C779" s="1" t="s">
        <v>204</v>
      </c>
      <c r="D779" s="1">
        <v>6.0</v>
      </c>
      <c r="E779" s="1">
        <v>0.0</v>
      </c>
      <c r="F779" s="1" t="s">
        <v>1271</v>
      </c>
      <c r="G779" s="218">
        <v>45213.8125</v>
      </c>
      <c r="H779" s="1" t="s">
        <v>56</v>
      </c>
      <c r="I779" s="1" t="s">
        <v>90</v>
      </c>
      <c r="J779" s="219">
        <v>1.0</v>
      </c>
      <c r="K779" s="219">
        <v>2.5</v>
      </c>
      <c r="L779" s="219">
        <v>110.0</v>
      </c>
      <c r="M779" s="219" t="s">
        <v>994</v>
      </c>
      <c r="N779" s="1">
        <v>311.0</v>
      </c>
      <c r="O779" s="1">
        <v>162.0</v>
      </c>
      <c r="P779" s="1">
        <v>1.0</v>
      </c>
      <c r="Q779" s="1" t="b">
        <v>0</v>
      </c>
      <c r="R779" s="1">
        <v>100.0</v>
      </c>
      <c r="S779" s="1" t="s">
        <v>354</v>
      </c>
      <c r="T779" s="1" t="s">
        <v>422</v>
      </c>
      <c r="U779" s="1"/>
    </row>
    <row r="780">
      <c r="A780" s="218">
        <v>45208.92763155093</v>
      </c>
      <c r="B780" s="1" t="s">
        <v>57</v>
      </c>
      <c r="C780" s="1" t="s">
        <v>213</v>
      </c>
      <c r="D780" s="1">
        <v>2.0</v>
      </c>
      <c r="E780" s="1">
        <v>4.0</v>
      </c>
      <c r="F780" s="1" t="s">
        <v>1279</v>
      </c>
      <c r="G780" s="218">
        <v>45213.5</v>
      </c>
      <c r="H780" s="1" t="s">
        <v>60</v>
      </c>
      <c r="I780" s="1" t="s">
        <v>76</v>
      </c>
      <c r="J780" s="219">
        <v>17.5</v>
      </c>
      <c r="K780" s="219">
        <v>20.5</v>
      </c>
      <c r="L780" s="219">
        <v>860.0</v>
      </c>
      <c r="M780" s="219" t="s">
        <v>854</v>
      </c>
      <c r="N780" s="1">
        <v>188.0</v>
      </c>
      <c r="O780" s="1">
        <v>152.0</v>
      </c>
      <c r="P780" s="1">
        <v>1.0</v>
      </c>
      <c r="Q780" s="1" t="b">
        <v>0</v>
      </c>
      <c r="R780" s="1">
        <v>100.0</v>
      </c>
      <c r="S780" s="1" t="s">
        <v>292</v>
      </c>
      <c r="T780" s="1" t="s">
        <v>422</v>
      </c>
      <c r="U780" s="1"/>
    </row>
    <row r="781">
      <c r="A781" s="218">
        <v>45208.92763155093</v>
      </c>
      <c r="B781" s="1" t="s">
        <v>57</v>
      </c>
      <c r="C781" s="1" t="s">
        <v>200</v>
      </c>
      <c r="D781" s="1">
        <v>5.0</v>
      </c>
      <c r="E781" s="1">
        <v>0.0</v>
      </c>
      <c r="F781" s="1" t="s">
        <v>1293</v>
      </c>
      <c r="G781" s="218">
        <v>45213.5</v>
      </c>
      <c r="H781" s="1" t="s">
        <v>67</v>
      </c>
      <c r="I781" s="1" t="s">
        <v>958</v>
      </c>
      <c r="J781" s="219">
        <v>-20.5</v>
      </c>
      <c r="K781" s="219">
        <v>-19.5</v>
      </c>
      <c r="L781" s="219">
        <v>-1450.0</v>
      </c>
      <c r="M781" s="219" t="s">
        <v>845</v>
      </c>
      <c r="N781" s="1">
        <v>175.0</v>
      </c>
      <c r="O781" s="1">
        <v>51.0</v>
      </c>
      <c r="P781" s="1">
        <v>1.0</v>
      </c>
      <c r="Q781" s="1" t="b">
        <v>1</v>
      </c>
      <c r="R781" s="1">
        <v>100.0</v>
      </c>
      <c r="S781" s="1" t="s">
        <v>282</v>
      </c>
      <c r="T781" s="1" t="s">
        <v>422</v>
      </c>
      <c r="U781" s="1"/>
    </row>
    <row r="782">
      <c r="A782" s="218">
        <v>45208.92763155093</v>
      </c>
      <c r="B782" s="1" t="s">
        <v>57</v>
      </c>
      <c r="C782" s="1" t="s">
        <v>207</v>
      </c>
      <c r="D782" s="1">
        <v>3.0</v>
      </c>
      <c r="E782" s="1">
        <v>3.0</v>
      </c>
      <c r="F782" s="1"/>
      <c r="G782" s="218"/>
      <c r="H782" s="1"/>
      <c r="I782" s="1"/>
      <c r="J782" s="219"/>
      <c r="K782" s="219"/>
      <c r="L782" s="219"/>
      <c r="M782" s="219"/>
      <c r="N782" s="1">
        <v>156.0</v>
      </c>
      <c r="O782" s="1">
        <v>176.0</v>
      </c>
      <c r="P782" s="1">
        <v>3.0</v>
      </c>
      <c r="Q782" s="1" t="b">
        <v>1</v>
      </c>
      <c r="R782" s="1">
        <v>100.0</v>
      </c>
      <c r="S782" s="1" t="s">
        <v>407</v>
      </c>
      <c r="T782" s="1" t="s">
        <v>423</v>
      </c>
      <c r="U782" s="1"/>
    </row>
    <row r="783">
      <c r="A783" s="218">
        <v>45208.92763155093</v>
      </c>
      <c r="B783" s="1"/>
      <c r="C783" s="1"/>
      <c r="D783" s="1"/>
      <c r="E783" s="1"/>
      <c r="F783" s="1"/>
      <c r="G783" s="218"/>
      <c r="H783" s="1"/>
      <c r="I783" s="1"/>
      <c r="J783" s="219"/>
      <c r="K783" s="219"/>
      <c r="L783" s="219"/>
      <c r="M783" s="219"/>
      <c r="N783" s="1"/>
      <c r="O783" s="1"/>
      <c r="P783" s="1"/>
      <c r="Q783" s="1"/>
      <c r="R783" s="1"/>
      <c r="S783" s="1" t="e">
        <v>#N/A</v>
      </c>
      <c r="T783" s="1" t="e">
        <v>#N/A</v>
      </c>
      <c r="U783" s="1"/>
    </row>
    <row r="784">
      <c r="A784" s="218">
        <v>45208.92763155093</v>
      </c>
      <c r="B784" s="1" t="s">
        <v>67</v>
      </c>
      <c r="C784" s="1" t="s">
        <v>220</v>
      </c>
      <c r="D784" s="1">
        <v>3.0</v>
      </c>
      <c r="E784" s="1">
        <v>3.0</v>
      </c>
      <c r="F784" s="1" t="s">
        <v>1284</v>
      </c>
      <c r="G784" s="218">
        <v>45210.8125</v>
      </c>
      <c r="H784" s="1" t="s">
        <v>70</v>
      </c>
      <c r="I784" s="1"/>
      <c r="J784" s="219"/>
      <c r="K784" s="219"/>
      <c r="L784" s="219"/>
      <c r="M784" s="219"/>
      <c r="N784" s="1">
        <v>124.0</v>
      </c>
      <c r="O784" s="1">
        <v>162.0</v>
      </c>
      <c r="P784" s="1">
        <v>1.0</v>
      </c>
      <c r="Q784" s="1" t="b">
        <v>0</v>
      </c>
      <c r="R784" s="1">
        <v>100.0</v>
      </c>
      <c r="S784" s="1" t="s">
        <v>351</v>
      </c>
      <c r="T784" s="1" t="s">
        <v>423</v>
      </c>
      <c r="U784" s="1"/>
    </row>
    <row r="785">
      <c r="A785" s="218">
        <v>45208.92763155093</v>
      </c>
      <c r="B785" s="1" t="s">
        <v>67</v>
      </c>
      <c r="C785" s="1" t="s">
        <v>223</v>
      </c>
      <c r="D785" s="1">
        <v>3.0</v>
      </c>
      <c r="E785" s="1">
        <v>3.0</v>
      </c>
      <c r="F785" s="1" t="s">
        <v>1258</v>
      </c>
      <c r="G785" s="218">
        <v>45213.64583333333</v>
      </c>
      <c r="H785" s="1" t="s">
        <v>58</v>
      </c>
      <c r="I785" s="1" t="s">
        <v>76</v>
      </c>
      <c r="J785" s="219">
        <v>-5.5</v>
      </c>
      <c r="K785" s="219">
        <v>-4.5</v>
      </c>
      <c r="L785" s="219">
        <v>150.0</v>
      </c>
      <c r="M785" s="219" t="s">
        <v>73</v>
      </c>
      <c r="N785" s="1">
        <v>188.0</v>
      </c>
      <c r="O785" s="1">
        <v>132.0</v>
      </c>
      <c r="P785" s="1">
        <v>1.0</v>
      </c>
      <c r="Q785" s="1" t="b">
        <v>1</v>
      </c>
      <c r="R785" s="1">
        <v>100.0</v>
      </c>
      <c r="S785" s="1" t="s">
        <v>296</v>
      </c>
      <c r="T785" s="1" t="s">
        <v>422</v>
      </c>
      <c r="U785" s="1"/>
    </row>
    <row r="786">
      <c r="A786" s="218">
        <v>45208.92763155093</v>
      </c>
      <c r="B786" s="1" t="s">
        <v>67</v>
      </c>
      <c r="C786" s="1" t="s">
        <v>226</v>
      </c>
      <c r="D786" s="1">
        <v>2.0</v>
      </c>
      <c r="E786" s="1">
        <v>4.0</v>
      </c>
      <c r="F786" s="1" t="s">
        <v>1287</v>
      </c>
      <c r="G786" s="218">
        <v>45213.64583333333</v>
      </c>
      <c r="H786" s="1" t="s">
        <v>70</v>
      </c>
      <c r="I786" s="1" t="s">
        <v>935</v>
      </c>
      <c r="J786" s="219">
        <v>5.5</v>
      </c>
      <c r="K786" s="219">
        <v>5.5</v>
      </c>
      <c r="L786" s="219">
        <v>190.0</v>
      </c>
      <c r="M786" s="219" t="s">
        <v>874</v>
      </c>
      <c r="N786" s="1">
        <v>113.0</v>
      </c>
      <c r="O786" s="1">
        <v>172.0</v>
      </c>
      <c r="P786" s="1">
        <v>1.0</v>
      </c>
      <c r="Q786" s="1" t="b">
        <v>0</v>
      </c>
      <c r="R786" s="1">
        <v>100.0</v>
      </c>
      <c r="S786" s="1" t="s">
        <v>352</v>
      </c>
      <c r="T786" s="1" t="s">
        <v>423</v>
      </c>
      <c r="U786" s="1"/>
    </row>
    <row r="787">
      <c r="A787" s="218">
        <v>45208.92763155093</v>
      </c>
      <c r="B787" s="1" t="s">
        <v>67</v>
      </c>
      <c r="C787" s="1" t="s">
        <v>218</v>
      </c>
      <c r="D787" s="1">
        <v>2.0</v>
      </c>
      <c r="E787" s="1">
        <v>3.0</v>
      </c>
      <c r="F787" s="1" t="s">
        <v>1270</v>
      </c>
      <c r="G787" s="218">
        <v>45213.79166666667</v>
      </c>
      <c r="H787" s="1" t="s">
        <v>56</v>
      </c>
      <c r="I787" s="1" t="s">
        <v>935</v>
      </c>
      <c r="J787" s="219">
        <v>15.5</v>
      </c>
      <c r="K787" s="219">
        <v>15.5</v>
      </c>
      <c r="L787" s="219">
        <v>500.0</v>
      </c>
      <c r="M787" s="219" t="s">
        <v>971</v>
      </c>
      <c r="N787" s="1">
        <v>91.0</v>
      </c>
      <c r="O787" s="1">
        <v>170.0</v>
      </c>
      <c r="P787" s="1">
        <v>1.0</v>
      </c>
      <c r="Q787" s="1" t="b">
        <v>1</v>
      </c>
      <c r="R787" s="1">
        <v>100.0</v>
      </c>
      <c r="S787" s="1" t="s">
        <v>353</v>
      </c>
      <c r="T787" s="1" t="s">
        <v>423</v>
      </c>
      <c r="U787" s="1"/>
    </row>
    <row r="788">
      <c r="A788" s="218">
        <v>45208.92763155093</v>
      </c>
      <c r="B788" s="1" t="s">
        <v>67</v>
      </c>
      <c r="C788" s="1" t="s">
        <v>217</v>
      </c>
      <c r="D788" s="1">
        <v>3.0</v>
      </c>
      <c r="E788" s="1">
        <v>3.0</v>
      </c>
      <c r="F788" s="1" t="s">
        <v>1294</v>
      </c>
      <c r="G788" s="218">
        <v>45213.79166666667</v>
      </c>
      <c r="H788" s="1" t="s">
        <v>125</v>
      </c>
      <c r="I788" s="1" t="s">
        <v>287</v>
      </c>
      <c r="J788" s="219">
        <v>10.5</v>
      </c>
      <c r="K788" s="219">
        <v>9.5</v>
      </c>
      <c r="L788" s="219">
        <v>275.0</v>
      </c>
      <c r="M788" s="219" t="s">
        <v>971</v>
      </c>
      <c r="N788" s="1">
        <v>179.0</v>
      </c>
      <c r="O788" s="1">
        <v>138.0</v>
      </c>
      <c r="P788" s="1">
        <v>1.0</v>
      </c>
      <c r="Q788" s="1" t="b">
        <v>0</v>
      </c>
      <c r="R788" s="1">
        <v>100.0</v>
      </c>
      <c r="S788" s="1" t="s">
        <v>354</v>
      </c>
      <c r="T788" s="1" t="s">
        <v>422</v>
      </c>
      <c r="U788" s="1"/>
    </row>
    <row r="789">
      <c r="A789" s="218">
        <v>45208.92763155093</v>
      </c>
      <c r="B789" s="1" t="s">
        <v>67</v>
      </c>
      <c r="C789" s="1" t="s">
        <v>216</v>
      </c>
      <c r="D789" s="1">
        <v>5.0</v>
      </c>
      <c r="E789" s="1">
        <v>0.0</v>
      </c>
      <c r="F789" s="1" t="s">
        <v>1251</v>
      </c>
      <c r="G789" s="218">
        <v>45213.8125</v>
      </c>
      <c r="H789" s="1" t="s">
        <v>35</v>
      </c>
      <c r="I789" s="1" t="s">
        <v>82</v>
      </c>
      <c r="J789" s="219">
        <v>-3.5</v>
      </c>
      <c r="K789" s="219">
        <v>-3.5</v>
      </c>
      <c r="L789" s="219">
        <v>150.0</v>
      </c>
      <c r="M789" s="219" t="s">
        <v>104</v>
      </c>
      <c r="N789" s="1">
        <v>183.0</v>
      </c>
      <c r="O789" s="1">
        <v>95.0</v>
      </c>
      <c r="P789" s="1">
        <v>1.0</v>
      </c>
      <c r="Q789" s="1" t="b">
        <v>0</v>
      </c>
      <c r="R789" s="1">
        <v>100.0</v>
      </c>
      <c r="S789" s="1" t="s">
        <v>301</v>
      </c>
      <c r="T789" s="1" t="s">
        <v>422</v>
      </c>
      <c r="U789" s="1"/>
    </row>
    <row r="790">
      <c r="A790" s="218">
        <v>45208.92763155093</v>
      </c>
      <c r="B790" s="1" t="s">
        <v>67</v>
      </c>
      <c r="C790" s="1" t="s">
        <v>222</v>
      </c>
      <c r="D790" s="1">
        <v>2.0</v>
      </c>
      <c r="E790" s="1">
        <v>4.0</v>
      </c>
      <c r="F790" s="1" t="s">
        <v>1293</v>
      </c>
      <c r="G790" s="218">
        <v>45213.5</v>
      </c>
      <c r="H790" s="1" t="s">
        <v>57</v>
      </c>
      <c r="I790" s="1" t="s">
        <v>958</v>
      </c>
      <c r="J790" s="219">
        <v>20.5</v>
      </c>
      <c r="K790" s="219">
        <v>19.5</v>
      </c>
      <c r="L790" s="219">
        <v>-1450.0</v>
      </c>
      <c r="M790" s="219" t="s">
        <v>845</v>
      </c>
      <c r="N790" s="1">
        <v>154.0</v>
      </c>
      <c r="O790" s="1">
        <v>168.0</v>
      </c>
      <c r="P790" s="1">
        <v>1.0</v>
      </c>
      <c r="Q790" s="1" t="b">
        <v>0</v>
      </c>
      <c r="R790" s="1">
        <v>100.0</v>
      </c>
      <c r="S790" s="1" t="s">
        <v>282</v>
      </c>
      <c r="T790" s="1" t="s">
        <v>422</v>
      </c>
      <c r="U790" s="1"/>
    </row>
    <row r="791">
      <c r="A791" s="218">
        <v>45208.92763155093</v>
      </c>
      <c r="B791" s="1" t="s">
        <v>67</v>
      </c>
      <c r="C791" s="1" t="s">
        <v>221</v>
      </c>
      <c r="D791" s="1">
        <v>2.0</v>
      </c>
      <c r="E791" s="1">
        <v>3.0</v>
      </c>
      <c r="F791" s="1" t="s">
        <v>1255</v>
      </c>
      <c r="G791" s="218">
        <v>45213.5</v>
      </c>
      <c r="H791" s="1" t="s">
        <v>35</v>
      </c>
      <c r="I791" s="1" t="s">
        <v>40</v>
      </c>
      <c r="J791" s="219">
        <v>-8.5</v>
      </c>
      <c r="K791" s="219">
        <v>-7.0</v>
      </c>
      <c r="L791" s="219">
        <v>240.0</v>
      </c>
      <c r="M791" s="219" t="s">
        <v>917</v>
      </c>
      <c r="N791" s="1">
        <v>169.0</v>
      </c>
      <c r="O791" s="1">
        <v>199.0</v>
      </c>
      <c r="P791" s="1">
        <v>1.0</v>
      </c>
      <c r="Q791" s="1" t="b">
        <v>1</v>
      </c>
      <c r="R791" s="1">
        <v>100.0</v>
      </c>
      <c r="S791" s="1" t="s">
        <v>407</v>
      </c>
      <c r="T791" s="1" t="s">
        <v>423</v>
      </c>
      <c r="U791" s="1"/>
    </row>
    <row r="792">
      <c r="A792" s="218">
        <v>45208.92763155093</v>
      </c>
      <c r="B792" s="1" t="s">
        <v>67</v>
      </c>
      <c r="C792" s="1" t="s">
        <v>225</v>
      </c>
      <c r="D792" s="1">
        <v>5.0</v>
      </c>
      <c r="E792" s="1">
        <v>1.0</v>
      </c>
      <c r="F792" s="1"/>
      <c r="G792" s="218"/>
      <c r="H792" s="1"/>
      <c r="I792" s="1"/>
      <c r="J792" s="219"/>
      <c r="K792" s="219"/>
      <c r="L792" s="219"/>
      <c r="M792" s="219"/>
      <c r="N792" s="1">
        <v>250.0</v>
      </c>
      <c r="O792" s="1">
        <v>143.0</v>
      </c>
      <c r="P792" s="1">
        <v>3.0</v>
      </c>
      <c r="Q792" s="1" t="b">
        <v>1</v>
      </c>
      <c r="R792" s="1">
        <v>100.0</v>
      </c>
      <c r="S792" s="1" t="s">
        <v>292</v>
      </c>
      <c r="T792" s="1" t="s">
        <v>422</v>
      </c>
      <c r="U792" s="1"/>
    </row>
    <row r="793">
      <c r="A793" s="218">
        <v>45208.92763155093</v>
      </c>
      <c r="B793" s="1" t="s">
        <v>67</v>
      </c>
      <c r="C793" s="1" t="s">
        <v>205</v>
      </c>
      <c r="D793" s="1">
        <v>3.0</v>
      </c>
      <c r="E793" s="1">
        <v>3.0</v>
      </c>
      <c r="F793" s="1"/>
      <c r="G793" s="218"/>
      <c r="H793" s="1"/>
      <c r="I793" s="1"/>
      <c r="J793" s="219"/>
      <c r="K793" s="219"/>
      <c r="L793" s="219"/>
      <c r="M793" s="219"/>
      <c r="N793" s="1">
        <v>193.0</v>
      </c>
      <c r="O793" s="1">
        <v>133.0</v>
      </c>
      <c r="P793" s="1">
        <v>3.0</v>
      </c>
      <c r="Q793" s="1" t="b">
        <v>1</v>
      </c>
      <c r="R793" s="1">
        <v>100.0</v>
      </c>
      <c r="S793" s="1" t="s">
        <v>355</v>
      </c>
      <c r="T793" s="1" t="s">
        <v>423</v>
      </c>
      <c r="U793" s="1"/>
    </row>
    <row r="794">
      <c r="A794" s="218">
        <v>45208.92763155093</v>
      </c>
      <c r="B794" s="1"/>
      <c r="C794" s="1"/>
      <c r="D794" s="1"/>
      <c r="E794" s="1"/>
      <c r="F794" s="1"/>
      <c r="G794" s="218"/>
      <c r="H794" s="1"/>
      <c r="I794" s="1"/>
      <c r="J794" s="219"/>
      <c r="K794" s="219"/>
      <c r="L794" s="219"/>
      <c r="M794" s="219"/>
      <c r="N794" s="1"/>
      <c r="O794" s="1"/>
      <c r="P794" s="1"/>
      <c r="Q794" s="1"/>
      <c r="R794" s="1"/>
      <c r="S794" s="1" t="e">
        <v>#N/A</v>
      </c>
      <c r="T794" s="1" t="e">
        <v>#N/A</v>
      </c>
      <c r="U794" s="1"/>
    </row>
    <row r="795">
      <c r="A795" s="218">
        <v>45208.92763155093</v>
      </c>
      <c r="B795" s="1" t="s">
        <v>59</v>
      </c>
      <c r="C795" s="1" t="s">
        <v>234</v>
      </c>
      <c r="D795" s="1">
        <v>2.0</v>
      </c>
      <c r="E795" s="1">
        <v>3.0</v>
      </c>
      <c r="F795" s="1" t="s">
        <v>1295</v>
      </c>
      <c r="G795" s="218">
        <v>45213.58333333333</v>
      </c>
      <c r="H795" s="1" t="s">
        <v>69</v>
      </c>
      <c r="I795" s="1" t="s">
        <v>935</v>
      </c>
      <c r="J795" s="219">
        <v>-3.5</v>
      </c>
      <c r="K795" s="219">
        <v>-3.5</v>
      </c>
      <c r="L795" s="219">
        <v>-178.0</v>
      </c>
      <c r="M795" s="219" t="s">
        <v>852</v>
      </c>
      <c r="N795" s="1">
        <v>108.0</v>
      </c>
      <c r="O795" s="1">
        <v>138.0</v>
      </c>
      <c r="P795" s="1">
        <v>1.0</v>
      </c>
      <c r="Q795" s="1" t="b">
        <v>0</v>
      </c>
      <c r="R795" s="1">
        <v>100.0</v>
      </c>
      <c r="S795" s="1" t="s">
        <v>407</v>
      </c>
      <c r="T795" s="1" t="s">
        <v>423</v>
      </c>
      <c r="U795" s="1"/>
    </row>
    <row r="796">
      <c r="A796" s="218">
        <v>45208.92763155093</v>
      </c>
      <c r="B796" s="1" t="s">
        <v>59</v>
      </c>
      <c r="C796" s="1" t="s">
        <v>231</v>
      </c>
      <c r="D796" s="1">
        <v>4.0</v>
      </c>
      <c r="E796" s="1">
        <v>1.0</v>
      </c>
      <c r="F796" s="1" t="s">
        <v>1296</v>
      </c>
      <c r="G796" s="218">
        <v>45213.625</v>
      </c>
      <c r="H796" s="1" t="s">
        <v>69</v>
      </c>
      <c r="I796" s="1" t="s">
        <v>287</v>
      </c>
      <c r="J796" s="219">
        <v>-13.5</v>
      </c>
      <c r="K796" s="219">
        <v>-13.5</v>
      </c>
      <c r="L796" s="219">
        <v>480.0</v>
      </c>
      <c r="M796" s="219" t="s">
        <v>852</v>
      </c>
      <c r="N796" s="1">
        <v>96.0</v>
      </c>
      <c r="O796" s="1">
        <v>59.0</v>
      </c>
      <c r="P796" s="1">
        <v>1.0</v>
      </c>
      <c r="Q796" s="1" t="b">
        <v>1</v>
      </c>
      <c r="R796" s="1">
        <v>100.0</v>
      </c>
      <c r="S796" s="1" t="s">
        <v>354</v>
      </c>
      <c r="T796" s="1" t="s">
        <v>422</v>
      </c>
      <c r="U796" s="1"/>
    </row>
    <row r="797">
      <c r="A797" s="218">
        <v>45208.92763155093</v>
      </c>
      <c r="B797" s="1" t="s">
        <v>59</v>
      </c>
      <c r="C797" s="1" t="s">
        <v>232</v>
      </c>
      <c r="D797" s="1">
        <v>4.0</v>
      </c>
      <c r="E797" s="1">
        <v>1.0</v>
      </c>
      <c r="F797" s="1" t="s">
        <v>1262</v>
      </c>
      <c r="G797" s="218">
        <v>45213.79166666667</v>
      </c>
      <c r="H797" s="1" t="s">
        <v>58</v>
      </c>
      <c r="I797" s="1" t="s">
        <v>36</v>
      </c>
      <c r="J797" s="219">
        <v>-1.5</v>
      </c>
      <c r="K797" s="219">
        <v>-1.5</v>
      </c>
      <c r="L797" s="219">
        <v>-102.0</v>
      </c>
      <c r="M797" s="219" t="s">
        <v>104</v>
      </c>
      <c r="N797" s="1">
        <v>155.0</v>
      </c>
      <c r="O797" s="1">
        <v>119.0</v>
      </c>
      <c r="P797" s="1">
        <v>1.0</v>
      </c>
      <c r="Q797" s="1" t="b">
        <v>0</v>
      </c>
      <c r="R797" s="1">
        <v>100.0</v>
      </c>
      <c r="S797" s="1" t="s">
        <v>355</v>
      </c>
      <c r="T797" s="1" t="s">
        <v>423</v>
      </c>
      <c r="U797" s="1"/>
    </row>
    <row r="798">
      <c r="A798" s="218">
        <v>45208.92763155093</v>
      </c>
      <c r="B798" s="1" t="s">
        <v>59</v>
      </c>
      <c r="C798" s="1" t="s">
        <v>237</v>
      </c>
      <c r="D798" s="1">
        <v>5.0</v>
      </c>
      <c r="E798" s="1">
        <v>1.0</v>
      </c>
      <c r="F798" s="1" t="s">
        <v>1288</v>
      </c>
      <c r="G798" s="218">
        <v>45213.8125</v>
      </c>
      <c r="H798" s="1" t="s">
        <v>70</v>
      </c>
      <c r="I798" s="1" t="s">
        <v>945</v>
      </c>
      <c r="J798" s="219">
        <v>2.5</v>
      </c>
      <c r="K798" s="219">
        <v>2.5</v>
      </c>
      <c r="L798" s="219">
        <v>112.0</v>
      </c>
      <c r="M798" s="219" t="s">
        <v>73</v>
      </c>
      <c r="N798" s="1">
        <v>199.0</v>
      </c>
      <c r="O798" s="1">
        <v>153.0</v>
      </c>
      <c r="P798" s="1">
        <v>1.0</v>
      </c>
      <c r="Q798" s="1" t="b">
        <v>1</v>
      </c>
      <c r="R798" s="1">
        <v>100.0</v>
      </c>
      <c r="S798" s="1" t="s">
        <v>292</v>
      </c>
      <c r="T798" s="1" t="s">
        <v>422</v>
      </c>
      <c r="U798" s="1"/>
    </row>
    <row r="799">
      <c r="A799" s="218">
        <v>45208.92763155093</v>
      </c>
      <c r="B799" s="1" t="s">
        <v>59</v>
      </c>
      <c r="C799" s="1" t="s">
        <v>227</v>
      </c>
      <c r="D799" s="1">
        <v>3.0</v>
      </c>
      <c r="E799" s="1">
        <v>3.0</v>
      </c>
      <c r="F799" s="1" t="s">
        <v>1264</v>
      </c>
      <c r="G799" s="218">
        <v>45213.90625</v>
      </c>
      <c r="H799" s="1" t="s">
        <v>58</v>
      </c>
      <c r="I799" s="1" t="s">
        <v>96</v>
      </c>
      <c r="J799" s="219">
        <v>-10.5</v>
      </c>
      <c r="K799" s="219">
        <v>-7.5</v>
      </c>
      <c r="L799" s="219">
        <v>-310.0</v>
      </c>
      <c r="M799" s="219" t="s">
        <v>971</v>
      </c>
      <c r="N799" s="1">
        <v>178.0</v>
      </c>
      <c r="O799" s="1">
        <v>185.0</v>
      </c>
      <c r="P799" s="1">
        <v>1.0</v>
      </c>
      <c r="Q799" s="1" t="b">
        <v>1</v>
      </c>
      <c r="R799" s="1">
        <v>100.0</v>
      </c>
      <c r="S799" s="1" t="s">
        <v>353</v>
      </c>
      <c r="T799" s="1" t="s">
        <v>423</v>
      </c>
      <c r="U799" s="1"/>
    </row>
    <row r="800">
      <c r="A800" s="218">
        <v>45208.92763155093</v>
      </c>
      <c r="B800" s="1" t="s">
        <v>59</v>
      </c>
      <c r="C800" s="1" t="s">
        <v>209</v>
      </c>
      <c r="D800" s="1">
        <v>6.0</v>
      </c>
      <c r="E800" s="1">
        <v>0.0</v>
      </c>
      <c r="F800" s="1" t="s">
        <v>1290</v>
      </c>
      <c r="G800" s="218">
        <v>45213.5</v>
      </c>
      <c r="H800" s="1" t="s">
        <v>70</v>
      </c>
      <c r="I800" s="1" t="s">
        <v>92</v>
      </c>
      <c r="J800" s="219">
        <v>-34.5</v>
      </c>
      <c r="K800" s="219">
        <v>-34.5</v>
      </c>
      <c r="L800" s="219">
        <v>2400.0</v>
      </c>
      <c r="M800" s="219" t="s">
        <v>874</v>
      </c>
      <c r="N800" s="1">
        <v>224.0</v>
      </c>
      <c r="O800" s="1">
        <v>40.0</v>
      </c>
      <c r="P800" s="1">
        <v>1.0</v>
      </c>
      <c r="Q800" s="1" t="b">
        <v>0</v>
      </c>
      <c r="R800" s="1">
        <v>100.0</v>
      </c>
      <c r="S800" s="1" t="s">
        <v>282</v>
      </c>
      <c r="T800" s="1" t="s">
        <v>422</v>
      </c>
      <c r="U800" s="1"/>
    </row>
    <row r="801">
      <c r="A801" s="218">
        <v>45208.92763155093</v>
      </c>
      <c r="B801" s="1" t="s">
        <v>59</v>
      </c>
      <c r="C801" s="1" t="s">
        <v>238</v>
      </c>
      <c r="D801" s="1">
        <v>3.0</v>
      </c>
      <c r="E801" s="1">
        <v>3.0</v>
      </c>
      <c r="F801" s="1" t="s">
        <v>1254</v>
      </c>
      <c r="G801" s="218">
        <v>45213.5</v>
      </c>
      <c r="H801" s="1" t="s">
        <v>35</v>
      </c>
      <c r="I801" s="1" t="s">
        <v>99</v>
      </c>
      <c r="J801" s="219"/>
      <c r="K801" s="219"/>
      <c r="L801" s="219"/>
      <c r="M801" s="219"/>
      <c r="N801" s="1">
        <v>105.0</v>
      </c>
      <c r="O801" s="1">
        <v>122.0</v>
      </c>
      <c r="P801" s="1">
        <v>1.0</v>
      </c>
      <c r="Q801" s="1" t="b">
        <v>0</v>
      </c>
      <c r="R801" s="1">
        <v>100.0</v>
      </c>
      <c r="S801" s="1" t="s">
        <v>352</v>
      </c>
      <c r="T801" s="1" t="s">
        <v>423</v>
      </c>
      <c r="U801" s="1"/>
    </row>
    <row r="802">
      <c r="A802" s="218">
        <v>45208.92763155093</v>
      </c>
      <c r="B802" s="1" t="s">
        <v>59</v>
      </c>
      <c r="C802" s="1" t="s">
        <v>230</v>
      </c>
      <c r="D802" s="1">
        <v>2.0</v>
      </c>
      <c r="E802" s="1">
        <v>4.0</v>
      </c>
      <c r="F802" s="1"/>
      <c r="G802" s="218"/>
      <c r="H802" s="1"/>
      <c r="I802" s="1"/>
      <c r="J802" s="219"/>
      <c r="K802" s="219"/>
      <c r="L802" s="219"/>
      <c r="M802" s="219"/>
      <c r="N802" s="1">
        <v>130.0</v>
      </c>
      <c r="O802" s="1">
        <v>181.0</v>
      </c>
      <c r="P802" s="1">
        <v>3.0</v>
      </c>
      <c r="Q802" s="1" t="b">
        <v>1</v>
      </c>
      <c r="R802" s="1">
        <v>100.0</v>
      </c>
      <c r="S802" s="1" t="s">
        <v>296</v>
      </c>
      <c r="T802" s="1" t="s">
        <v>422</v>
      </c>
      <c r="U802" s="1"/>
    </row>
    <row r="803">
      <c r="A803" s="218">
        <v>45208.92763155093</v>
      </c>
      <c r="B803" s="1" t="s">
        <v>59</v>
      </c>
      <c r="C803" s="1" t="s">
        <v>229</v>
      </c>
      <c r="D803" s="1">
        <v>3.0</v>
      </c>
      <c r="E803" s="1">
        <v>3.0</v>
      </c>
      <c r="F803" s="1"/>
      <c r="G803" s="218"/>
      <c r="H803" s="1"/>
      <c r="I803" s="1"/>
      <c r="J803" s="219"/>
      <c r="K803" s="219"/>
      <c r="L803" s="219"/>
      <c r="M803" s="219"/>
      <c r="N803" s="1">
        <v>185.0</v>
      </c>
      <c r="O803" s="1">
        <v>174.0</v>
      </c>
      <c r="P803" s="1">
        <v>3.0</v>
      </c>
      <c r="Q803" s="1" t="b">
        <v>1</v>
      </c>
      <c r="R803" s="1">
        <v>100.0</v>
      </c>
      <c r="S803" s="1" t="s">
        <v>301</v>
      </c>
      <c r="T803" s="1" t="s">
        <v>422</v>
      </c>
      <c r="U803" s="1"/>
    </row>
    <row r="804">
      <c r="A804" s="218">
        <v>45208.92763155093</v>
      </c>
      <c r="B804" s="1" t="s">
        <v>59</v>
      </c>
      <c r="C804" s="1" t="s">
        <v>236</v>
      </c>
      <c r="D804" s="1">
        <v>1.0</v>
      </c>
      <c r="E804" s="1">
        <v>5.0</v>
      </c>
      <c r="F804" s="1"/>
      <c r="G804" s="218"/>
      <c r="H804" s="1"/>
      <c r="I804" s="1"/>
      <c r="J804" s="219"/>
      <c r="K804" s="219"/>
      <c r="L804" s="219"/>
      <c r="M804" s="219"/>
      <c r="N804" s="1">
        <v>123.0</v>
      </c>
      <c r="O804" s="1">
        <v>189.0</v>
      </c>
      <c r="P804" s="1">
        <v>3.0</v>
      </c>
      <c r="Q804" s="1" t="b">
        <v>1</v>
      </c>
      <c r="R804" s="1">
        <v>100.0</v>
      </c>
      <c r="S804" s="1" t="s">
        <v>351</v>
      </c>
      <c r="T804" s="1" t="s">
        <v>423</v>
      </c>
      <c r="U804" s="1"/>
    </row>
    <row r="805">
      <c r="A805" s="218">
        <v>45208.92763155093</v>
      </c>
      <c r="B805" s="1"/>
      <c r="C805" s="1"/>
      <c r="D805" s="1"/>
      <c r="E805" s="1"/>
      <c r="F805" s="1"/>
      <c r="G805" s="218"/>
      <c r="H805" s="1"/>
      <c r="I805" s="1"/>
      <c r="J805" s="219"/>
      <c r="K805" s="219"/>
      <c r="L805" s="219"/>
      <c r="M805" s="219"/>
      <c r="N805" s="1"/>
      <c r="O805" s="1"/>
      <c r="P805" s="1"/>
      <c r="Q805" s="1"/>
      <c r="R805" s="1"/>
      <c r="S805" s="1" t="e">
        <v>#N/A</v>
      </c>
      <c r="T805" s="1" t="e">
        <v>#N/A</v>
      </c>
      <c r="U805" s="1"/>
    </row>
    <row r="806">
      <c r="A806" s="218">
        <v>45208.92763155093</v>
      </c>
      <c r="B806" s="1" t="s">
        <v>62</v>
      </c>
      <c r="C806" s="1" t="s">
        <v>246</v>
      </c>
      <c r="D806" s="1">
        <v>1.0</v>
      </c>
      <c r="E806" s="1">
        <v>4.0</v>
      </c>
      <c r="F806" s="1" t="s">
        <v>1274</v>
      </c>
      <c r="G806" s="218">
        <v>45211.8125</v>
      </c>
      <c r="H806" s="1" t="s">
        <v>60</v>
      </c>
      <c r="I806" s="1" t="s">
        <v>76</v>
      </c>
      <c r="J806" s="219">
        <v>12.5</v>
      </c>
      <c r="K806" s="219">
        <v>10.5</v>
      </c>
      <c r="L806" s="219">
        <v>-430.0</v>
      </c>
      <c r="M806" s="219" t="s">
        <v>937</v>
      </c>
      <c r="N806" s="1">
        <v>105.0</v>
      </c>
      <c r="O806" s="1">
        <v>128.0</v>
      </c>
      <c r="P806" s="1">
        <v>1.0</v>
      </c>
      <c r="Q806" s="1" t="b">
        <v>1</v>
      </c>
      <c r="R806" s="1">
        <v>100.0</v>
      </c>
      <c r="S806" s="1" t="s">
        <v>407</v>
      </c>
      <c r="T806" s="1" t="s">
        <v>423</v>
      </c>
      <c r="U806" s="1"/>
    </row>
    <row r="807">
      <c r="A807" s="218">
        <v>45208.92763155093</v>
      </c>
      <c r="B807" s="1" t="s">
        <v>62</v>
      </c>
      <c r="C807" s="1" t="s">
        <v>241</v>
      </c>
      <c r="D807" s="1">
        <v>5.0</v>
      </c>
      <c r="E807" s="1">
        <v>1.0</v>
      </c>
      <c r="F807" s="1" t="s">
        <v>1297</v>
      </c>
      <c r="G807" s="218">
        <v>45212.83333333333</v>
      </c>
      <c r="H807" s="1" t="s">
        <v>61</v>
      </c>
      <c r="I807" s="1" t="s">
        <v>99</v>
      </c>
      <c r="J807" s="219">
        <v>-4.5</v>
      </c>
      <c r="K807" s="219">
        <v>-6.5</v>
      </c>
      <c r="L807" s="219">
        <v>-280.0</v>
      </c>
      <c r="M807" s="219" t="s">
        <v>969</v>
      </c>
      <c r="N807" s="1">
        <v>201.0</v>
      </c>
      <c r="O807" s="1">
        <v>109.0</v>
      </c>
      <c r="P807" s="1">
        <v>1.0</v>
      </c>
      <c r="Q807" s="1" t="b">
        <v>0</v>
      </c>
      <c r="R807" s="1">
        <v>100.0</v>
      </c>
      <c r="S807" s="1" t="s">
        <v>353</v>
      </c>
      <c r="T807" s="1" t="s">
        <v>423</v>
      </c>
      <c r="U807" s="1"/>
    </row>
    <row r="808">
      <c r="A808" s="218">
        <v>45208.92763155093</v>
      </c>
      <c r="B808" s="1" t="s">
        <v>62</v>
      </c>
      <c r="C808" s="1" t="s">
        <v>240</v>
      </c>
      <c r="D808" s="1">
        <v>5.0</v>
      </c>
      <c r="E808" s="1">
        <v>1.0</v>
      </c>
      <c r="F808" s="1" t="s">
        <v>1298</v>
      </c>
      <c r="G808" s="218">
        <v>45213.64583333333</v>
      </c>
      <c r="H808" s="1" t="s">
        <v>61</v>
      </c>
      <c r="I808" s="1"/>
      <c r="J808" s="219"/>
      <c r="K808" s="219"/>
      <c r="L808" s="219"/>
      <c r="M808" s="219"/>
      <c r="N808" s="1">
        <v>187.0</v>
      </c>
      <c r="O808" s="1">
        <v>113.0</v>
      </c>
      <c r="P808" s="1">
        <v>1.0</v>
      </c>
      <c r="Q808" s="1" t="b">
        <v>0</v>
      </c>
      <c r="R808" s="1">
        <v>100.0</v>
      </c>
      <c r="S808" s="1" t="s">
        <v>352</v>
      </c>
      <c r="T808" s="1" t="s">
        <v>423</v>
      </c>
      <c r="U808" s="1"/>
    </row>
    <row r="809">
      <c r="A809" s="218">
        <v>45208.92763155093</v>
      </c>
      <c r="B809" s="1" t="s">
        <v>62</v>
      </c>
      <c r="C809" s="1" t="s">
        <v>244</v>
      </c>
      <c r="D809" s="1">
        <v>5.0</v>
      </c>
      <c r="E809" s="1">
        <v>1.0</v>
      </c>
      <c r="F809" s="1" t="s">
        <v>1281</v>
      </c>
      <c r="G809" s="218">
        <v>45213.64583333333</v>
      </c>
      <c r="H809" s="1" t="s">
        <v>46</v>
      </c>
      <c r="I809" s="1" t="s">
        <v>90</v>
      </c>
      <c r="J809" s="219">
        <v>-14.5</v>
      </c>
      <c r="K809" s="219">
        <v>-14.5</v>
      </c>
      <c r="L809" s="219">
        <v>460.0</v>
      </c>
      <c r="M809" s="219" t="s">
        <v>73</v>
      </c>
      <c r="N809" s="1">
        <v>210.0</v>
      </c>
      <c r="O809" s="1">
        <v>103.0</v>
      </c>
      <c r="P809" s="1">
        <v>1.0</v>
      </c>
      <c r="Q809" s="1" t="b">
        <v>0</v>
      </c>
      <c r="R809" s="1">
        <v>100.0</v>
      </c>
      <c r="S809" s="1" t="s">
        <v>282</v>
      </c>
      <c r="T809" s="1" t="s">
        <v>422</v>
      </c>
      <c r="U809" s="1"/>
    </row>
    <row r="810">
      <c r="A810" s="218">
        <v>45208.92763155093</v>
      </c>
      <c r="B810" s="1" t="s">
        <v>62</v>
      </c>
      <c r="C810" s="1" t="s">
        <v>247</v>
      </c>
      <c r="D810" s="1">
        <v>5.0</v>
      </c>
      <c r="E810" s="1">
        <v>1.0</v>
      </c>
      <c r="F810" s="1" t="s">
        <v>1263</v>
      </c>
      <c r="G810" s="218">
        <v>45213.83333333333</v>
      </c>
      <c r="H810" s="1" t="s">
        <v>58</v>
      </c>
      <c r="I810" s="1" t="s">
        <v>92</v>
      </c>
      <c r="J810" s="219">
        <v>-5.5</v>
      </c>
      <c r="K810" s="219">
        <v>-4.5</v>
      </c>
      <c r="L810" s="219">
        <v>152.0</v>
      </c>
      <c r="M810" s="219" t="s">
        <v>114</v>
      </c>
      <c r="N810" s="1">
        <v>231.0</v>
      </c>
      <c r="O810" s="1">
        <v>118.0</v>
      </c>
      <c r="P810" s="1">
        <v>1.0</v>
      </c>
      <c r="Q810" s="1" t="b">
        <v>1</v>
      </c>
      <c r="R810" s="1">
        <v>100.0</v>
      </c>
      <c r="S810" s="1" t="s">
        <v>354</v>
      </c>
      <c r="T810" s="1" t="s">
        <v>422</v>
      </c>
      <c r="U810" s="1"/>
    </row>
    <row r="811">
      <c r="A811" s="218">
        <v>45208.92763155093</v>
      </c>
      <c r="B811" s="1" t="s">
        <v>62</v>
      </c>
      <c r="C811" s="1" t="s">
        <v>245</v>
      </c>
      <c r="D811" s="1">
        <v>4.0</v>
      </c>
      <c r="E811" s="1">
        <v>1.0</v>
      </c>
      <c r="F811" s="1" t="s">
        <v>1299</v>
      </c>
      <c r="G811" s="218">
        <v>45213.5</v>
      </c>
      <c r="H811" s="1" t="s">
        <v>125</v>
      </c>
      <c r="I811" s="1" t="s">
        <v>36</v>
      </c>
      <c r="J811" s="219">
        <v>3.5</v>
      </c>
      <c r="K811" s="219">
        <v>3.5</v>
      </c>
      <c r="L811" s="219">
        <v>138.0</v>
      </c>
      <c r="M811" s="219" t="s">
        <v>203</v>
      </c>
      <c r="N811" s="1">
        <v>175.0</v>
      </c>
      <c r="O811" s="1">
        <v>101.0</v>
      </c>
      <c r="P811" s="1">
        <v>1.0</v>
      </c>
      <c r="Q811" s="1" t="b">
        <v>1</v>
      </c>
      <c r="R811" s="1">
        <v>100.0</v>
      </c>
      <c r="S811" s="1" t="s">
        <v>355</v>
      </c>
      <c r="T811" s="1" t="s">
        <v>423</v>
      </c>
      <c r="U811" s="1"/>
    </row>
    <row r="812">
      <c r="A812" s="218">
        <v>45208.92763155093</v>
      </c>
      <c r="B812" s="1" t="s">
        <v>62</v>
      </c>
      <c r="C812" s="1" t="s">
        <v>242</v>
      </c>
      <c r="D812" s="1">
        <v>2.0</v>
      </c>
      <c r="E812" s="1">
        <v>3.0</v>
      </c>
      <c r="F812" s="1" t="s">
        <v>1272</v>
      </c>
      <c r="G812" s="218">
        <v>45213.5</v>
      </c>
      <c r="H812" s="1" t="s">
        <v>56</v>
      </c>
      <c r="I812" s="1" t="s">
        <v>96</v>
      </c>
      <c r="J812" s="219">
        <v>-3.5</v>
      </c>
      <c r="K812" s="219">
        <v>-3.5</v>
      </c>
      <c r="L812" s="219">
        <v>142.0</v>
      </c>
      <c r="M812" s="219" t="s">
        <v>854</v>
      </c>
      <c r="N812" s="1">
        <v>150.0</v>
      </c>
      <c r="O812" s="1">
        <v>120.0</v>
      </c>
      <c r="P812" s="1">
        <v>1.0</v>
      </c>
      <c r="Q812" s="1" t="b">
        <v>1</v>
      </c>
      <c r="R812" s="1">
        <v>100.0</v>
      </c>
      <c r="S812" s="1" t="s">
        <v>296</v>
      </c>
      <c r="T812" s="1" t="s">
        <v>422</v>
      </c>
      <c r="U812" s="1"/>
    </row>
    <row r="813">
      <c r="A813" s="218">
        <v>45208.92763155093</v>
      </c>
      <c r="B813" s="1" t="s">
        <v>62</v>
      </c>
      <c r="C813" s="1" t="s">
        <v>249</v>
      </c>
      <c r="D813" s="1">
        <v>3.0</v>
      </c>
      <c r="E813" s="1">
        <v>3.0</v>
      </c>
      <c r="F813" s="1"/>
      <c r="G813" s="218"/>
      <c r="H813" s="1"/>
      <c r="I813" s="1"/>
      <c r="J813" s="219"/>
      <c r="K813" s="219"/>
      <c r="L813" s="219"/>
      <c r="M813" s="219"/>
      <c r="N813" s="1">
        <v>181.0</v>
      </c>
      <c r="O813" s="1">
        <v>177.0</v>
      </c>
      <c r="P813" s="1">
        <v>3.0</v>
      </c>
      <c r="Q813" s="1" t="b">
        <v>1</v>
      </c>
      <c r="R813" s="1">
        <v>100.0</v>
      </c>
      <c r="S813" s="1" t="s">
        <v>292</v>
      </c>
      <c r="T813" s="1" t="s">
        <v>422</v>
      </c>
      <c r="U813" s="1"/>
    </row>
    <row r="814">
      <c r="A814" s="218">
        <v>45208.92763155093</v>
      </c>
      <c r="B814" s="1" t="s">
        <v>62</v>
      </c>
      <c r="C814" s="1" t="s">
        <v>248</v>
      </c>
      <c r="D814" s="1">
        <v>3.0</v>
      </c>
      <c r="E814" s="1">
        <v>3.0</v>
      </c>
      <c r="F814" s="1"/>
      <c r="G814" s="218"/>
      <c r="H814" s="1"/>
      <c r="I814" s="1"/>
      <c r="J814" s="219"/>
      <c r="K814" s="219"/>
      <c r="L814" s="219"/>
      <c r="M814" s="219"/>
      <c r="N814" s="1">
        <v>166.0</v>
      </c>
      <c r="O814" s="1">
        <v>190.0</v>
      </c>
      <c r="P814" s="1">
        <v>3.0</v>
      </c>
      <c r="Q814" s="1" t="b">
        <v>1</v>
      </c>
      <c r="R814" s="1">
        <v>100.0</v>
      </c>
      <c r="S814" s="1" t="s">
        <v>301</v>
      </c>
      <c r="T814" s="1" t="s">
        <v>422</v>
      </c>
      <c r="U814" s="1"/>
    </row>
    <row r="815">
      <c r="A815" s="218">
        <v>45208.92763155093</v>
      </c>
      <c r="B815" s="1" t="s">
        <v>62</v>
      </c>
      <c r="C815" s="1" t="s">
        <v>215</v>
      </c>
      <c r="D815" s="1">
        <v>4.0</v>
      </c>
      <c r="E815" s="1">
        <v>2.0</v>
      </c>
      <c r="F815" s="1"/>
      <c r="G815" s="218"/>
      <c r="H815" s="1"/>
      <c r="I815" s="1"/>
      <c r="J815" s="219"/>
      <c r="K815" s="219"/>
      <c r="L815" s="219"/>
      <c r="M815" s="219"/>
      <c r="N815" s="1">
        <v>193.0</v>
      </c>
      <c r="O815" s="1">
        <v>174.0</v>
      </c>
      <c r="P815" s="1">
        <v>3.0</v>
      </c>
      <c r="Q815" s="1" t="b">
        <v>1</v>
      </c>
      <c r="R815" s="1">
        <v>100.0</v>
      </c>
      <c r="S815" s="1" t="s">
        <v>351</v>
      </c>
      <c r="T815" s="1" t="s">
        <v>423</v>
      </c>
      <c r="U815" s="1"/>
    </row>
    <row r="816">
      <c r="A816" s="218">
        <v>45208.92763155093</v>
      </c>
      <c r="B816" s="1"/>
      <c r="C816" s="1"/>
      <c r="D816" s="1"/>
      <c r="E816" s="1"/>
      <c r="F816" s="1"/>
      <c r="G816" s="218"/>
      <c r="H816" s="1"/>
      <c r="I816" s="1"/>
      <c r="J816" s="219"/>
      <c r="K816" s="219"/>
      <c r="L816" s="219"/>
      <c r="M816" s="219"/>
      <c r="N816" s="1"/>
      <c r="O816" s="1"/>
      <c r="P816" s="1"/>
      <c r="Q816" s="1"/>
      <c r="R816" s="1"/>
      <c r="S816" s="1" t="e">
        <v>#N/A</v>
      </c>
      <c r="T816" s="1" t="e">
        <v>#N/A</v>
      </c>
      <c r="U816" s="1"/>
    </row>
    <row r="817">
      <c r="A817" s="218">
        <v>45208.92763155093</v>
      </c>
      <c r="B817" s="1" t="s">
        <v>69</v>
      </c>
      <c r="C817" s="1" t="s">
        <v>250</v>
      </c>
      <c r="D817" s="1">
        <v>3.0</v>
      </c>
      <c r="E817" s="1">
        <v>4.0</v>
      </c>
      <c r="F817" s="1" t="s">
        <v>1300</v>
      </c>
      <c r="G817" s="218">
        <v>45209.79166666667</v>
      </c>
      <c r="H817" s="1" t="s">
        <v>61</v>
      </c>
      <c r="I817" s="1" t="s">
        <v>99</v>
      </c>
      <c r="J817" s="219"/>
      <c r="K817" s="219"/>
      <c r="L817" s="219"/>
      <c r="M817" s="219"/>
      <c r="N817" s="1">
        <v>190.0</v>
      </c>
      <c r="O817" s="1">
        <v>189.0</v>
      </c>
      <c r="P817" s="1">
        <v>1.0</v>
      </c>
      <c r="Q817" s="1" t="b">
        <v>1</v>
      </c>
      <c r="R817" s="1">
        <v>100.0</v>
      </c>
      <c r="S817" s="1" t="s">
        <v>351</v>
      </c>
      <c r="T817" s="1" t="s">
        <v>423</v>
      </c>
      <c r="U817" s="1"/>
    </row>
    <row r="818">
      <c r="A818" s="218">
        <v>45208.92763155093</v>
      </c>
      <c r="B818" s="1" t="s">
        <v>69</v>
      </c>
      <c r="C818" s="1" t="s">
        <v>252</v>
      </c>
      <c r="D818" s="1">
        <v>1.0</v>
      </c>
      <c r="E818" s="1">
        <v>4.0</v>
      </c>
      <c r="F818" s="1" t="s">
        <v>1295</v>
      </c>
      <c r="G818" s="218">
        <v>45213.58333333333</v>
      </c>
      <c r="H818" s="1" t="s">
        <v>59</v>
      </c>
      <c r="I818" s="1" t="s">
        <v>935</v>
      </c>
      <c r="J818" s="219">
        <v>3.5</v>
      </c>
      <c r="K818" s="219">
        <v>3.5</v>
      </c>
      <c r="L818" s="219">
        <v>-178.0</v>
      </c>
      <c r="M818" s="219" t="s">
        <v>852</v>
      </c>
      <c r="N818" s="1">
        <v>92.0</v>
      </c>
      <c r="O818" s="1">
        <v>138.0</v>
      </c>
      <c r="P818" s="1">
        <v>1.0</v>
      </c>
      <c r="Q818" s="1" t="b">
        <v>1</v>
      </c>
      <c r="R818" s="1">
        <v>100.0</v>
      </c>
      <c r="S818" s="1" t="s">
        <v>352</v>
      </c>
      <c r="T818" s="1" t="s">
        <v>423</v>
      </c>
      <c r="U818" s="1"/>
    </row>
    <row r="819">
      <c r="A819" s="218">
        <v>45208.92763155093</v>
      </c>
      <c r="B819" s="1" t="s">
        <v>69</v>
      </c>
      <c r="C819" s="1" t="s">
        <v>251</v>
      </c>
      <c r="D819" s="1">
        <v>3.0</v>
      </c>
      <c r="E819" s="1">
        <v>3.0</v>
      </c>
      <c r="F819" s="1" t="s">
        <v>1296</v>
      </c>
      <c r="G819" s="218">
        <v>45213.625</v>
      </c>
      <c r="H819" s="1" t="s">
        <v>59</v>
      </c>
      <c r="I819" s="1"/>
      <c r="J819" s="219">
        <v>13.5</v>
      </c>
      <c r="K819" s="219">
        <v>13.5</v>
      </c>
      <c r="L819" s="219">
        <v>480.0</v>
      </c>
      <c r="M819" s="219" t="s">
        <v>852</v>
      </c>
      <c r="N819" s="1">
        <v>195.0</v>
      </c>
      <c r="O819" s="1">
        <v>184.0</v>
      </c>
      <c r="P819" s="1">
        <v>1.0</v>
      </c>
      <c r="Q819" s="1" t="b">
        <v>0</v>
      </c>
      <c r="R819" s="1">
        <v>100.0</v>
      </c>
      <c r="S819" s="1" t="s">
        <v>354</v>
      </c>
      <c r="T819" s="1" t="s">
        <v>422</v>
      </c>
      <c r="U819" s="1"/>
    </row>
    <row r="820">
      <c r="A820" s="218">
        <v>45208.92763155093</v>
      </c>
      <c r="B820" s="1" t="s">
        <v>69</v>
      </c>
      <c r="C820" s="1" t="s">
        <v>253</v>
      </c>
      <c r="D820" s="1">
        <v>3.0</v>
      </c>
      <c r="E820" s="1">
        <v>3.0</v>
      </c>
      <c r="F820" s="1" t="s">
        <v>1267</v>
      </c>
      <c r="G820" s="218">
        <v>45213.64583333333</v>
      </c>
      <c r="H820" s="1" t="s">
        <v>56</v>
      </c>
      <c r="I820" s="1" t="s">
        <v>36</v>
      </c>
      <c r="J820" s="219">
        <v>-2.5</v>
      </c>
      <c r="K820" s="219">
        <v>-2.5</v>
      </c>
      <c r="L820" s="219">
        <v>108.0</v>
      </c>
      <c r="M820" s="219" t="s">
        <v>954</v>
      </c>
      <c r="N820" s="1">
        <v>186.0</v>
      </c>
      <c r="O820" s="1">
        <v>197.0</v>
      </c>
      <c r="P820" s="1">
        <v>1.0</v>
      </c>
      <c r="Q820" s="1" t="b">
        <v>1</v>
      </c>
      <c r="R820" s="1">
        <v>100.0</v>
      </c>
      <c r="S820" s="1" t="s">
        <v>407</v>
      </c>
      <c r="T820" s="1" t="s">
        <v>423</v>
      </c>
      <c r="U820" s="1"/>
    </row>
    <row r="821">
      <c r="A821" s="218">
        <v>45208.92763155093</v>
      </c>
      <c r="B821" s="1" t="s">
        <v>69</v>
      </c>
      <c r="C821" s="1" t="s">
        <v>255</v>
      </c>
      <c r="D821" s="1">
        <v>4.0</v>
      </c>
      <c r="E821" s="1">
        <v>1.0</v>
      </c>
      <c r="F821" s="1" t="s">
        <v>1301</v>
      </c>
      <c r="G821" s="218">
        <v>45213.66666666667</v>
      </c>
      <c r="H821" s="1" t="s">
        <v>61</v>
      </c>
      <c r="I821" s="1" t="s">
        <v>92</v>
      </c>
      <c r="J821" s="219">
        <v>-4.5</v>
      </c>
      <c r="K821" s="219">
        <v>-9.5</v>
      </c>
      <c r="L821" s="219">
        <v>285.0</v>
      </c>
      <c r="M821" s="219" t="s">
        <v>1302</v>
      </c>
      <c r="N821" s="1">
        <v>157.0</v>
      </c>
      <c r="O821" s="1">
        <v>92.0</v>
      </c>
      <c r="P821" s="1">
        <v>1.0</v>
      </c>
      <c r="Q821" s="1" t="b">
        <v>1</v>
      </c>
      <c r="R821" s="1">
        <v>100.0</v>
      </c>
      <c r="S821" s="1" t="s">
        <v>282</v>
      </c>
      <c r="T821" s="1" t="s">
        <v>422</v>
      </c>
      <c r="U821" s="1"/>
    </row>
    <row r="822">
      <c r="A822" s="218">
        <v>45208.92763155093</v>
      </c>
      <c r="B822" s="1" t="s">
        <v>69</v>
      </c>
      <c r="C822" s="1" t="s">
        <v>256</v>
      </c>
      <c r="D822" s="1">
        <v>1.0</v>
      </c>
      <c r="E822" s="1">
        <v>4.0</v>
      </c>
      <c r="F822" s="1" t="s">
        <v>1275</v>
      </c>
      <c r="G822" s="218">
        <v>45213.77083333333</v>
      </c>
      <c r="H822" s="1" t="s">
        <v>60</v>
      </c>
      <c r="I822" s="1"/>
      <c r="J822" s="219">
        <v>9.5</v>
      </c>
      <c r="K822" s="219">
        <v>7.5</v>
      </c>
      <c r="L822" s="219">
        <v>-320.0</v>
      </c>
      <c r="M822" s="219" t="s">
        <v>151</v>
      </c>
      <c r="N822" s="1">
        <v>117.0</v>
      </c>
      <c r="O822" s="1">
        <v>130.0</v>
      </c>
      <c r="P822" s="1">
        <v>1.0</v>
      </c>
      <c r="Q822" s="1" t="b">
        <v>0</v>
      </c>
      <c r="R822" s="1">
        <v>100.0</v>
      </c>
      <c r="S822" s="1" t="s">
        <v>301</v>
      </c>
      <c r="T822" s="1" t="s">
        <v>422</v>
      </c>
      <c r="U822" s="1"/>
    </row>
    <row r="823">
      <c r="A823" s="218">
        <v>45208.92763155093</v>
      </c>
      <c r="B823" s="1" t="s">
        <v>69</v>
      </c>
      <c r="C823" s="1" t="s">
        <v>243</v>
      </c>
      <c r="D823" s="1">
        <v>5.0</v>
      </c>
      <c r="E823" s="1">
        <v>0.0</v>
      </c>
      <c r="F823" s="1" t="s">
        <v>1282</v>
      </c>
      <c r="G823" s="218">
        <v>45213.79166666667</v>
      </c>
      <c r="H823" s="1" t="s">
        <v>46</v>
      </c>
      <c r="I823" s="1" t="s">
        <v>99</v>
      </c>
      <c r="J823" s="219">
        <v>-10.5</v>
      </c>
      <c r="K823" s="219">
        <v>-10.5</v>
      </c>
      <c r="L823" s="219">
        <v>285.0</v>
      </c>
      <c r="M823" s="219" t="s">
        <v>867</v>
      </c>
      <c r="N823" s="1">
        <v>188.0</v>
      </c>
      <c r="O823" s="1">
        <v>61.0</v>
      </c>
      <c r="P823" s="1">
        <v>1.0</v>
      </c>
      <c r="Q823" s="1" t="b">
        <v>1</v>
      </c>
      <c r="R823" s="1">
        <v>100.0</v>
      </c>
      <c r="S823" s="1" t="s">
        <v>353</v>
      </c>
      <c r="T823" s="1" t="s">
        <v>423</v>
      </c>
      <c r="U823" s="1"/>
    </row>
    <row r="824">
      <c r="A824" s="218">
        <v>45208.92763155093</v>
      </c>
      <c r="B824" s="1" t="s">
        <v>69</v>
      </c>
      <c r="C824" s="1" t="s">
        <v>219</v>
      </c>
      <c r="D824" s="1">
        <v>4.0</v>
      </c>
      <c r="E824" s="1">
        <v>2.0</v>
      </c>
      <c r="F824" s="1" t="s">
        <v>1261</v>
      </c>
      <c r="G824" s="218">
        <v>45213.79166666667</v>
      </c>
      <c r="H824" s="1" t="s">
        <v>58</v>
      </c>
      <c r="I824" s="1" t="s">
        <v>76</v>
      </c>
      <c r="J824" s="219">
        <v>-13.5</v>
      </c>
      <c r="K824" s="219">
        <v>-12.5</v>
      </c>
      <c r="L824" s="219">
        <v>365.0</v>
      </c>
      <c r="M824" s="219" t="s">
        <v>994</v>
      </c>
      <c r="N824" s="1">
        <v>269.0</v>
      </c>
      <c r="O824" s="1">
        <v>194.0</v>
      </c>
      <c r="P824" s="1">
        <v>1.0</v>
      </c>
      <c r="Q824" s="1" t="b">
        <v>1</v>
      </c>
      <c r="R824" s="1">
        <v>100.0</v>
      </c>
      <c r="S824" s="1" t="s">
        <v>292</v>
      </c>
      <c r="T824" s="1" t="s">
        <v>422</v>
      </c>
      <c r="U824" s="1"/>
    </row>
    <row r="825">
      <c r="A825" s="218">
        <v>45208.92763155093</v>
      </c>
      <c r="B825" s="1" t="s">
        <v>69</v>
      </c>
      <c r="C825" s="1" t="s">
        <v>257</v>
      </c>
      <c r="D825" s="1">
        <v>3.0</v>
      </c>
      <c r="E825" s="1">
        <v>3.0</v>
      </c>
      <c r="F825" s="1"/>
      <c r="G825" s="218"/>
      <c r="H825" s="1"/>
      <c r="I825" s="1"/>
      <c r="J825" s="219"/>
      <c r="K825" s="219"/>
      <c r="L825" s="219"/>
      <c r="M825" s="219"/>
      <c r="N825" s="1">
        <v>210.0</v>
      </c>
      <c r="O825" s="1">
        <v>167.0</v>
      </c>
      <c r="P825" s="1">
        <v>3.0</v>
      </c>
      <c r="Q825" s="1" t="b">
        <v>1</v>
      </c>
      <c r="R825" s="1">
        <v>100.0</v>
      </c>
      <c r="S825" s="1" t="s">
        <v>296</v>
      </c>
      <c r="T825" s="1" t="s">
        <v>422</v>
      </c>
      <c r="U825" s="1"/>
    </row>
    <row r="826">
      <c r="A826" s="218">
        <v>45208.92763155093</v>
      </c>
      <c r="B826" s="1" t="s">
        <v>69</v>
      </c>
      <c r="C826" s="1" t="s">
        <v>254</v>
      </c>
      <c r="D826" s="1">
        <v>3.0</v>
      </c>
      <c r="E826" s="1">
        <v>3.0</v>
      </c>
      <c r="F826" s="1"/>
      <c r="G826" s="218"/>
      <c r="H826" s="1"/>
      <c r="I826" s="1"/>
      <c r="J826" s="219"/>
      <c r="K826" s="219"/>
      <c r="L826" s="219"/>
      <c r="M826" s="219"/>
      <c r="N826" s="1">
        <v>133.0</v>
      </c>
      <c r="O826" s="1">
        <v>219.0</v>
      </c>
      <c r="P826" s="1">
        <v>3.0</v>
      </c>
      <c r="Q826" s="1" t="b">
        <v>1</v>
      </c>
      <c r="R826" s="1">
        <v>100.0</v>
      </c>
      <c r="S826" s="1" t="s">
        <v>355</v>
      </c>
      <c r="T826" s="1" t="s">
        <v>423</v>
      </c>
      <c r="U826" s="1"/>
    </row>
    <row r="827">
      <c r="A827" s="218">
        <v>45208.92763155093</v>
      </c>
      <c r="B827" s="1"/>
      <c r="C827" s="1"/>
      <c r="D827" s="1"/>
      <c r="E827" s="1"/>
      <c r="F827" s="1"/>
      <c r="G827" s="218"/>
      <c r="H827" s="1"/>
      <c r="I827" s="1"/>
      <c r="J827" s="219"/>
      <c r="K827" s="219"/>
      <c r="L827" s="219"/>
      <c r="M827" s="219"/>
      <c r="N827" s="1"/>
      <c r="O827" s="1"/>
      <c r="P827" s="1"/>
      <c r="Q827" s="1"/>
      <c r="R827" s="1"/>
      <c r="S827" s="1" t="e">
        <v>#N/A</v>
      </c>
      <c r="T827" s="1" t="e">
        <v>#N/A</v>
      </c>
      <c r="U827" s="1"/>
    </row>
    <row r="828">
      <c r="A828" s="218">
        <v>45208.92763155093</v>
      </c>
      <c r="B828" s="1" t="s">
        <v>125</v>
      </c>
      <c r="C828" s="1" t="s">
        <v>260</v>
      </c>
      <c r="D828" s="1">
        <v>5.0</v>
      </c>
      <c r="E828" s="1">
        <v>1.0</v>
      </c>
      <c r="F828" s="1" t="s">
        <v>1256</v>
      </c>
      <c r="G828" s="218">
        <v>45209.8125</v>
      </c>
      <c r="H828" s="1" t="s">
        <v>58</v>
      </c>
      <c r="I828" s="1" t="s">
        <v>40</v>
      </c>
      <c r="J828" s="219"/>
      <c r="K828" s="219"/>
      <c r="L828" s="219"/>
      <c r="M828" s="219"/>
      <c r="N828" s="1">
        <v>183.0</v>
      </c>
      <c r="O828" s="1">
        <v>105.0</v>
      </c>
      <c r="P828" s="1">
        <v>1.0</v>
      </c>
      <c r="Q828" s="1" t="b">
        <v>0</v>
      </c>
      <c r="R828" s="1">
        <v>100.0</v>
      </c>
      <c r="S828" s="1" t="s">
        <v>351</v>
      </c>
      <c r="T828" s="1" t="s">
        <v>423</v>
      </c>
      <c r="U828" s="1"/>
    </row>
    <row r="829">
      <c r="A829" s="218">
        <v>45208.92763155093</v>
      </c>
      <c r="B829" s="1" t="s">
        <v>125</v>
      </c>
      <c r="C829" s="1" t="s">
        <v>264</v>
      </c>
      <c r="D829" s="1">
        <v>4.0</v>
      </c>
      <c r="E829" s="1">
        <v>2.0</v>
      </c>
      <c r="F829" s="1" t="s">
        <v>1303</v>
      </c>
      <c r="G829" s="218">
        <v>45213.64583333333</v>
      </c>
      <c r="H829" s="1" t="s">
        <v>61</v>
      </c>
      <c r="I829" s="1" t="s">
        <v>86</v>
      </c>
      <c r="J829" s="219">
        <v>3.5</v>
      </c>
      <c r="K829" s="219">
        <v>3.0</v>
      </c>
      <c r="L829" s="219">
        <v>130.0</v>
      </c>
      <c r="M829" s="219" t="s">
        <v>840</v>
      </c>
      <c r="N829" s="1">
        <v>213.0</v>
      </c>
      <c r="O829" s="1">
        <v>119.0</v>
      </c>
      <c r="P829" s="1">
        <v>1.0</v>
      </c>
      <c r="Q829" s="1" t="b">
        <v>1</v>
      </c>
      <c r="R829" s="1">
        <v>100.0</v>
      </c>
      <c r="S829" s="1" t="s">
        <v>292</v>
      </c>
      <c r="T829" s="1" t="s">
        <v>422</v>
      </c>
      <c r="U829" s="1"/>
    </row>
    <row r="830">
      <c r="A830" s="218">
        <v>45208.92763155093</v>
      </c>
      <c r="B830" s="1" t="s">
        <v>125</v>
      </c>
      <c r="C830" s="1" t="s">
        <v>265</v>
      </c>
      <c r="D830" s="1">
        <v>3.0</v>
      </c>
      <c r="E830" s="1">
        <v>3.0</v>
      </c>
      <c r="F830" s="1" t="s">
        <v>1280</v>
      </c>
      <c r="G830" s="218">
        <v>45213.64583333333</v>
      </c>
      <c r="H830" s="1" t="s">
        <v>46</v>
      </c>
      <c r="I830" s="1" t="s">
        <v>935</v>
      </c>
      <c r="J830" s="219">
        <v>-13.5</v>
      </c>
      <c r="K830" s="219">
        <v>-12.5</v>
      </c>
      <c r="L830" s="219">
        <v>420.0</v>
      </c>
      <c r="M830" s="219" t="s">
        <v>854</v>
      </c>
      <c r="N830" s="1">
        <v>142.0</v>
      </c>
      <c r="O830" s="1">
        <v>204.0</v>
      </c>
      <c r="P830" s="1">
        <v>1.0</v>
      </c>
      <c r="Q830" s="1" t="b">
        <v>0</v>
      </c>
      <c r="R830" s="1">
        <v>100.0</v>
      </c>
      <c r="S830" s="1" t="s">
        <v>352</v>
      </c>
      <c r="T830" s="1" t="s">
        <v>423</v>
      </c>
      <c r="U830" s="1"/>
    </row>
    <row r="831">
      <c r="A831" s="218">
        <v>45208.92763155093</v>
      </c>
      <c r="B831" s="1" t="s">
        <v>125</v>
      </c>
      <c r="C831" s="1" t="s">
        <v>258</v>
      </c>
      <c r="D831" s="1">
        <v>0.0</v>
      </c>
      <c r="E831" s="1">
        <v>5.0</v>
      </c>
      <c r="F831" s="1" t="s">
        <v>1292</v>
      </c>
      <c r="G831" s="218">
        <v>45213.70833333333</v>
      </c>
      <c r="H831" s="1" t="s">
        <v>57</v>
      </c>
      <c r="I831" s="1" t="s">
        <v>1185</v>
      </c>
      <c r="J831" s="219">
        <v>9.5</v>
      </c>
      <c r="K831" s="219">
        <v>9.5</v>
      </c>
      <c r="L831" s="219">
        <v>-360.0</v>
      </c>
      <c r="M831" s="219" t="s">
        <v>840</v>
      </c>
      <c r="N831" s="1">
        <v>77.0</v>
      </c>
      <c r="O831" s="1">
        <v>192.0</v>
      </c>
      <c r="P831" s="1">
        <v>1.0</v>
      </c>
      <c r="Q831" s="1" t="b">
        <v>0</v>
      </c>
      <c r="R831" s="1">
        <v>100.0</v>
      </c>
      <c r="S831" s="1" t="s">
        <v>353</v>
      </c>
      <c r="T831" s="1" t="s">
        <v>423</v>
      </c>
      <c r="U831" s="1"/>
    </row>
    <row r="832">
      <c r="A832" s="218">
        <v>45208.92763155093</v>
      </c>
      <c r="B832" s="1" t="s">
        <v>125</v>
      </c>
      <c r="C832" s="1" t="s">
        <v>259</v>
      </c>
      <c r="D832" s="1">
        <v>4.0</v>
      </c>
      <c r="E832" s="1">
        <v>1.0</v>
      </c>
      <c r="F832" s="1" t="s">
        <v>1294</v>
      </c>
      <c r="G832" s="218">
        <v>45213.79166666667</v>
      </c>
      <c r="H832" s="1" t="s">
        <v>67</v>
      </c>
      <c r="I832" s="1" t="s">
        <v>287</v>
      </c>
      <c r="J832" s="219">
        <v>-10.5</v>
      </c>
      <c r="K832" s="219">
        <v>-9.5</v>
      </c>
      <c r="L832" s="219">
        <v>275.0</v>
      </c>
      <c r="M832" s="219" t="s">
        <v>971</v>
      </c>
      <c r="N832" s="1">
        <v>200.0</v>
      </c>
      <c r="O832" s="1">
        <v>127.0</v>
      </c>
      <c r="P832" s="1">
        <v>1.0</v>
      </c>
      <c r="Q832" s="1" t="b">
        <v>1</v>
      </c>
      <c r="R832" s="1">
        <v>100.0</v>
      </c>
      <c r="S832" s="1" t="s">
        <v>354</v>
      </c>
      <c r="T832" s="1" t="s">
        <v>422</v>
      </c>
      <c r="U832" s="1"/>
    </row>
    <row r="833">
      <c r="A833" s="218">
        <v>45208.92763155093</v>
      </c>
      <c r="B833" s="1" t="s">
        <v>125</v>
      </c>
      <c r="C833" s="1" t="s">
        <v>262</v>
      </c>
      <c r="D833" s="1">
        <v>5.0</v>
      </c>
      <c r="E833" s="1">
        <v>0.0</v>
      </c>
      <c r="F833" s="1" t="s">
        <v>1299</v>
      </c>
      <c r="G833" s="218">
        <v>45213.5</v>
      </c>
      <c r="H833" s="1" t="s">
        <v>62</v>
      </c>
      <c r="I833" s="1" t="s">
        <v>36</v>
      </c>
      <c r="J833" s="219">
        <v>-3.5</v>
      </c>
      <c r="K833" s="219">
        <v>-3.5</v>
      </c>
      <c r="L833" s="219">
        <v>138.0</v>
      </c>
      <c r="M833" s="219" t="s">
        <v>203</v>
      </c>
      <c r="N833" s="1">
        <v>166.0</v>
      </c>
      <c r="O833" s="1">
        <v>113.0</v>
      </c>
      <c r="P833" s="1">
        <v>1.0</v>
      </c>
      <c r="Q833" s="1" t="b">
        <v>0</v>
      </c>
      <c r="R833" s="1">
        <v>100.0</v>
      </c>
      <c r="S833" s="1" t="s">
        <v>355</v>
      </c>
      <c r="T833" s="1" t="s">
        <v>423</v>
      </c>
      <c r="U833" s="1"/>
    </row>
    <row r="834">
      <c r="A834" s="218">
        <v>45208.92763155093</v>
      </c>
      <c r="B834" s="1" t="s">
        <v>125</v>
      </c>
      <c r="C834" s="1" t="s">
        <v>224</v>
      </c>
      <c r="D834" s="1">
        <v>5.0</v>
      </c>
      <c r="E834" s="1">
        <v>0.0</v>
      </c>
      <c r="F834" s="1" t="s">
        <v>1273</v>
      </c>
      <c r="G834" s="218">
        <v>45213.5</v>
      </c>
      <c r="H834" s="1" t="s">
        <v>56</v>
      </c>
      <c r="I834" s="1" t="s">
        <v>82</v>
      </c>
      <c r="J834" s="219">
        <v>-19.5</v>
      </c>
      <c r="K834" s="219">
        <v>-17.5</v>
      </c>
      <c r="L834" s="219">
        <v>640.0</v>
      </c>
      <c r="M834" s="219" t="s">
        <v>104</v>
      </c>
      <c r="N834" s="1">
        <v>212.0</v>
      </c>
      <c r="O834" s="1">
        <v>107.0</v>
      </c>
      <c r="P834" s="1">
        <v>1.0</v>
      </c>
      <c r="Q834" s="1" t="b">
        <v>0</v>
      </c>
      <c r="R834" s="1">
        <v>100.0</v>
      </c>
      <c r="S834" s="1" t="s">
        <v>301</v>
      </c>
      <c r="T834" s="1" t="s">
        <v>422</v>
      </c>
      <c r="U834" s="1"/>
    </row>
    <row r="835">
      <c r="A835" s="218">
        <v>45208.92763155093</v>
      </c>
      <c r="B835" s="1" t="s">
        <v>125</v>
      </c>
      <c r="C835" s="1" t="s">
        <v>263</v>
      </c>
      <c r="D835" s="1">
        <v>3.0</v>
      </c>
      <c r="E835" s="1">
        <v>3.0</v>
      </c>
      <c r="F835" s="1"/>
      <c r="G835" s="218"/>
      <c r="H835" s="1"/>
      <c r="I835" s="1"/>
      <c r="J835" s="219"/>
      <c r="K835" s="219"/>
      <c r="L835" s="219"/>
      <c r="M835" s="219"/>
      <c r="N835" s="1">
        <v>196.0</v>
      </c>
      <c r="O835" s="1">
        <v>182.0</v>
      </c>
      <c r="P835" s="1">
        <v>3.0</v>
      </c>
      <c r="Q835" s="1" t="b">
        <v>1</v>
      </c>
      <c r="R835" s="1">
        <v>100.0</v>
      </c>
      <c r="S835" s="1" t="s">
        <v>407</v>
      </c>
      <c r="T835" s="1" t="s">
        <v>423</v>
      </c>
      <c r="U835" s="1"/>
    </row>
    <row r="836">
      <c r="A836" s="218">
        <v>45208.92763155093</v>
      </c>
      <c r="B836" s="1" t="s">
        <v>125</v>
      </c>
      <c r="C836" s="1" t="s">
        <v>261</v>
      </c>
      <c r="D836" s="1">
        <v>3.0</v>
      </c>
      <c r="E836" s="1">
        <v>3.0</v>
      </c>
      <c r="F836" s="1"/>
      <c r="G836" s="218"/>
      <c r="H836" s="1"/>
      <c r="I836" s="1"/>
      <c r="J836" s="219"/>
      <c r="K836" s="219"/>
      <c r="L836" s="219"/>
      <c r="M836" s="219"/>
      <c r="N836" s="1">
        <v>132.0</v>
      </c>
      <c r="O836" s="1">
        <v>164.0</v>
      </c>
      <c r="P836" s="1">
        <v>3.0</v>
      </c>
      <c r="Q836" s="1" t="b">
        <v>1</v>
      </c>
      <c r="R836" s="1">
        <v>100.0</v>
      </c>
      <c r="S836" s="1" t="s">
        <v>282</v>
      </c>
      <c r="T836" s="1" t="s">
        <v>422</v>
      </c>
      <c r="U836" s="1"/>
    </row>
    <row r="837">
      <c r="A837" s="218">
        <v>45208.92763155093</v>
      </c>
      <c r="B837" s="1" t="s">
        <v>125</v>
      </c>
      <c r="C837" s="1" t="s">
        <v>239</v>
      </c>
      <c r="D837" s="1">
        <v>5.0</v>
      </c>
      <c r="E837" s="1">
        <v>1.0</v>
      </c>
      <c r="F837" s="1"/>
      <c r="G837" s="218"/>
      <c r="H837" s="1"/>
      <c r="I837" s="1"/>
      <c r="J837" s="219"/>
      <c r="K837" s="219"/>
      <c r="L837" s="219"/>
      <c r="M837" s="219"/>
      <c r="N837" s="1">
        <v>210.0</v>
      </c>
      <c r="O837" s="1">
        <v>98.0</v>
      </c>
      <c r="P837" s="1">
        <v>3.0</v>
      </c>
      <c r="Q837" s="1" t="b">
        <v>1</v>
      </c>
      <c r="R837" s="1">
        <v>100.0</v>
      </c>
      <c r="S837" s="1" t="s">
        <v>296</v>
      </c>
      <c r="T837" s="1" t="s">
        <v>422</v>
      </c>
      <c r="U837" s="1"/>
    </row>
    <row r="838">
      <c r="A838" s="218">
        <v>45208.92763155093</v>
      </c>
      <c r="B838" s="1"/>
      <c r="C838" s="1"/>
      <c r="D838" s="1"/>
      <c r="E838" s="1"/>
      <c r="F838" s="1"/>
      <c r="G838" s="218"/>
      <c r="H838" s="1"/>
      <c r="I838" s="1"/>
      <c r="J838" s="219"/>
      <c r="K838" s="219"/>
      <c r="L838" s="219"/>
      <c r="M838" s="219"/>
      <c r="N838" s="1"/>
      <c r="O838" s="1"/>
      <c r="P838" s="1"/>
      <c r="Q838" s="1"/>
      <c r="R838" s="1"/>
      <c r="S838" s="1" t="e">
        <v>#N/A</v>
      </c>
      <c r="T838" s="1" t="e">
        <v>#N/A</v>
      </c>
      <c r="U838" s="1"/>
    </row>
    <row r="839">
      <c r="A839" s="218">
        <v>45208.92763155093</v>
      </c>
      <c r="B839" s="1" t="s">
        <v>61</v>
      </c>
      <c r="C839" s="1" t="s">
        <v>228</v>
      </c>
      <c r="D839" s="1">
        <v>1.0</v>
      </c>
      <c r="E839" s="1">
        <v>5.0</v>
      </c>
      <c r="F839" s="1" t="s">
        <v>1300</v>
      </c>
      <c r="G839" s="218">
        <v>45209.79166666667</v>
      </c>
      <c r="H839" s="1" t="s">
        <v>69</v>
      </c>
      <c r="I839" s="1" t="s">
        <v>99</v>
      </c>
      <c r="J839" s="219"/>
      <c r="K839" s="219"/>
      <c r="L839" s="219"/>
      <c r="M839" s="219"/>
      <c r="N839" s="1">
        <v>124.0</v>
      </c>
      <c r="O839" s="1">
        <v>200.0</v>
      </c>
      <c r="P839" s="1">
        <v>1.0</v>
      </c>
      <c r="Q839" s="1" t="b">
        <v>0</v>
      </c>
      <c r="R839" s="1">
        <v>100.0</v>
      </c>
      <c r="S839" s="1" t="s">
        <v>351</v>
      </c>
      <c r="T839" s="1" t="s">
        <v>423</v>
      </c>
      <c r="U839" s="1"/>
    </row>
    <row r="840">
      <c r="A840" s="218">
        <v>45208.92763155093</v>
      </c>
      <c r="B840" s="1" t="s">
        <v>61</v>
      </c>
      <c r="C840" s="1" t="s">
        <v>273</v>
      </c>
      <c r="D840" s="1">
        <v>3.0</v>
      </c>
      <c r="E840" s="1">
        <v>3.0</v>
      </c>
      <c r="F840" s="1" t="s">
        <v>1297</v>
      </c>
      <c r="G840" s="218">
        <v>45212.83333333333</v>
      </c>
      <c r="H840" s="1" t="s">
        <v>62</v>
      </c>
      <c r="I840" s="1" t="s">
        <v>99</v>
      </c>
      <c r="J840" s="219">
        <v>4.5</v>
      </c>
      <c r="K840" s="219">
        <v>6.5</v>
      </c>
      <c r="L840" s="219">
        <v>-280.0</v>
      </c>
      <c r="M840" s="219" t="s">
        <v>969</v>
      </c>
      <c r="N840" s="1">
        <v>229.0</v>
      </c>
      <c r="O840" s="1">
        <v>193.0</v>
      </c>
      <c r="P840" s="1">
        <v>1.0</v>
      </c>
      <c r="Q840" s="1" t="b">
        <v>1</v>
      </c>
      <c r="R840" s="1">
        <v>100.0</v>
      </c>
      <c r="S840" s="1" t="s">
        <v>353</v>
      </c>
      <c r="T840" s="1" t="s">
        <v>423</v>
      </c>
      <c r="U840" s="1"/>
    </row>
    <row r="841">
      <c r="A841" s="218">
        <v>45208.92763155093</v>
      </c>
      <c r="B841" s="1" t="s">
        <v>61</v>
      </c>
      <c r="C841" s="1" t="s">
        <v>269</v>
      </c>
      <c r="D841" s="1">
        <v>4.0</v>
      </c>
      <c r="E841" s="1">
        <v>2.0</v>
      </c>
      <c r="F841" s="1" t="s">
        <v>1285</v>
      </c>
      <c r="G841" s="218">
        <v>45212.91666666667</v>
      </c>
      <c r="H841" s="1" t="s">
        <v>70</v>
      </c>
      <c r="I841" s="1" t="s">
        <v>76</v>
      </c>
      <c r="J841" s="219">
        <v>-10.5</v>
      </c>
      <c r="K841" s="219">
        <v>-10.5</v>
      </c>
      <c r="L841" s="219">
        <v>340.0</v>
      </c>
      <c r="M841" s="219" t="s">
        <v>954</v>
      </c>
      <c r="N841" s="1">
        <v>198.0</v>
      </c>
      <c r="O841" s="1">
        <v>205.0</v>
      </c>
      <c r="P841" s="1">
        <v>1.0</v>
      </c>
      <c r="Q841" s="1" t="b">
        <v>1</v>
      </c>
      <c r="R841" s="1">
        <v>100.0</v>
      </c>
      <c r="S841" s="1" t="s">
        <v>354</v>
      </c>
      <c r="T841" s="1" t="s">
        <v>422</v>
      </c>
      <c r="U841" s="1"/>
    </row>
    <row r="842">
      <c r="A842" s="218">
        <v>45208.92763155093</v>
      </c>
      <c r="B842" s="1" t="s">
        <v>61</v>
      </c>
      <c r="C842" s="1" t="s">
        <v>233</v>
      </c>
      <c r="D842" s="1">
        <v>4.0</v>
      </c>
      <c r="E842" s="1">
        <v>1.0</v>
      </c>
      <c r="F842" s="1" t="s">
        <v>1303</v>
      </c>
      <c r="G842" s="218">
        <v>45213.64583333333</v>
      </c>
      <c r="H842" s="1" t="s">
        <v>125</v>
      </c>
      <c r="I842" s="1" t="s">
        <v>86</v>
      </c>
      <c r="J842" s="219">
        <v>-3.5</v>
      </c>
      <c r="K842" s="219">
        <v>-3.0</v>
      </c>
      <c r="L842" s="219">
        <v>130.0</v>
      </c>
      <c r="M842" s="219" t="s">
        <v>840</v>
      </c>
      <c r="N842" s="1">
        <v>181.0</v>
      </c>
      <c r="O842" s="1">
        <v>89.0</v>
      </c>
      <c r="P842" s="1">
        <v>1.0</v>
      </c>
      <c r="Q842" s="1" t="b">
        <v>0</v>
      </c>
      <c r="R842" s="1">
        <v>100.0</v>
      </c>
      <c r="S842" s="1" t="s">
        <v>292</v>
      </c>
      <c r="T842" s="1" t="s">
        <v>422</v>
      </c>
      <c r="U842" s="1"/>
    </row>
    <row r="843">
      <c r="A843" s="218">
        <v>45208.92763155093</v>
      </c>
      <c r="B843" s="1" t="s">
        <v>61</v>
      </c>
      <c r="C843" s="1" t="s">
        <v>272</v>
      </c>
      <c r="D843" s="1">
        <v>2.0</v>
      </c>
      <c r="E843" s="1">
        <v>4.0</v>
      </c>
      <c r="F843" s="1" t="s">
        <v>1298</v>
      </c>
      <c r="G843" s="218">
        <v>45213.64583333333</v>
      </c>
      <c r="H843" s="1" t="s">
        <v>62</v>
      </c>
      <c r="I843" s="1" t="s">
        <v>935</v>
      </c>
      <c r="J843" s="219">
        <v>9.5</v>
      </c>
      <c r="K843" s="219">
        <v>9.5</v>
      </c>
      <c r="L843" s="219">
        <v>-360.0</v>
      </c>
      <c r="M843" s="219" t="s">
        <v>114</v>
      </c>
      <c r="N843" s="1">
        <v>153.0</v>
      </c>
      <c r="O843" s="1">
        <v>220.0</v>
      </c>
      <c r="P843" s="1">
        <v>1.0</v>
      </c>
      <c r="Q843" s="1" t="b">
        <v>1</v>
      </c>
      <c r="R843" s="1">
        <v>100.0</v>
      </c>
      <c r="S843" s="1" t="s">
        <v>352</v>
      </c>
      <c r="T843" s="1" t="s">
        <v>423</v>
      </c>
      <c r="U843" s="1"/>
    </row>
    <row r="844">
      <c r="A844" s="218">
        <v>45208.92763155093</v>
      </c>
      <c r="B844" s="1" t="s">
        <v>61</v>
      </c>
      <c r="C844" s="1" t="s">
        <v>267</v>
      </c>
      <c r="D844" s="1">
        <v>3.0</v>
      </c>
      <c r="E844" s="1">
        <v>2.0</v>
      </c>
      <c r="F844" s="1" t="s">
        <v>1286</v>
      </c>
      <c r="G844" s="218">
        <v>45213.64583333333</v>
      </c>
      <c r="H844" s="1" t="s">
        <v>70</v>
      </c>
      <c r="I844" s="1" t="s">
        <v>96</v>
      </c>
      <c r="J844" s="219">
        <v>3.5</v>
      </c>
      <c r="K844" s="219">
        <v>3.5</v>
      </c>
      <c r="L844" s="219">
        <v>-170.0</v>
      </c>
      <c r="M844" s="219" t="s">
        <v>235</v>
      </c>
      <c r="N844" s="1">
        <v>117.0</v>
      </c>
      <c r="O844" s="1">
        <v>116.0</v>
      </c>
      <c r="P844" s="1">
        <v>1.0</v>
      </c>
      <c r="Q844" s="1" t="b">
        <v>1</v>
      </c>
      <c r="R844" s="1">
        <v>100.0</v>
      </c>
      <c r="S844" s="1" t="s">
        <v>296</v>
      </c>
      <c r="T844" s="1" t="s">
        <v>422</v>
      </c>
      <c r="U844" s="1"/>
    </row>
    <row r="845">
      <c r="A845" s="218">
        <v>45208.92763155093</v>
      </c>
      <c r="B845" s="1" t="s">
        <v>61</v>
      </c>
      <c r="C845" s="1" t="s">
        <v>266</v>
      </c>
      <c r="D845" s="1">
        <v>5.0</v>
      </c>
      <c r="E845" s="1">
        <v>1.0</v>
      </c>
      <c r="F845" s="1" t="s">
        <v>1301</v>
      </c>
      <c r="G845" s="218">
        <v>45213.66666666667</v>
      </c>
      <c r="H845" s="1" t="s">
        <v>69</v>
      </c>
      <c r="I845" s="1" t="s">
        <v>92</v>
      </c>
      <c r="J845" s="219">
        <v>4.5</v>
      </c>
      <c r="K845" s="219">
        <v>9.5</v>
      </c>
      <c r="L845" s="219">
        <v>285.0</v>
      </c>
      <c r="M845" s="219" t="s">
        <v>1302</v>
      </c>
      <c r="N845" s="1">
        <v>131.0</v>
      </c>
      <c r="O845" s="1">
        <v>98.0</v>
      </c>
      <c r="P845" s="1">
        <v>1.0</v>
      </c>
      <c r="Q845" s="1" t="b">
        <v>0</v>
      </c>
      <c r="R845" s="1">
        <v>100.0</v>
      </c>
      <c r="S845" s="1" t="s">
        <v>282</v>
      </c>
      <c r="T845" s="1" t="s">
        <v>422</v>
      </c>
      <c r="U845" s="1"/>
    </row>
    <row r="846">
      <c r="A846" s="218">
        <v>45208.92763155093</v>
      </c>
      <c r="B846" s="1" t="s">
        <v>61</v>
      </c>
      <c r="C846" s="1" t="s">
        <v>271</v>
      </c>
      <c r="D846" s="1">
        <v>2.0</v>
      </c>
      <c r="E846" s="1">
        <v>4.0</v>
      </c>
      <c r="F846" s="1" t="s">
        <v>1289</v>
      </c>
      <c r="G846" s="218">
        <v>45213.83333333333</v>
      </c>
      <c r="H846" s="1" t="s">
        <v>70</v>
      </c>
      <c r="I846" s="1" t="s">
        <v>40</v>
      </c>
      <c r="J846" s="219">
        <v>8.5</v>
      </c>
      <c r="K846" s="219">
        <v>9.5</v>
      </c>
      <c r="L846" s="219">
        <v>260.0</v>
      </c>
      <c r="M846" s="219" t="s">
        <v>990</v>
      </c>
      <c r="N846" s="1">
        <v>191.0</v>
      </c>
      <c r="O846" s="1">
        <v>215.0</v>
      </c>
      <c r="P846" s="1">
        <v>1.0</v>
      </c>
      <c r="Q846" s="1" t="b">
        <v>1</v>
      </c>
      <c r="R846" s="1">
        <v>100.0</v>
      </c>
      <c r="S846" s="1" t="s">
        <v>407</v>
      </c>
      <c r="T846" s="1" t="s">
        <v>423</v>
      </c>
      <c r="U846" s="1"/>
    </row>
    <row r="847">
      <c r="A847" s="218">
        <v>45208.92763155093</v>
      </c>
      <c r="B847" s="1" t="s">
        <v>61</v>
      </c>
      <c r="C847" s="1" t="s">
        <v>268</v>
      </c>
      <c r="D847" s="1">
        <v>4.0</v>
      </c>
      <c r="E847" s="1">
        <v>2.0</v>
      </c>
      <c r="F847" s="1" t="s">
        <v>1283</v>
      </c>
      <c r="G847" s="218">
        <v>45213.83333333333</v>
      </c>
      <c r="H847" s="1" t="s">
        <v>46</v>
      </c>
      <c r="I847" s="1" t="s">
        <v>900</v>
      </c>
      <c r="J847" s="219">
        <v>3.5</v>
      </c>
      <c r="K847" s="219">
        <v>3.5</v>
      </c>
      <c r="L847" s="219">
        <v>130.0</v>
      </c>
      <c r="M847" s="219" t="s">
        <v>151</v>
      </c>
      <c r="N847" s="1">
        <v>175.0</v>
      </c>
      <c r="O847" s="1">
        <v>141.0</v>
      </c>
      <c r="P847" s="1">
        <v>1.0</v>
      </c>
      <c r="Q847" s="1" t="b">
        <v>1</v>
      </c>
      <c r="R847" s="1">
        <v>100.0</v>
      </c>
      <c r="S847" s="1" t="s">
        <v>301</v>
      </c>
      <c r="T847" s="1" t="s">
        <v>422</v>
      </c>
      <c r="U847" s="1"/>
    </row>
    <row r="848">
      <c r="A848" s="218">
        <v>45215.92763569445</v>
      </c>
      <c r="B848" s="1" t="s">
        <v>35</v>
      </c>
      <c r="C848" s="1" t="s">
        <v>78</v>
      </c>
      <c r="D848" s="1">
        <v>0.0</v>
      </c>
      <c r="E848" s="1">
        <v>6.0</v>
      </c>
      <c r="F848" s="1" t="s">
        <v>1304</v>
      </c>
      <c r="G848" s="218">
        <v>45217.79166666667</v>
      </c>
      <c r="H848" s="1" t="s">
        <v>67</v>
      </c>
      <c r="I848" s="1" t="s">
        <v>99</v>
      </c>
      <c r="J848" s="219">
        <v>-4.5</v>
      </c>
      <c r="K848" s="219">
        <v>-5.5</v>
      </c>
      <c r="L848" s="219">
        <v>160.0</v>
      </c>
      <c r="M848" s="219" t="s">
        <v>1305</v>
      </c>
      <c r="N848" s="1">
        <v>67.0</v>
      </c>
      <c r="O848" s="1">
        <v>148.0</v>
      </c>
      <c r="P848" s="1">
        <v>1.0</v>
      </c>
      <c r="Q848" s="1" t="b">
        <v>1</v>
      </c>
      <c r="R848" s="1">
        <v>100.0</v>
      </c>
      <c r="S848" s="1" t="s">
        <v>351</v>
      </c>
      <c r="T848" s="1" t="s">
        <v>423</v>
      </c>
      <c r="U848" s="1"/>
    </row>
    <row r="849">
      <c r="A849" s="218">
        <v>45215.92763569445</v>
      </c>
      <c r="B849" s="1" t="s">
        <v>35</v>
      </c>
      <c r="C849" s="1" t="s">
        <v>81</v>
      </c>
      <c r="D849" s="1">
        <v>2.0</v>
      </c>
      <c r="E849" s="1">
        <v>5.0</v>
      </c>
      <c r="F849" s="1" t="s">
        <v>1306</v>
      </c>
      <c r="G849" s="218">
        <v>45219.79166666667</v>
      </c>
      <c r="H849" s="1" t="s">
        <v>60</v>
      </c>
      <c r="I849" s="1" t="s">
        <v>36</v>
      </c>
      <c r="J849" s="219">
        <v>14.5</v>
      </c>
      <c r="K849" s="219">
        <v>18.5</v>
      </c>
      <c r="L849" s="219">
        <v>-1250.0</v>
      </c>
      <c r="M849" s="219" t="s">
        <v>104</v>
      </c>
      <c r="N849" s="1">
        <v>153.0</v>
      </c>
      <c r="O849" s="1">
        <v>249.0</v>
      </c>
      <c r="P849" s="1">
        <v>1.0</v>
      </c>
      <c r="Q849" s="1" t="b">
        <v>1</v>
      </c>
      <c r="R849" s="1">
        <v>100.0</v>
      </c>
      <c r="S849" s="1" t="s">
        <v>407</v>
      </c>
      <c r="T849" s="1" t="s">
        <v>423</v>
      </c>
      <c r="U849" s="1"/>
    </row>
    <row r="850">
      <c r="A850" s="218">
        <v>45215.92763569445</v>
      </c>
      <c r="B850" s="1" t="s">
        <v>35</v>
      </c>
      <c r="C850" s="1" t="s">
        <v>80</v>
      </c>
      <c r="D850" s="1">
        <v>3.0</v>
      </c>
      <c r="E850" s="1">
        <v>3.0</v>
      </c>
      <c r="F850" s="1" t="s">
        <v>1307</v>
      </c>
      <c r="G850" s="218">
        <v>45220.64583333333</v>
      </c>
      <c r="H850" s="1" t="s">
        <v>125</v>
      </c>
      <c r="I850" s="1" t="s">
        <v>888</v>
      </c>
      <c r="J850" s="219">
        <v>-12.5</v>
      </c>
      <c r="K850" s="219">
        <v>-12.5</v>
      </c>
      <c r="L850" s="219">
        <v>390.0</v>
      </c>
      <c r="M850" s="219" t="s">
        <v>122</v>
      </c>
      <c r="N850" s="1">
        <v>114.0</v>
      </c>
      <c r="O850" s="1">
        <v>126.0</v>
      </c>
      <c r="P850" s="1">
        <v>1.0</v>
      </c>
      <c r="Q850" s="1" t="b">
        <v>0</v>
      </c>
      <c r="R850" s="1">
        <v>100.0</v>
      </c>
      <c r="S850" s="1" t="s">
        <v>282</v>
      </c>
      <c r="T850" s="1" t="s">
        <v>422</v>
      </c>
      <c r="U850" s="1"/>
    </row>
    <row r="851">
      <c r="A851" s="218">
        <v>45215.92763569445</v>
      </c>
      <c r="B851" s="1" t="s">
        <v>35</v>
      </c>
      <c r="C851" s="1" t="s">
        <v>38</v>
      </c>
      <c r="D851" s="1">
        <v>5.0</v>
      </c>
      <c r="E851" s="1">
        <v>1.0</v>
      </c>
      <c r="F851" s="1" t="s">
        <v>1308</v>
      </c>
      <c r="G851" s="218">
        <v>45220.64583333333</v>
      </c>
      <c r="H851" s="1" t="s">
        <v>125</v>
      </c>
      <c r="I851" s="1" t="s">
        <v>82</v>
      </c>
      <c r="J851" s="219">
        <v>-15.5</v>
      </c>
      <c r="K851" s="219">
        <v>-18.5</v>
      </c>
      <c r="L851" s="219">
        <v>800.0</v>
      </c>
      <c r="M851" s="219" t="s">
        <v>969</v>
      </c>
      <c r="N851" s="1">
        <v>291.0</v>
      </c>
      <c r="O851" s="1">
        <v>95.0</v>
      </c>
      <c r="P851" s="1">
        <v>1.0</v>
      </c>
      <c r="Q851" s="1" t="b">
        <v>1</v>
      </c>
      <c r="R851" s="1">
        <v>100.0</v>
      </c>
      <c r="S851" s="1" t="s">
        <v>354</v>
      </c>
      <c r="T851" s="1" t="s">
        <v>422</v>
      </c>
      <c r="U851" s="1"/>
    </row>
    <row r="852">
      <c r="A852" s="218">
        <v>45215.92763569445</v>
      </c>
      <c r="B852" s="1" t="s">
        <v>35</v>
      </c>
      <c r="C852" s="1" t="s">
        <v>75</v>
      </c>
      <c r="D852" s="1">
        <v>1.0</v>
      </c>
      <c r="E852" s="1">
        <v>6.0</v>
      </c>
      <c r="F852" s="1" t="s">
        <v>1309</v>
      </c>
      <c r="G852" s="218">
        <v>45220.64583333333</v>
      </c>
      <c r="H852" s="1" t="s">
        <v>70</v>
      </c>
      <c r="I852" s="1" t="s">
        <v>935</v>
      </c>
      <c r="J852" s="219">
        <v>8.5</v>
      </c>
      <c r="K852" s="219">
        <v>7.5</v>
      </c>
      <c r="L852" s="219">
        <v>-310.0</v>
      </c>
      <c r="M852" s="219" t="s">
        <v>151</v>
      </c>
      <c r="N852" s="1">
        <v>94.0</v>
      </c>
      <c r="O852" s="1">
        <v>240.0</v>
      </c>
      <c r="P852" s="1">
        <v>1.0</v>
      </c>
      <c r="Q852" s="1" t="b">
        <v>0</v>
      </c>
      <c r="R852" s="1">
        <v>100.0</v>
      </c>
      <c r="S852" s="1" t="s">
        <v>352</v>
      </c>
      <c r="T852" s="1" t="s">
        <v>423</v>
      </c>
      <c r="U852" s="1"/>
    </row>
    <row r="853">
      <c r="A853" s="218">
        <v>45215.92763569445</v>
      </c>
      <c r="B853" s="1" t="s">
        <v>35</v>
      </c>
      <c r="C853" s="1" t="s">
        <v>88</v>
      </c>
      <c r="D853" s="1">
        <v>2.0</v>
      </c>
      <c r="E853" s="1">
        <v>4.0</v>
      </c>
      <c r="F853" s="1" t="s">
        <v>1310</v>
      </c>
      <c r="G853" s="218">
        <v>45220.75</v>
      </c>
      <c r="H853" s="1" t="s">
        <v>60</v>
      </c>
      <c r="I853" s="1" t="s">
        <v>1077</v>
      </c>
      <c r="J853" s="219">
        <v>-2.5</v>
      </c>
      <c r="K853" s="219">
        <v>-2.5</v>
      </c>
      <c r="L853" s="219">
        <v>108.0</v>
      </c>
      <c r="M853" s="219" t="s">
        <v>954</v>
      </c>
      <c r="N853" s="1">
        <v>167.0</v>
      </c>
      <c r="O853" s="1">
        <v>207.0</v>
      </c>
      <c r="P853" s="1">
        <v>1.0</v>
      </c>
      <c r="Q853" s="1" t="b">
        <v>1</v>
      </c>
      <c r="R853" s="1">
        <v>100.0</v>
      </c>
      <c r="S853" s="1" t="s">
        <v>353</v>
      </c>
      <c r="T853" s="1" t="s">
        <v>423</v>
      </c>
      <c r="U853" s="1"/>
    </row>
    <row r="854">
      <c r="A854" s="218">
        <v>45215.92763569445</v>
      </c>
      <c r="B854" s="1" t="s">
        <v>35</v>
      </c>
      <c r="C854" s="1" t="s">
        <v>74</v>
      </c>
      <c r="D854" s="1">
        <v>4.0</v>
      </c>
      <c r="E854" s="1">
        <v>2.0</v>
      </c>
      <c r="F854" s="1" t="s">
        <v>1311</v>
      </c>
      <c r="G854" s="218">
        <v>45220.79166666667</v>
      </c>
      <c r="H854" s="1" t="s">
        <v>67</v>
      </c>
      <c r="I854" s="1" t="s">
        <v>36</v>
      </c>
      <c r="J854" s="219">
        <v>-7.5</v>
      </c>
      <c r="K854" s="219">
        <v>-7.5</v>
      </c>
      <c r="L854" s="219">
        <v>225.0</v>
      </c>
      <c r="M854" s="219" t="s">
        <v>104</v>
      </c>
      <c r="N854" s="1">
        <v>217.0</v>
      </c>
      <c r="O854" s="1">
        <v>124.0</v>
      </c>
      <c r="P854" s="1">
        <v>1.0</v>
      </c>
      <c r="Q854" s="1" t="b">
        <v>0</v>
      </c>
      <c r="R854" s="1">
        <v>100.0</v>
      </c>
      <c r="S854" s="1" t="s">
        <v>296</v>
      </c>
      <c r="T854" s="1" t="s">
        <v>422</v>
      </c>
      <c r="U854" s="1"/>
    </row>
    <row r="855">
      <c r="A855" s="218">
        <v>45215.92763569445</v>
      </c>
      <c r="B855" s="1" t="s">
        <v>35</v>
      </c>
      <c r="C855" s="1" t="s">
        <v>71</v>
      </c>
      <c r="D855" s="1">
        <v>3.0</v>
      </c>
      <c r="E855" s="1">
        <v>3.0</v>
      </c>
      <c r="F855" s="1" t="s">
        <v>1312</v>
      </c>
      <c r="G855" s="218">
        <v>45220.79166666667</v>
      </c>
      <c r="H855" s="1" t="s">
        <v>61</v>
      </c>
      <c r="I855" s="1" t="s">
        <v>981</v>
      </c>
      <c r="J855" s="219">
        <v>-6.5</v>
      </c>
      <c r="K855" s="219">
        <v>-6.5</v>
      </c>
      <c r="L855" s="219">
        <v>-245.0</v>
      </c>
      <c r="M855" s="219" t="s">
        <v>68</v>
      </c>
      <c r="N855" s="1">
        <v>206.0</v>
      </c>
      <c r="O855" s="1">
        <v>181.0</v>
      </c>
      <c r="P855" s="1">
        <v>1.0</v>
      </c>
      <c r="Q855" s="1" t="b">
        <v>0</v>
      </c>
      <c r="R855" s="1">
        <v>100.0</v>
      </c>
      <c r="S855" s="1" t="s">
        <v>355</v>
      </c>
      <c r="T855" s="1" t="s">
        <v>423</v>
      </c>
      <c r="U855" s="1"/>
    </row>
    <row r="856">
      <c r="A856" s="218">
        <v>45215.92763569445</v>
      </c>
      <c r="B856" s="1" t="s">
        <v>35</v>
      </c>
      <c r="C856" s="1" t="s">
        <v>79</v>
      </c>
      <c r="D856" s="1">
        <v>4.0</v>
      </c>
      <c r="E856" s="1">
        <v>2.0</v>
      </c>
      <c r="F856" s="1" t="s">
        <v>1313</v>
      </c>
      <c r="G856" s="218">
        <v>45220.83333333333</v>
      </c>
      <c r="H856" s="1" t="s">
        <v>70</v>
      </c>
      <c r="I856" s="1" t="s">
        <v>40</v>
      </c>
      <c r="J856" s="219">
        <v>4.5</v>
      </c>
      <c r="K856" s="219">
        <v>3.0</v>
      </c>
      <c r="L856" s="219">
        <v>-140.0</v>
      </c>
      <c r="M856" s="219" t="s">
        <v>874</v>
      </c>
      <c r="N856" s="1">
        <v>226.0</v>
      </c>
      <c r="O856" s="1">
        <v>114.0</v>
      </c>
      <c r="P856" s="1">
        <v>1.0</v>
      </c>
      <c r="Q856" s="1" t="b">
        <v>1</v>
      </c>
      <c r="R856" s="1">
        <v>100.0</v>
      </c>
      <c r="S856" s="1" t="s">
        <v>301</v>
      </c>
      <c r="T856" s="1" t="s">
        <v>422</v>
      </c>
      <c r="U856" s="1"/>
    </row>
    <row r="857">
      <c r="A857" s="218">
        <v>45215.92763569445</v>
      </c>
      <c r="B857" s="1" t="s">
        <v>35</v>
      </c>
      <c r="C857" s="1" t="s">
        <v>63</v>
      </c>
      <c r="D857" s="1">
        <v>7.0</v>
      </c>
      <c r="E857" s="1">
        <v>0.0</v>
      </c>
      <c r="F857" s="1"/>
      <c r="G857" s="218"/>
      <c r="H857" s="1"/>
      <c r="I857" s="1"/>
      <c r="J857" s="219">
        <v>-31.5</v>
      </c>
      <c r="K857" s="219">
        <v>-32.5</v>
      </c>
      <c r="L857" s="219">
        <v>-10000.0</v>
      </c>
      <c r="M857" s="219" t="s">
        <v>68</v>
      </c>
      <c r="N857" s="1">
        <v>281.0</v>
      </c>
      <c r="O857" s="1">
        <v>98.0</v>
      </c>
      <c r="P857" s="1">
        <v>3.0</v>
      </c>
      <c r="Q857" s="1" t="b">
        <v>1</v>
      </c>
      <c r="R857" s="1">
        <v>100.0</v>
      </c>
      <c r="S857" s="1" t="s">
        <v>292</v>
      </c>
      <c r="T857" s="1" t="s">
        <v>422</v>
      </c>
      <c r="U857" s="1"/>
    </row>
    <row r="858">
      <c r="A858" s="218">
        <v>45215.92763569445</v>
      </c>
      <c r="B858" s="1"/>
      <c r="C858" s="1"/>
      <c r="D858" s="1"/>
      <c r="E858" s="1"/>
      <c r="F858" s="1"/>
      <c r="G858" s="218"/>
      <c r="H858" s="1"/>
      <c r="I858" s="1"/>
      <c r="J858" s="219"/>
      <c r="K858" s="219"/>
      <c r="L858" s="219"/>
      <c r="M858" s="219"/>
      <c r="N858" s="1"/>
      <c r="O858" s="1"/>
      <c r="P858" s="1"/>
      <c r="Q858" s="1"/>
      <c r="R858" s="1"/>
      <c r="S858" s="1" t="e">
        <v>#N/A</v>
      </c>
      <c r="T858" s="1" t="e">
        <v>#N/A</v>
      </c>
      <c r="U858" s="1"/>
    </row>
    <row r="859">
      <c r="A859" s="218">
        <v>45215.92763569445</v>
      </c>
      <c r="B859" s="1" t="s">
        <v>58</v>
      </c>
      <c r="C859" s="1" t="s">
        <v>102</v>
      </c>
      <c r="D859" s="1">
        <v>6.0</v>
      </c>
      <c r="E859" s="1">
        <v>0.0</v>
      </c>
      <c r="F859" s="1" t="s">
        <v>1314</v>
      </c>
      <c r="G859" s="218">
        <v>45216.79166666667</v>
      </c>
      <c r="H859" s="1" t="s">
        <v>61</v>
      </c>
      <c r="I859" s="1" t="s">
        <v>99</v>
      </c>
      <c r="J859" s="219">
        <v>-10.5</v>
      </c>
      <c r="K859" s="219">
        <v>-13.5</v>
      </c>
      <c r="L859" s="219">
        <v>460.0</v>
      </c>
      <c r="M859" s="219" t="s">
        <v>68</v>
      </c>
      <c r="N859" s="1">
        <v>212.0</v>
      </c>
      <c r="O859" s="1">
        <v>103.0</v>
      </c>
      <c r="P859" s="1">
        <v>1.0</v>
      </c>
      <c r="Q859" s="1" t="b">
        <v>1</v>
      </c>
      <c r="R859" s="1">
        <v>100.0</v>
      </c>
      <c r="S859" s="1" t="s">
        <v>351</v>
      </c>
      <c r="T859" s="1" t="s">
        <v>423</v>
      </c>
      <c r="U859" s="1"/>
    </row>
    <row r="860">
      <c r="A860" s="218">
        <v>45215.92763569445</v>
      </c>
      <c r="B860" s="1" t="s">
        <v>58</v>
      </c>
      <c r="C860" s="1" t="s">
        <v>111</v>
      </c>
      <c r="D860" s="1">
        <v>4.0</v>
      </c>
      <c r="E860" s="1">
        <v>2.0</v>
      </c>
      <c r="F860" s="1" t="s">
        <v>1315</v>
      </c>
      <c r="G860" s="218">
        <v>45218.79166666667</v>
      </c>
      <c r="H860" s="1" t="s">
        <v>125</v>
      </c>
      <c r="I860" s="1" t="s">
        <v>76</v>
      </c>
      <c r="J860" s="219">
        <v>3.5</v>
      </c>
      <c r="K860" s="219">
        <v>3.5</v>
      </c>
      <c r="L860" s="219">
        <v>-170.0</v>
      </c>
      <c r="M860" s="219" t="s">
        <v>73</v>
      </c>
      <c r="N860" s="1">
        <v>182.0</v>
      </c>
      <c r="O860" s="1">
        <v>171.0</v>
      </c>
      <c r="P860" s="1">
        <v>1.0</v>
      </c>
      <c r="Q860" s="1" t="b">
        <v>0</v>
      </c>
      <c r="R860" s="1">
        <v>100.0</v>
      </c>
      <c r="S860" s="1" t="s">
        <v>355</v>
      </c>
      <c r="T860" s="1" t="s">
        <v>423</v>
      </c>
      <c r="U860" s="1"/>
    </row>
    <row r="861">
      <c r="A861" s="218">
        <v>45215.92763569445</v>
      </c>
      <c r="B861" s="1" t="s">
        <v>58</v>
      </c>
      <c r="C861" s="1" t="s">
        <v>116</v>
      </c>
      <c r="D861" s="1">
        <v>3.0</v>
      </c>
      <c r="E861" s="1">
        <v>3.0</v>
      </c>
      <c r="F861" s="1" t="s">
        <v>1316</v>
      </c>
      <c r="G861" s="218">
        <v>45220.64583333333</v>
      </c>
      <c r="H861" s="1" t="s">
        <v>61</v>
      </c>
      <c r="I861" s="1" t="s">
        <v>90</v>
      </c>
      <c r="J861" s="219">
        <v>6.5</v>
      </c>
      <c r="K861" s="219">
        <v>4.5</v>
      </c>
      <c r="L861" s="219">
        <v>150.0</v>
      </c>
      <c r="M861" s="219" t="s">
        <v>1317</v>
      </c>
      <c r="N861" s="1">
        <v>130.0</v>
      </c>
      <c r="O861" s="1">
        <v>160.0</v>
      </c>
      <c r="P861" s="1">
        <v>1.0</v>
      </c>
      <c r="Q861" s="1" t="b">
        <v>0</v>
      </c>
      <c r="R861" s="1">
        <v>100.0</v>
      </c>
      <c r="S861" s="1" t="s">
        <v>282</v>
      </c>
      <c r="T861" s="1" t="s">
        <v>422</v>
      </c>
      <c r="U861" s="1"/>
    </row>
    <row r="862">
      <c r="A862" s="218">
        <v>45215.92763569445</v>
      </c>
      <c r="B862" s="1" t="s">
        <v>58</v>
      </c>
      <c r="C862" s="1" t="s">
        <v>117</v>
      </c>
      <c r="D862" s="1">
        <v>3.0</v>
      </c>
      <c r="E862" s="1">
        <v>4.0</v>
      </c>
      <c r="F862" s="1" t="s">
        <v>1318</v>
      </c>
      <c r="G862" s="218">
        <v>45220.64583333333</v>
      </c>
      <c r="H862" s="1" t="s">
        <v>59</v>
      </c>
      <c r="I862" s="1" t="s">
        <v>935</v>
      </c>
      <c r="J862" s="219">
        <v>-10.5</v>
      </c>
      <c r="K862" s="219">
        <v>-11.5</v>
      </c>
      <c r="L862" s="219">
        <v>390.0</v>
      </c>
      <c r="M862" s="219" t="s">
        <v>867</v>
      </c>
      <c r="N862" s="1">
        <v>174.0</v>
      </c>
      <c r="O862" s="1">
        <v>157.0</v>
      </c>
      <c r="P862" s="1">
        <v>1.0</v>
      </c>
      <c r="Q862" s="1" t="b">
        <v>1</v>
      </c>
      <c r="R862" s="1">
        <v>100.0</v>
      </c>
      <c r="S862" s="1" t="s">
        <v>352</v>
      </c>
      <c r="T862" s="1" t="s">
        <v>423</v>
      </c>
      <c r="U862" s="1"/>
    </row>
    <row r="863">
      <c r="A863" s="218">
        <v>45215.92763569445</v>
      </c>
      <c r="B863" s="1" t="s">
        <v>58</v>
      </c>
      <c r="C863" s="1" t="s">
        <v>105</v>
      </c>
      <c r="D863" s="1">
        <v>3.0</v>
      </c>
      <c r="E863" s="1">
        <v>3.0</v>
      </c>
      <c r="F863" s="1" t="s">
        <v>1319</v>
      </c>
      <c r="G863" s="218">
        <v>45220.79166666667</v>
      </c>
      <c r="H863" s="1" t="s">
        <v>57</v>
      </c>
      <c r="I863" s="1" t="s">
        <v>1185</v>
      </c>
      <c r="J863" s="219">
        <v>3.5</v>
      </c>
      <c r="K863" s="219">
        <v>7.0</v>
      </c>
      <c r="L863" s="219">
        <v>240.0</v>
      </c>
      <c r="M863" s="219" t="s">
        <v>971</v>
      </c>
      <c r="N863" s="1">
        <v>186.0</v>
      </c>
      <c r="O863" s="1">
        <v>210.0</v>
      </c>
      <c r="P863" s="1">
        <v>1.0</v>
      </c>
      <c r="Q863" s="1" t="b">
        <v>0</v>
      </c>
      <c r="R863" s="1">
        <v>100.0</v>
      </c>
      <c r="S863" s="1" t="s">
        <v>353</v>
      </c>
      <c r="T863" s="1" t="s">
        <v>423</v>
      </c>
      <c r="U863" s="1"/>
    </row>
    <row r="864">
      <c r="A864" s="218">
        <v>45215.92763569445</v>
      </c>
      <c r="B864" s="1" t="s">
        <v>58</v>
      </c>
      <c r="C864" s="1" t="s">
        <v>112</v>
      </c>
      <c r="D864" s="1">
        <v>3.0</v>
      </c>
      <c r="E864" s="1">
        <v>3.0</v>
      </c>
      <c r="F864" s="1" t="s">
        <v>1320</v>
      </c>
      <c r="G864" s="218">
        <v>45220.79166666667</v>
      </c>
      <c r="H864" s="1" t="s">
        <v>67</v>
      </c>
      <c r="I864" s="1" t="s">
        <v>76</v>
      </c>
      <c r="J864" s="219">
        <v>6.5</v>
      </c>
      <c r="K864" s="219">
        <v>6.5</v>
      </c>
      <c r="L864" s="219">
        <v>-235.0</v>
      </c>
      <c r="M864" s="219" t="s">
        <v>104</v>
      </c>
      <c r="N864" s="1">
        <v>166.0</v>
      </c>
      <c r="O864" s="1">
        <v>139.0</v>
      </c>
      <c r="P864" s="1">
        <v>1.0</v>
      </c>
      <c r="Q864" s="1" t="b">
        <v>0</v>
      </c>
      <c r="R864" s="1">
        <v>100.0</v>
      </c>
      <c r="S864" s="1" t="s">
        <v>292</v>
      </c>
      <c r="T864" s="1" t="s">
        <v>422</v>
      </c>
      <c r="U864" s="1"/>
    </row>
    <row r="865">
      <c r="A865" s="218">
        <v>45215.92763569445</v>
      </c>
      <c r="B865" s="1" t="s">
        <v>58</v>
      </c>
      <c r="C865" s="1" t="s">
        <v>119</v>
      </c>
      <c r="D865" s="1">
        <v>4.0</v>
      </c>
      <c r="E865" s="1">
        <v>2.0</v>
      </c>
      <c r="F865" s="1" t="s">
        <v>1321</v>
      </c>
      <c r="G865" s="218">
        <v>45220.79166666667</v>
      </c>
      <c r="H865" s="1" t="s">
        <v>46</v>
      </c>
      <c r="I865" s="1" t="s">
        <v>96</v>
      </c>
      <c r="J865" s="219">
        <v>2.5</v>
      </c>
      <c r="K865" s="219">
        <v>4.0</v>
      </c>
      <c r="L865" s="219">
        <v>-178.0</v>
      </c>
      <c r="M865" s="219" t="s">
        <v>845</v>
      </c>
      <c r="N865" s="1">
        <v>166.0</v>
      </c>
      <c r="O865" s="1">
        <v>156.0</v>
      </c>
      <c r="P865" s="1">
        <v>1.0</v>
      </c>
      <c r="Q865" s="1" t="b">
        <v>0</v>
      </c>
      <c r="R865" s="1">
        <v>100.0</v>
      </c>
      <c r="S865" s="1" t="s">
        <v>296</v>
      </c>
      <c r="T865" s="1" t="s">
        <v>422</v>
      </c>
      <c r="U865" s="1"/>
    </row>
    <row r="866">
      <c r="A866" s="218">
        <v>45215.92763569445</v>
      </c>
      <c r="B866" s="1" t="s">
        <v>58</v>
      </c>
      <c r="C866" s="1" t="s">
        <v>109</v>
      </c>
      <c r="D866" s="1">
        <v>4.0</v>
      </c>
      <c r="E866" s="1">
        <v>2.0</v>
      </c>
      <c r="F866" s="1" t="s">
        <v>1322</v>
      </c>
      <c r="G866" s="218">
        <v>45220.9375</v>
      </c>
      <c r="H866" s="1" t="s">
        <v>70</v>
      </c>
      <c r="I866" s="1" t="s">
        <v>76</v>
      </c>
      <c r="J866" s="219">
        <v>-16.5</v>
      </c>
      <c r="K866" s="219">
        <v>-16.5</v>
      </c>
      <c r="L866" s="219">
        <v>-850.0</v>
      </c>
      <c r="M866" s="219" t="s">
        <v>840</v>
      </c>
      <c r="N866" s="1">
        <v>177.0</v>
      </c>
      <c r="O866" s="1">
        <v>97.0</v>
      </c>
      <c r="P866" s="1">
        <v>1.0</v>
      </c>
      <c r="Q866" s="1" t="b">
        <v>1</v>
      </c>
      <c r="R866" s="1">
        <v>100.0</v>
      </c>
      <c r="S866" s="1" t="s">
        <v>354</v>
      </c>
      <c r="T866" s="1" t="s">
        <v>422</v>
      </c>
      <c r="U866" s="1"/>
    </row>
    <row r="867">
      <c r="A867" s="218">
        <v>45215.92763569445</v>
      </c>
      <c r="B867" s="1" t="s">
        <v>58</v>
      </c>
      <c r="C867" s="1" t="s">
        <v>118</v>
      </c>
      <c r="D867" s="1">
        <v>4.0</v>
      </c>
      <c r="E867" s="1">
        <v>2.0</v>
      </c>
      <c r="F867" s="1" t="s">
        <v>1323</v>
      </c>
      <c r="G867" s="218">
        <v>45220.5</v>
      </c>
      <c r="H867" s="1" t="s">
        <v>61</v>
      </c>
      <c r="I867" s="1" t="s">
        <v>36</v>
      </c>
      <c r="J867" s="219">
        <v>-4.5</v>
      </c>
      <c r="K867" s="219">
        <v>-4.5</v>
      </c>
      <c r="L867" s="219">
        <v>-205.0</v>
      </c>
      <c r="M867" s="219" t="s">
        <v>908</v>
      </c>
      <c r="N867" s="1">
        <v>204.0</v>
      </c>
      <c r="O867" s="1">
        <v>138.0</v>
      </c>
      <c r="P867" s="1">
        <v>1.0</v>
      </c>
      <c r="Q867" s="1" t="b">
        <v>1</v>
      </c>
      <c r="R867" s="1">
        <v>100.0</v>
      </c>
      <c r="S867" s="1" t="s">
        <v>407</v>
      </c>
      <c r="T867" s="1" t="s">
        <v>423</v>
      </c>
      <c r="U867" s="1"/>
    </row>
    <row r="868">
      <c r="A868" s="218">
        <v>45215.92763569445</v>
      </c>
      <c r="B868" s="1" t="s">
        <v>58</v>
      </c>
      <c r="C868" s="1" t="s">
        <v>113</v>
      </c>
      <c r="D868" s="1">
        <v>3.0</v>
      </c>
      <c r="E868" s="1">
        <v>4.0</v>
      </c>
      <c r="F868" s="1"/>
      <c r="G868" s="218"/>
      <c r="H868" s="1"/>
      <c r="I868" s="1"/>
      <c r="J868" s="219"/>
      <c r="K868" s="219"/>
      <c r="L868" s="219"/>
      <c r="M868" s="219"/>
      <c r="N868" s="1">
        <v>171.0</v>
      </c>
      <c r="O868" s="1">
        <v>173.0</v>
      </c>
      <c r="P868" s="1">
        <v>3.0</v>
      </c>
      <c r="Q868" s="1" t="b">
        <v>1</v>
      </c>
      <c r="R868" s="1">
        <v>100.0</v>
      </c>
      <c r="S868" s="1" t="s">
        <v>301</v>
      </c>
      <c r="T868" s="1" t="s">
        <v>422</v>
      </c>
      <c r="U868" s="1"/>
    </row>
    <row r="869">
      <c r="A869" s="218">
        <v>45215.92763569445</v>
      </c>
      <c r="B869" s="1"/>
      <c r="C869" s="1"/>
      <c r="D869" s="1"/>
      <c r="E869" s="1"/>
      <c r="F869" s="1"/>
      <c r="G869" s="218"/>
      <c r="H869" s="1"/>
      <c r="I869" s="1"/>
      <c r="J869" s="219"/>
      <c r="K869" s="219"/>
      <c r="L869" s="219"/>
      <c r="M869" s="219"/>
      <c r="N869" s="1"/>
      <c r="O869" s="1"/>
      <c r="P869" s="1"/>
      <c r="Q869" s="1"/>
      <c r="R869" s="1"/>
      <c r="S869" s="1" t="e">
        <v>#N/A</v>
      </c>
      <c r="T869" s="1" t="e">
        <v>#N/A</v>
      </c>
      <c r="U869" s="1"/>
    </row>
    <row r="870">
      <c r="A870" s="218">
        <v>45215.92763569445</v>
      </c>
      <c r="B870" s="1" t="s">
        <v>56</v>
      </c>
      <c r="C870" s="1" t="s">
        <v>120</v>
      </c>
      <c r="D870" s="1">
        <v>6.0</v>
      </c>
      <c r="E870" s="1">
        <v>1.0</v>
      </c>
      <c r="F870" s="1" t="s">
        <v>1324</v>
      </c>
      <c r="G870" s="218">
        <v>45220.66666666667</v>
      </c>
      <c r="H870" s="1" t="s">
        <v>62</v>
      </c>
      <c r="I870" s="1" t="s">
        <v>40</v>
      </c>
      <c r="J870" s="219">
        <v>0.5</v>
      </c>
      <c r="K870" s="219">
        <v>0.5</v>
      </c>
      <c r="L870" s="219">
        <v>-114.0</v>
      </c>
      <c r="M870" s="219" t="s">
        <v>937</v>
      </c>
      <c r="N870" s="1">
        <v>258.0</v>
      </c>
      <c r="O870" s="1">
        <v>144.0</v>
      </c>
      <c r="P870" s="1">
        <v>1.0</v>
      </c>
      <c r="Q870" s="1" t="b">
        <v>1</v>
      </c>
      <c r="R870" s="1">
        <v>100.0</v>
      </c>
      <c r="S870" s="1" t="s">
        <v>352</v>
      </c>
      <c r="T870" s="1" t="s">
        <v>423</v>
      </c>
      <c r="U870" s="1"/>
    </row>
    <row r="871">
      <c r="A871" s="218">
        <v>45215.92763569445</v>
      </c>
      <c r="B871" s="1" t="s">
        <v>56</v>
      </c>
      <c r="C871" s="1" t="s">
        <v>133</v>
      </c>
      <c r="D871" s="1">
        <v>3.0</v>
      </c>
      <c r="E871" s="1">
        <v>3.0</v>
      </c>
      <c r="F871" s="1" t="s">
        <v>1325</v>
      </c>
      <c r="G871" s="218">
        <v>45220.75</v>
      </c>
      <c r="H871" s="1" t="s">
        <v>70</v>
      </c>
      <c r="I871" s="1" t="s">
        <v>935</v>
      </c>
      <c r="J871" s="219">
        <v>1.5</v>
      </c>
      <c r="K871" s="219">
        <v>3.0</v>
      </c>
      <c r="L871" s="219">
        <v>-154.0</v>
      </c>
      <c r="M871" s="219" t="s">
        <v>203</v>
      </c>
      <c r="N871" s="1">
        <v>159.0</v>
      </c>
      <c r="O871" s="1">
        <v>139.0</v>
      </c>
      <c r="P871" s="1">
        <v>1.0</v>
      </c>
      <c r="Q871" s="1" t="b">
        <v>0</v>
      </c>
      <c r="R871" s="1">
        <v>100.0</v>
      </c>
      <c r="S871" s="1" t="s">
        <v>407</v>
      </c>
      <c r="T871" s="1" t="s">
        <v>423</v>
      </c>
      <c r="U871" s="1"/>
    </row>
    <row r="872">
      <c r="A872" s="218">
        <v>45215.92763569445</v>
      </c>
      <c r="B872" s="1" t="s">
        <v>56</v>
      </c>
      <c r="C872" s="1" t="s">
        <v>129</v>
      </c>
      <c r="D872" s="1">
        <v>2.0</v>
      </c>
      <c r="E872" s="1">
        <v>5.0</v>
      </c>
      <c r="F872" s="1" t="s">
        <v>1326</v>
      </c>
      <c r="G872" s="218">
        <v>45220.79166666667</v>
      </c>
      <c r="H872" s="1" t="s">
        <v>61</v>
      </c>
      <c r="I872" s="1" t="s">
        <v>99</v>
      </c>
      <c r="J872" s="219"/>
      <c r="K872" s="219"/>
      <c r="L872" s="219"/>
      <c r="M872" s="219"/>
      <c r="N872" s="1">
        <v>220.0</v>
      </c>
      <c r="O872" s="1">
        <v>226.0</v>
      </c>
      <c r="P872" s="1">
        <v>1.0</v>
      </c>
      <c r="Q872" s="1" t="b">
        <v>0</v>
      </c>
      <c r="R872" s="1">
        <v>100.0</v>
      </c>
      <c r="S872" s="1" t="s">
        <v>353</v>
      </c>
      <c r="T872" s="1" t="s">
        <v>423</v>
      </c>
      <c r="U872" s="1"/>
    </row>
    <row r="873">
      <c r="A873" s="218">
        <v>45215.92763569445</v>
      </c>
      <c r="B873" s="1" t="s">
        <v>56</v>
      </c>
      <c r="C873" s="1" t="s">
        <v>123</v>
      </c>
      <c r="D873" s="1">
        <v>2.0</v>
      </c>
      <c r="E873" s="1">
        <v>4.0</v>
      </c>
      <c r="F873" s="1" t="s">
        <v>1327</v>
      </c>
      <c r="G873" s="218">
        <v>45220.8125</v>
      </c>
      <c r="H873" s="1" t="s">
        <v>69</v>
      </c>
      <c r="I873" s="1" t="s">
        <v>945</v>
      </c>
      <c r="J873" s="219">
        <v>26.5</v>
      </c>
      <c r="K873" s="219">
        <v>29.5</v>
      </c>
      <c r="L873" s="219">
        <v>1600.0</v>
      </c>
      <c r="M873" s="219" t="s">
        <v>235</v>
      </c>
      <c r="N873" s="1">
        <v>147.0</v>
      </c>
      <c r="O873" s="1">
        <v>121.0</v>
      </c>
      <c r="P873" s="1">
        <v>1.0</v>
      </c>
      <c r="Q873" s="1" t="b">
        <v>1</v>
      </c>
      <c r="R873" s="1">
        <v>100.0</v>
      </c>
      <c r="S873" s="1" t="s">
        <v>351</v>
      </c>
      <c r="T873" s="1" t="s">
        <v>423</v>
      </c>
      <c r="U873" s="1"/>
    </row>
    <row r="874">
      <c r="A874" s="218">
        <v>45215.92763569445</v>
      </c>
      <c r="B874" s="1" t="s">
        <v>56</v>
      </c>
      <c r="C874" s="1" t="s">
        <v>135</v>
      </c>
      <c r="D874" s="1">
        <v>6.0</v>
      </c>
      <c r="E874" s="1">
        <v>0.0</v>
      </c>
      <c r="F874" s="1" t="s">
        <v>1328</v>
      </c>
      <c r="G874" s="218">
        <v>45220.5</v>
      </c>
      <c r="H874" s="1" t="s">
        <v>57</v>
      </c>
      <c r="I874" s="1" t="s">
        <v>92</v>
      </c>
      <c r="J874" s="219">
        <v>10.5</v>
      </c>
      <c r="K874" s="219">
        <v>4.5</v>
      </c>
      <c r="L874" s="219">
        <v>162.0</v>
      </c>
      <c r="M874" s="219" t="s">
        <v>854</v>
      </c>
      <c r="N874" s="1">
        <v>266.0</v>
      </c>
      <c r="O874" s="1">
        <v>48.0</v>
      </c>
      <c r="P874" s="1">
        <v>1.0</v>
      </c>
      <c r="Q874" s="1" t="b">
        <v>0</v>
      </c>
      <c r="R874" s="1">
        <v>100.0</v>
      </c>
      <c r="S874" s="1" t="s">
        <v>282</v>
      </c>
      <c r="T874" s="1" t="s">
        <v>422</v>
      </c>
      <c r="U874" s="1"/>
    </row>
    <row r="875">
      <c r="A875" s="218">
        <v>45215.92763569445</v>
      </c>
      <c r="B875" s="1" t="s">
        <v>56</v>
      </c>
      <c r="C875" s="1" t="s">
        <v>128</v>
      </c>
      <c r="D875" s="1">
        <v>6.0</v>
      </c>
      <c r="E875" s="1">
        <v>2.0</v>
      </c>
      <c r="F875" s="1"/>
      <c r="G875" s="218"/>
      <c r="H875" s="1"/>
      <c r="I875" s="1"/>
      <c r="J875" s="219"/>
      <c r="K875" s="219"/>
      <c r="L875" s="219"/>
      <c r="M875" s="219"/>
      <c r="N875" s="1">
        <v>287.0</v>
      </c>
      <c r="O875" s="1">
        <v>131.0</v>
      </c>
      <c r="P875" s="1">
        <v>3.0</v>
      </c>
      <c r="Q875" s="1" t="b">
        <v>0</v>
      </c>
      <c r="R875" s="1">
        <v>100.0</v>
      </c>
      <c r="S875" s="1" t="s">
        <v>354</v>
      </c>
      <c r="T875" s="1" t="s">
        <v>422</v>
      </c>
      <c r="U875" s="1"/>
    </row>
    <row r="876">
      <c r="A876" s="218">
        <v>45215.92763569445</v>
      </c>
      <c r="B876" s="1" t="s">
        <v>56</v>
      </c>
      <c r="C876" s="1" t="s">
        <v>126</v>
      </c>
      <c r="D876" s="1">
        <v>5.0</v>
      </c>
      <c r="E876" s="1">
        <v>2.0</v>
      </c>
      <c r="F876" s="1"/>
      <c r="G876" s="218"/>
      <c r="H876" s="1"/>
      <c r="I876" s="1"/>
      <c r="J876" s="219"/>
      <c r="K876" s="219"/>
      <c r="L876" s="219"/>
      <c r="M876" s="219"/>
      <c r="N876" s="1">
        <v>268.0</v>
      </c>
      <c r="O876" s="1">
        <v>199.0</v>
      </c>
      <c r="P876" s="1">
        <v>3.0</v>
      </c>
      <c r="Q876" s="1" t="b">
        <v>1</v>
      </c>
      <c r="R876" s="1">
        <v>100.0</v>
      </c>
      <c r="S876" s="1" t="s">
        <v>355</v>
      </c>
      <c r="T876" s="1" t="s">
        <v>423</v>
      </c>
      <c r="U876" s="1"/>
    </row>
    <row r="877">
      <c r="A877" s="218">
        <v>45215.92763569445</v>
      </c>
      <c r="B877" s="1" t="s">
        <v>56</v>
      </c>
      <c r="C877" s="1" t="s">
        <v>127</v>
      </c>
      <c r="D877" s="1">
        <v>5.0</v>
      </c>
      <c r="E877" s="1">
        <v>2.0</v>
      </c>
      <c r="F877" s="1"/>
      <c r="G877" s="218"/>
      <c r="H877" s="1"/>
      <c r="I877" s="1"/>
      <c r="J877" s="219"/>
      <c r="K877" s="219"/>
      <c r="L877" s="219"/>
      <c r="M877" s="219"/>
      <c r="N877" s="1">
        <v>204.0</v>
      </c>
      <c r="O877" s="1">
        <v>140.0</v>
      </c>
      <c r="P877" s="1">
        <v>3.0</v>
      </c>
      <c r="Q877" s="1" t="b">
        <v>1</v>
      </c>
      <c r="R877" s="1">
        <v>100.0</v>
      </c>
      <c r="S877" s="1" t="s">
        <v>292</v>
      </c>
      <c r="T877" s="1" t="s">
        <v>422</v>
      </c>
      <c r="U877" s="1"/>
    </row>
    <row r="878">
      <c r="A878" s="218">
        <v>45215.92763569445</v>
      </c>
      <c r="B878" s="1" t="s">
        <v>56</v>
      </c>
      <c r="C878" s="1" t="s">
        <v>130</v>
      </c>
      <c r="D878" s="1">
        <v>4.0</v>
      </c>
      <c r="E878" s="1">
        <v>3.0</v>
      </c>
      <c r="F878" s="1"/>
      <c r="G878" s="218"/>
      <c r="H878" s="1"/>
      <c r="I878" s="1"/>
      <c r="J878" s="219"/>
      <c r="K878" s="219"/>
      <c r="L878" s="219"/>
      <c r="M878" s="219"/>
      <c r="N878" s="1">
        <v>201.0</v>
      </c>
      <c r="O878" s="1">
        <v>155.0</v>
      </c>
      <c r="P878" s="1">
        <v>3.0</v>
      </c>
      <c r="Q878" s="1" t="b">
        <v>1</v>
      </c>
      <c r="R878" s="1">
        <v>100.0</v>
      </c>
      <c r="S878" s="1" t="s">
        <v>301</v>
      </c>
      <c r="T878" s="1" t="s">
        <v>422</v>
      </c>
      <c r="U878" s="1"/>
    </row>
    <row r="879">
      <c r="A879" s="218">
        <v>45215.92763569445</v>
      </c>
      <c r="B879" s="1" t="s">
        <v>56</v>
      </c>
      <c r="C879" s="1" t="s">
        <v>124</v>
      </c>
      <c r="D879" s="1">
        <v>4.0</v>
      </c>
      <c r="E879" s="1">
        <v>3.0</v>
      </c>
      <c r="F879" s="1"/>
      <c r="G879" s="218"/>
      <c r="H879" s="1"/>
      <c r="I879" s="1"/>
      <c r="J879" s="219"/>
      <c r="K879" s="219"/>
      <c r="L879" s="219"/>
      <c r="M879" s="219"/>
      <c r="N879" s="1">
        <v>161.0</v>
      </c>
      <c r="O879" s="1">
        <v>140.0</v>
      </c>
      <c r="P879" s="1">
        <v>3.0</v>
      </c>
      <c r="Q879" s="1" t="b">
        <v>1</v>
      </c>
      <c r="R879" s="1">
        <v>100.0</v>
      </c>
      <c r="S879" s="1" t="s">
        <v>296</v>
      </c>
      <c r="T879" s="1" t="s">
        <v>422</v>
      </c>
      <c r="U879" s="1"/>
    </row>
    <row r="880">
      <c r="A880" s="218">
        <v>45215.92763569445</v>
      </c>
      <c r="B880" s="1"/>
      <c r="C880" s="1"/>
      <c r="D880" s="1"/>
      <c r="E880" s="1"/>
      <c r="F880" s="1"/>
      <c r="G880" s="218"/>
      <c r="H880" s="1"/>
      <c r="I880" s="1"/>
      <c r="J880" s="219"/>
      <c r="K880" s="219"/>
      <c r="L880" s="219"/>
      <c r="M880" s="219"/>
      <c r="N880" s="1"/>
      <c r="O880" s="1"/>
      <c r="P880" s="1"/>
      <c r="Q880" s="1"/>
      <c r="R880" s="1"/>
      <c r="S880" s="1" t="e">
        <v>#N/A</v>
      </c>
      <c r="T880" s="1" t="e">
        <v>#N/A</v>
      </c>
      <c r="U880" s="1"/>
    </row>
    <row r="881">
      <c r="A881" s="218">
        <v>45215.92763569445</v>
      </c>
      <c r="B881" s="1" t="s">
        <v>60</v>
      </c>
      <c r="C881" s="1" t="s">
        <v>139</v>
      </c>
      <c r="D881" s="1">
        <v>4.0</v>
      </c>
      <c r="E881" s="1">
        <v>2.0</v>
      </c>
      <c r="F881" s="1" t="s">
        <v>1306</v>
      </c>
      <c r="G881" s="218">
        <v>45219.79166666667</v>
      </c>
      <c r="H881" s="1" t="s">
        <v>35</v>
      </c>
      <c r="I881" s="1" t="s">
        <v>36</v>
      </c>
      <c r="J881" s="219">
        <v>-14.5</v>
      </c>
      <c r="K881" s="219">
        <v>-18.5</v>
      </c>
      <c r="L881" s="219">
        <v>-1250.0</v>
      </c>
      <c r="M881" s="219" t="s">
        <v>104</v>
      </c>
      <c r="N881" s="1">
        <v>200.0</v>
      </c>
      <c r="O881" s="1">
        <v>102.0</v>
      </c>
      <c r="P881" s="1">
        <v>1.0</v>
      </c>
      <c r="Q881" s="1" t="b">
        <v>0</v>
      </c>
      <c r="R881" s="1">
        <v>100.0</v>
      </c>
      <c r="S881" s="1" t="s">
        <v>407</v>
      </c>
      <c r="T881" s="1" t="s">
        <v>423</v>
      </c>
      <c r="U881" s="1"/>
    </row>
    <row r="882">
      <c r="A882" s="218">
        <v>45215.92763569445</v>
      </c>
      <c r="B882" s="1" t="s">
        <v>60</v>
      </c>
      <c r="C882" s="1" t="s">
        <v>177</v>
      </c>
      <c r="D882" s="1">
        <v>1.0</v>
      </c>
      <c r="E882" s="1">
        <v>6.0</v>
      </c>
      <c r="F882" s="1" t="s">
        <v>1329</v>
      </c>
      <c r="G882" s="218">
        <v>45220.64583333333</v>
      </c>
      <c r="H882" s="1" t="s">
        <v>125</v>
      </c>
      <c r="I882" s="1" t="s">
        <v>935</v>
      </c>
      <c r="J882" s="219">
        <v>2.5</v>
      </c>
      <c r="K882" s="219">
        <v>4.5</v>
      </c>
      <c r="L882" s="219">
        <v>-178.0</v>
      </c>
      <c r="M882" s="219" t="s">
        <v>122</v>
      </c>
      <c r="N882" s="1">
        <v>105.0</v>
      </c>
      <c r="O882" s="1">
        <v>215.0</v>
      </c>
      <c r="P882" s="1">
        <v>1.0</v>
      </c>
      <c r="Q882" s="1" t="b">
        <v>0</v>
      </c>
      <c r="R882" s="1">
        <v>100.0</v>
      </c>
      <c r="S882" s="1" t="s">
        <v>352</v>
      </c>
      <c r="T882" s="1" t="s">
        <v>423</v>
      </c>
      <c r="U882" s="1"/>
    </row>
    <row r="883">
      <c r="A883" s="218">
        <v>45215.92763569445</v>
      </c>
      <c r="B883" s="1" t="s">
        <v>60</v>
      </c>
      <c r="C883" s="1" t="s">
        <v>137</v>
      </c>
      <c r="D883" s="1">
        <v>6.0</v>
      </c>
      <c r="E883" s="1">
        <v>1.0</v>
      </c>
      <c r="F883" s="1" t="s">
        <v>1330</v>
      </c>
      <c r="G883" s="218">
        <v>45220.64583333333</v>
      </c>
      <c r="H883" s="1" t="s">
        <v>61</v>
      </c>
      <c r="I883" s="1" t="s">
        <v>86</v>
      </c>
      <c r="J883" s="219">
        <v>-8.5</v>
      </c>
      <c r="K883" s="219">
        <v>-9.5</v>
      </c>
      <c r="L883" s="219">
        <v>265.0</v>
      </c>
      <c r="M883" s="219" t="s">
        <v>151</v>
      </c>
      <c r="N883" s="1">
        <v>211.0</v>
      </c>
      <c r="O883" s="1">
        <v>112.0</v>
      </c>
      <c r="P883" s="1">
        <v>1.0</v>
      </c>
      <c r="Q883" s="1" t="b">
        <v>1</v>
      </c>
      <c r="R883" s="1">
        <v>100.0</v>
      </c>
      <c r="S883" s="1" t="s">
        <v>292</v>
      </c>
      <c r="T883" s="1" t="s">
        <v>422</v>
      </c>
      <c r="U883" s="1"/>
    </row>
    <row r="884">
      <c r="A884" s="218">
        <v>45215.92763569445</v>
      </c>
      <c r="B884" s="1" t="s">
        <v>60</v>
      </c>
      <c r="C884" s="1" t="s">
        <v>173</v>
      </c>
      <c r="D884" s="1">
        <v>2.0</v>
      </c>
      <c r="E884" s="1">
        <v>5.0</v>
      </c>
      <c r="F884" s="1" t="s">
        <v>1310</v>
      </c>
      <c r="G884" s="218">
        <v>45220.75</v>
      </c>
      <c r="H884" s="1" t="s">
        <v>35</v>
      </c>
      <c r="I884" s="1" t="s">
        <v>1077</v>
      </c>
      <c r="J884" s="219">
        <v>2.5</v>
      </c>
      <c r="K884" s="219">
        <v>2.5</v>
      </c>
      <c r="L884" s="219">
        <v>108.0</v>
      </c>
      <c r="M884" s="219" t="s">
        <v>954</v>
      </c>
      <c r="N884" s="1">
        <v>167.0</v>
      </c>
      <c r="O884" s="1">
        <v>249.0</v>
      </c>
      <c r="P884" s="1">
        <v>1.0</v>
      </c>
      <c r="Q884" s="1" t="b">
        <v>0</v>
      </c>
      <c r="R884" s="1">
        <v>100.0</v>
      </c>
      <c r="S884" s="1" t="s">
        <v>353</v>
      </c>
      <c r="T884" s="1" t="s">
        <v>423</v>
      </c>
      <c r="U884" s="1"/>
    </row>
    <row r="885">
      <c r="A885" s="218">
        <v>45215.92763569445</v>
      </c>
      <c r="B885" s="1" t="s">
        <v>60</v>
      </c>
      <c r="C885" s="1" t="s">
        <v>178</v>
      </c>
      <c r="D885" s="1">
        <v>2.0</v>
      </c>
      <c r="E885" s="1">
        <v>4.0</v>
      </c>
      <c r="F885" s="1" t="s">
        <v>1331</v>
      </c>
      <c r="G885" s="218">
        <v>45220.8125</v>
      </c>
      <c r="H885" s="1" t="s">
        <v>59</v>
      </c>
      <c r="I885" s="1" t="s">
        <v>90</v>
      </c>
      <c r="J885" s="219">
        <v>19.5</v>
      </c>
      <c r="K885" s="219">
        <v>23.5</v>
      </c>
      <c r="L885" s="219">
        <v>-2500.0</v>
      </c>
      <c r="M885" s="219" t="s">
        <v>854</v>
      </c>
      <c r="N885" s="1">
        <v>132.0</v>
      </c>
      <c r="O885" s="1">
        <v>146.0</v>
      </c>
      <c r="P885" s="1">
        <v>1.0</v>
      </c>
      <c r="Q885" s="1" t="b">
        <v>0</v>
      </c>
      <c r="R885" s="1">
        <v>100.0</v>
      </c>
      <c r="S885" s="1" t="s">
        <v>282</v>
      </c>
      <c r="T885" s="1" t="s">
        <v>422</v>
      </c>
      <c r="U885" s="1"/>
    </row>
    <row r="886">
      <c r="A886" s="218">
        <v>45215.92763569445</v>
      </c>
      <c r="B886" s="1" t="s">
        <v>60</v>
      </c>
      <c r="C886" s="1" t="s">
        <v>175</v>
      </c>
      <c r="D886" s="1">
        <v>4.0</v>
      </c>
      <c r="E886" s="1">
        <v>2.0</v>
      </c>
      <c r="F886" s="1" t="s">
        <v>1332</v>
      </c>
      <c r="G886" s="218">
        <v>45220.83333333333</v>
      </c>
      <c r="H886" s="1" t="s">
        <v>59</v>
      </c>
      <c r="I886" s="1" t="s">
        <v>40</v>
      </c>
      <c r="J886" s="219"/>
      <c r="K886" s="219"/>
      <c r="L886" s="219"/>
      <c r="M886" s="219"/>
      <c r="N886" s="1">
        <v>213.0</v>
      </c>
      <c r="O886" s="1">
        <v>175.0</v>
      </c>
      <c r="P886" s="1">
        <v>1.0</v>
      </c>
      <c r="Q886" s="1" t="b">
        <v>0</v>
      </c>
      <c r="R886" s="1">
        <v>100.0</v>
      </c>
      <c r="S886" s="1" t="s">
        <v>355</v>
      </c>
      <c r="T886" s="1" t="s">
        <v>423</v>
      </c>
      <c r="U886" s="1"/>
    </row>
    <row r="887">
      <c r="A887" s="218">
        <v>45215.92763569445</v>
      </c>
      <c r="B887" s="1" t="s">
        <v>60</v>
      </c>
      <c r="C887" s="1" t="s">
        <v>174</v>
      </c>
      <c r="D887" s="1">
        <v>1.0</v>
      </c>
      <c r="E887" s="1">
        <v>5.0</v>
      </c>
      <c r="F887" s="1" t="s">
        <v>1333</v>
      </c>
      <c r="G887" s="218">
        <v>45220.9375</v>
      </c>
      <c r="H887" s="1" t="s">
        <v>46</v>
      </c>
      <c r="I887" s="1" t="s">
        <v>96</v>
      </c>
      <c r="J887" s="219">
        <v>31.5</v>
      </c>
      <c r="K887" s="219">
        <v>28.5</v>
      </c>
      <c r="L887" s="219">
        <v>1400.0</v>
      </c>
      <c r="M887" s="219" t="s">
        <v>203</v>
      </c>
      <c r="N887" s="1">
        <v>112.0</v>
      </c>
      <c r="O887" s="1">
        <v>170.0</v>
      </c>
      <c r="P887" s="1">
        <v>1.0</v>
      </c>
      <c r="Q887" s="1" t="b">
        <v>0</v>
      </c>
      <c r="R887" s="1">
        <v>100.0</v>
      </c>
      <c r="S887" s="1" t="s">
        <v>354</v>
      </c>
      <c r="T887" s="1" t="s">
        <v>422</v>
      </c>
      <c r="U887" s="1"/>
    </row>
    <row r="888">
      <c r="A888" s="218">
        <v>45215.92763569445</v>
      </c>
      <c r="B888" s="1" t="s">
        <v>60</v>
      </c>
      <c r="C888" s="1" t="s">
        <v>179</v>
      </c>
      <c r="D888" s="1">
        <v>6.0</v>
      </c>
      <c r="E888" s="1">
        <v>0.0</v>
      </c>
      <c r="F888" s="1" t="s">
        <v>1334</v>
      </c>
      <c r="G888" s="218">
        <v>45220.5</v>
      </c>
      <c r="H888" s="1" t="s">
        <v>69</v>
      </c>
      <c r="I888" s="1" t="s">
        <v>82</v>
      </c>
      <c r="J888" s="219">
        <v>-19.5</v>
      </c>
      <c r="K888" s="219">
        <v>-18.5</v>
      </c>
      <c r="L888" s="219">
        <v>800.0</v>
      </c>
      <c r="M888" s="219" t="s">
        <v>908</v>
      </c>
      <c r="N888" s="1">
        <v>271.0</v>
      </c>
      <c r="O888" s="1">
        <v>84.0</v>
      </c>
      <c r="P888" s="1">
        <v>1.0</v>
      </c>
      <c r="Q888" s="1" t="b">
        <v>0</v>
      </c>
      <c r="R888" s="1">
        <v>100.0</v>
      </c>
      <c r="S888" s="1" t="s">
        <v>296</v>
      </c>
      <c r="T888" s="1" t="s">
        <v>422</v>
      </c>
      <c r="U888" s="1"/>
    </row>
    <row r="889">
      <c r="A889" s="218">
        <v>45215.92763569445</v>
      </c>
      <c r="B889" s="1" t="s">
        <v>60</v>
      </c>
      <c r="C889" s="1" t="s">
        <v>164</v>
      </c>
      <c r="D889" s="1">
        <v>6.0</v>
      </c>
      <c r="E889" s="1">
        <v>1.0</v>
      </c>
      <c r="F889" s="1"/>
      <c r="G889" s="218"/>
      <c r="H889" s="1"/>
      <c r="I889" s="1"/>
      <c r="J889" s="219"/>
      <c r="K889" s="219"/>
      <c r="L889" s="219"/>
      <c r="M889" s="219"/>
      <c r="N889" s="1">
        <v>239.0</v>
      </c>
      <c r="O889" s="1">
        <v>144.0</v>
      </c>
      <c r="P889" s="1">
        <v>3.0</v>
      </c>
      <c r="Q889" s="1" t="b">
        <v>1</v>
      </c>
      <c r="R889" s="1">
        <v>100.0</v>
      </c>
      <c r="S889" s="1" t="s">
        <v>301</v>
      </c>
      <c r="T889" s="1" t="s">
        <v>422</v>
      </c>
      <c r="U889" s="1"/>
    </row>
    <row r="890">
      <c r="A890" s="218">
        <v>45215.92763569445</v>
      </c>
      <c r="B890" s="1" t="s">
        <v>60</v>
      </c>
      <c r="C890" s="1" t="s">
        <v>176</v>
      </c>
      <c r="D890" s="1">
        <v>1.0</v>
      </c>
      <c r="E890" s="1">
        <v>7.0</v>
      </c>
      <c r="F890" s="1"/>
      <c r="G890" s="218"/>
      <c r="H890" s="1"/>
      <c r="I890" s="1"/>
      <c r="J890" s="219"/>
      <c r="K890" s="219"/>
      <c r="L890" s="219"/>
      <c r="M890" s="219"/>
      <c r="N890" s="1">
        <v>183.0</v>
      </c>
      <c r="O890" s="1">
        <v>339.0</v>
      </c>
      <c r="P890" s="1">
        <v>3.0</v>
      </c>
      <c r="Q890" s="1" t="b">
        <v>1</v>
      </c>
      <c r="R890" s="1">
        <v>100.0</v>
      </c>
      <c r="S890" s="1" t="s">
        <v>351</v>
      </c>
      <c r="T890" s="1" t="s">
        <v>423</v>
      </c>
      <c r="U890" s="1"/>
    </row>
    <row r="891">
      <c r="A891" s="218">
        <v>45215.92763569445</v>
      </c>
      <c r="B891" s="1"/>
      <c r="C891" s="1"/>
      <c r="D891" s="1"/>
      <c r="E891" s="1"/>
      <c r="F891" s="1"/>
      <c r="G891" s="218"/>
      <c r="H891" s="1"/>
      <c r="I891" s="1"/>
      <c r="J891" s="219"/>
      <c r="K891" s="219"/>
      <c r="L891" s="219"/>
      <c r="M891" s="219"/>
      <c r="N891" s="1"/>
      <c r="O891" s="1"/>
      <c r="P891" s="1"/>
      <c r="Q891" s="1"/>
      <c r="R891" s="1"/>
      <c r="S891" s="1" t="e">
        <v>#N/A</v>
      </c>
      <c r="T891" s="1" t="e">
        <v>#N/A</v>
      </c>
      <c r="U891" s="1"/>
    </row>
    <row r="892">
      <c r="A892" s="218">
        <v>45215.92763569445</v>
      </c>
      <c r="B892" s="1" t="s">
        <v>46</v>
      </c>
      <c r="C892" s="1" t="s">
        <v>189</v>
      </c>
      <c r="D892" s="1">
        <v>1.0</v>
      </c>
      <c r="E892" s="1">
        <v>6.0</v>
      </c>
      <c r="F892" s="1" t="s">
        <v>1335</v>
      </c>
      <c r="G892" s="218">
        <v>45220.58333333333</v>
      </c>
      <c r="H892" s="1" t="s">
        <v>67</v>
      </c>
      <c r="I892" s="1" t="s">
        <v>935</v>
      </c>
      <c r="J892" s="219">
        <v>8.5</v>
      </c>
      <c r="K892" s="219">
        <v>7.5</v>
      </c>
      <c r="L892" s="219">
        <v>275.0</v>
      </c>
      <c r="M892" s="219" t="s">
        <v>1336</v>
      </c>
      <c r="N892" s="1">
        <v>109.0</v>
      </c>
      <c r="O892" s="1">
        <v>194.0</v>
      </c>
      <c r="P892" s="1">
        <v>1.0</v>
      </c>
      <c r="Q892" s="1" t="b">
        <v>0</v>
      </c>
      <c r="R892" s="1">
        <v>100.0</v>
      </c>
      <c r="S892" s="1" t="s">
        <v>352</v>
      </c>
      <c r="T892" s="1" t="s">
        <v>423</v>
      </c>
      <c r="U892" s="1"/>
    </row>
    <row r="893">
      <c r="A893" s="218">
        <v>45215.92763569445</v>
      </c>
      <c r="B893" s="1" t="s">
        <v>46</v>
      </c>
      <c r="C893" s="1" t="s">
        <v>184</v>
      </c>
      <c r="D893" s="1">
        <v>2.0</v>
      </c>
      <c r="E893" s="1">
        <v>4.0</v>
      </c>
      <c r="F893" s="1" t="s">
        <v>1337</v>
      </c>
      <c r="G893" s="218">
        <v>45220.64583333333</v>
      </c>
      <c r="H893" s="1" t="s">
        <v>59</v>
      </c>
      <c r="I893" s="1" t="s">
        <v>945</v>
      </c>
      <c r="J893" s="219">
        <v>6.5</v>
      </c>
      <c r="K893" s="219">
        <v>6.5</v>
      </c>
      <c r="L893" s="219">
        <v>220.0</v>
      </c>
      <c r="M893" s="219" t="s">
        <v>203</v>
      </c>
      <c r="N893" s="1">
        <v>174.0</v>
      </c>
      <c r="O893" s="1">
        <v>188.0</v>
      </c>
      <c r="P893" s="1">
        <v>1.0</v>
      </c>
      <c r="Q893" s="1" t="b">
        <v>0</v>
      </c>
      <c r="R893" s="1">
        <v>100.0</v>
      </c>
      <c r="S893" s="1" t="s">
        <v>292</v>
      </c>
      <c r="T893" s="1" t="s">
        <v>422</v>
      </c>
      <c r="U893" s="1"/>
    </row>
    <row r="894">
      <c r="A894" s="218">
        <v>45215.92763569445</v>
      </c>
      <c r="B894" s="1" t="s">
        <v>46</v>
      </c>
      <c r="C894" s="1" t="s">
        <v>186</v>
      </c>
      <c r="D894" s="1">
        <v>3.0</v>
      </c>
      <c r="E894" s="1">
        <v>4.0</v>
      </c>
      <c r="F894" s="1" t="s">
        <v>1338</v>
      </c>
      <c r="G894" s="218">
        <v>45220.64583333333</v>
      </c>
      <c r="H894" s="1" t="s">
        <v>69</v>
      </c>
      <c r="I894" s="1" t="s">
        <v>96</v>
      </c>
      <c r="J894" s="219">
        <v>4.5</v>
      </c>
      <c r="K894" s="219">
        <v>3.0</v>
      </c>
      <c r="L894" s="219">
        <v>-137.0</v>
      </c>
      <c r="M894" s="219" t="s">
        <v>122</v>
      </c>
      <c r="N894" s="1">
        <v>142.0</v>
      </c>
      <c r="O894" s="1">
        <v>197.0</v>
      </c>
      <c r="P894" s="1">
        <v>1.0</v>
      </c>
      <c r="Q894" s="1" t="b">
        <v>1</v>
      </c>
      <c r="R894" s="1">
        <v>100.0</v>
      </c>
      <c r="S894" s="1" t="s">
        <v>282</v>
      </c>
      <c r="T894" s="1" t="s">
        <v>422</v>
      </c>
      <c r="U894" s="1"/>
    </row>
    <row r="895">
      <c r="A895" s="218">
        <v>45215.92763569445</v>
      </c>
      <c r="B895" s="1" t="s">
        <v>46</v>
      </c>
      <c r="C895" s="1" t="s">
        <v>182</v>
      </c>
      <c r="D895" s="1">
        <v>5.0</v>
      </c>
      <c r="E895" s="1">
        <v>1.0</v>
      </c>
      <c r="F895" s="1" t="s">
        <v>1339</v>
      </c>
      <c r="G895" s="218">
        <v>45220.64583333333</v>
      </c>
      <c r="H895" s="1" t="s">
        <v>67</v>
      </c>
      <c r="I895" s="1" t="s">
        <v>36</v>
      </c>
      <c r="J895" s="219">
        <v>-20.5</v>
      </c>
      <c r="K895" s="219">
        <v>-20.5</v>
      </c>
      <c r="L895" s="219">
        <v>860.0</v>
      </c>
      <c r="M895" s="219" t="s">
        <v>971</v>
      </c>
      <c r="N895" s="1">
        <v>180.0</v>
      </c>
      <c r="O895" s="1">
        <v>108.0</v>
      </c>
      <c r="P895" s="1">
        <v>1.0</v>
      </c>
      <c r="Q895" s="1" t="b">
        <v>1</v>
      </c>
      <c r="R895" s="1">
        <v>100.0</v>
      </c>
      <c r="S895" s="1" t="s">
        <v>407</v>
      </c>
      <c r="T895" s="1" t="s">
        <v>423</v>
      </c>
      <c r="U895" s="1"/>
    </row>
    <row r="896">
      <c r="A896" s="218">
        <v>45215.92763569445</v>
      </c>
      <c r="B896" s="1" t="s">
        <v>46</v>
      </c>
      <c r="C896" s="1" t="s">
        <v>188</v>
      </c>
      <c r="D896" s="1">
        <v>3.0</v>
      </c>
      <c r="E896" s="1">
        <v>4.0</v>
      </c>
      <c r="F896" s="1" t="s">
        <v>1321</v>
      </c>
      <c r="G896" s="218">
        <v>45220.79166666667</v>
      </c>
      <c r="H896" s="1" t="s">
        <v>58</v>
      </c>
      <c r="I896" s="1" t="s">
        <v>96</v>
      </c>
      <c r="J896" s="219">
        <v>-2.5</v>
      </c>
      <c r="K896" s="219">
        <v>-4.0</v>
      </c>
      <c r="L896" s="219">
        <v>-178.0</v>
      </c>
      <c r="M896" s="219" t="s">
        <v>845</v>
      </c>
      <c r="N896" s="1">
        <v>226.0</v>
      </c>
      <c r="O896" s="1">
        <v>176.0</v>
      </c>
      <c r="P896" s="1">
        <v>1.0</v>
      </c>
      <c r="Q896" s="1" t="b">
        <v>1</v>
      </c>
      <c r="R896" s="1">
        <v>100.0</v>
      </c>
      <c r="S896" s="1" t="s">
        <v>296</v>
      </c>
      <c r="T896" s="1" t="s">
        <v>422</v>
      </c>
      <c r="U896" s="1"/>
    </row>
    <row r="897">
      <c r="A897" s="218">
        <v>45215.92763569445</v>
      </c>
      <c r="B897" s="1" t="s">
        <v>46</v>
      </c>
      <c r="C897" s="1" t="s">
        <v>187</v>
      </c>
      <c r="D897" s="1">
        <v>5.0</v>
      </c>
      <c r="E897" s="1">
        <v>1.0</v>
      </c>
      <c r="F897" s="1" t="s">
        <v>1340</v>
      </c>
      <c r="G897" s="218">
        <v>45220.8125</v>
      </c>
      <c r="H897" s="1" t="s">
        <v>125</v>
      </c>
      <c r="I897" s="1" t="s">
        <v>82</v>
      </c>
      <c r="J897" s="219">
        <v>16.5</v>
      </c>
      <c r="K897" s="219">
        <v>13.5</v>
      </c>
      <c r="L897" s="219">
        <v>480.0</v>
      </c>
      <c r="M897" s="219" t="s">
        <v>1341</v>
      </c>
      <c r="N897" s="1">
        <v>187.0</v>
      </c>
      <c r="O897" s="1">
        <v>59.0</v>
      </c>
      <c r="P897" s="1">
        <v>1.0</v>
      </c>
      <c r="Q897" s="1" t="b">
        <v>1</v>
      </c>
      <c r="R897" s="1">
        <v>100.0</v>
      </c>
      <c r="S897" s="1" t="s">
        <v>301</v>
      </c>
      <c r="T897" s="1" t="s">
        <v>422</v>
      </c>
      <c r="U897" s="1"/>
    </row>
    <row r="898">
      <c r="A898" s="218">
        <v>45215.92763569445</v>
      </c>
      <c r="B898" s="1" t="s">
        <v>46</v>
      </c>
      <c r="C898" s="1" t="s">
        <v>180</v>
      </c>
      <c r="D898" s="1">
        <v>6.0</v>
      </c>
      <c r="E898" s="1">
        <v>0.0</v>
      </c>
      <c r="F898" s="1" t="s">
        <v>1333</v>
      </c>
      <c r="G898" s="218">
        <v>45220.9375</v>
      </c>
      <c r="H898" s="1" t="s">
        <v>60</v>
      </c>
      <c r="I898" s="1" t="s">
        <v>96</v>
      </c>
      <c r="J898" s="219">
        <v>-31.5</v>
      </c>
      <c r="K898" s="219">
        <v>-28.5</v>
      </c>
      <c r="L898" s="219">
        <v>1400.0</v>
      </c>
      <c r="M898" s="219" t="s">
        <v>203</v>
      </c>
      <c r="N898" s="1">
        <v>266.0</v>
      </c>
      <c r="O898" s="1">
        <v>125.0</v>
      </c>
      <c r="P898" s="1">
        <v>1.0</v>
      </c>
      <c r="Q898" s="1" t="b">
        <v>1</v>
      </c>
      <c r="R898" s="1">
        <v>100.0</v>
      </c>
      <c r="S898" s="1" t="s">
        <v>354</v>
      </c>
      <c r="T898" s="1" t="s">
        <v>422</v>
      </c>
      <c r="U898" s="1"/>
    </row>
    <row r="899">
      <c r="A899" s="218">
        <v>45215.92763569445</v>
      </c>
      <c r="B899" s="1" t="s">
        <v>46</v>
      </c>
      <c r="C899" s="1" t="s">
        <v>185</v>
      </c>
      <c r="D899" s="1">
        <v>5.0</v>
      </c>
      <c r="E899" s="1">
        <v>2.0</v>
      </c>
      <c r="F899" s="1" t="s">
        <v>1342</v>
      </c>
      <c r="G899" s="218">
        <v>45220.5</v>
      </c>
      <c r="H899" s="1" t="s">
        <v>70</v>
      </c>
      <c r="I899" s="1" t="s">
        <v>888</v>
      </c>
      <c r="J899" s="219">
        <v>-5.0</v>
      </c>
      <c r="K899" s="219">
        <v>-5.0</v>
      </c>
      <c r="L899" s="219">
        <v>-200.0</v>
      </c>
      <c r="M899" s="219" t="s">
        <v>122</v>
      </c>
      <c r="N899" s="1">
        <v>194.0</v>
      </c>
      <c r="O899" s="1">
        <v>112.0</v>
      </c>
      <c r="P899" s="1">
        <v>1.0</v>
      </c>
      <c r="Q899" s="1" t="b">
        <v>1</v>
      </c>
      <c r="R899" s="1">
        <v>100.0</v>
      </c>
      <c r="S899" s="1" t="s">
        <v>351</v>
      </c>
      <c r="T899" s="1" t="s">
        <v>423</v>
      </c>
      <c r="U899" s="1"/>
    </row>
    <row r="900">
      <c r="A900" s="218">
        <v>45215.92763569445</v>
      </c>
      <c r="B900" s="1" t="s">
        <v>46</v>
      </c>
      <c r="C900" s="1" t="s">
        <v>183</v>
      </c>
      <c r="D900" s="1">
        <v>5.0</v>
      </c>
      <c r="E900" s="1">
        <v>2.0</v>
      </c>
      <c r="F900" s="1"/>
      <c r="G900" s="218"/>
      <c r="H900" s="1"/>
      <c r="I900" s="1"/>
      <c r="J900" s="219"/>
      <c r="K900" s="219"/>
      <c r="L900" s="219"/>
      <c r="M900" s="219"/>
      <c r="N900" s="1">
        <v>184.0</v>
      </c>
      <c r="O900" s="1">
        <v>179.0</v>
      </c>
      <c r="P900" s="1">
        <v>3.0</v>
      </c>
      <c r="Q900" s="1" t="b">
        <v>1</v>
      </c>
      <c r="R900" s="1">
        <v>100.0</v>
      </c>
      <c r="S900" s="1" t="s">
        <v>353</v>
      </c>
      <c r="T900" s="1" t="s">
        <v>423</v>
      </c>
      <c r="U900" s="1"/>
    </row>
    <row r="901">
      <c r="A901" s="218">
        <v>45215.92763569445</v>
      </c>
      <c r="B901" s="1" t="s">
        <v>46</v>
      </c>
      <c r="C901" s="1" t="s">
        <v>181</v>
      </c>
      <c r="D901" s="1">
        <v>5.0</v>
      </c>
      <c r="E901" s="1">
        <v>2.0</v>
      </c>
      <c r="F901" s="1"/>
      <c r="G901" s="218"/>
      <c r="H901" s="1"/>
      <c r="I901" s="1"/>
      <c r="J901" s="219"/>
      <c r="K901" s="219"/>
      <c r="L901" s="219"/>
      <c r="M901" s="219"/>
      <c r="N901" s="1">
        <v>186.0</v>
      </c>
      <c r="O901" s="1">
        <v>122.0</v>
      </c>
      <c r="P901" s="1">
        <v>3.0</v>
      </c>
      <c r="Q901" s="1" t="b">
        <v>1</v>
      </c>
      <c r="R901" s="1">
        <v>100.0</v>
      </c>
      <c r="S901" s="1" t="s">
        <v>355</v>
      </c>
      <c r="T901" s="1" t="s">
        <v>423</v>
      </c>
      <c r="U901" s="1"/>
    </row>
    <row r="902">
      <c r="A902" s="218">
        <v>45215.92763569445</v>
      </c>
      <c r="B902" s="1"/>
      <c r="C902" s="1"/>
      <c r="D902" s="1"/>
      <c r="E902" s="1"/>
      <c r="F902" s="1"/>
      <c r="G902" s="218"/>
      <c r="H902" s="1"/>
      <c r="I902" s="1"/>
      <c r="J902" s="219"/>
      <c r="K902" s="219"/>
      <c r="L902" s="219"/>
      <c r="M902" s="219"/>
      <c r="N902" s="1"/>
      <c r="O902" s="1"/>
      <c r="P902" s="1"/>
      <c r="Q902" s="1"/>
      <c r="R902" s="1"/>
      <c r="S902" s="1" t="e">
        <v>#N/A</v>
      </c>
      <c r="T902" s="1" t="e">
        <v>#N/A</v>
      </c>
      <c r="U902" s="1"/>
    </row>
    <row r="903">
      <c r="A903" s="218">
        <v>45215.92763569445</v>
      </c>
      <c r="B903" s="1" t="s">
        <v>70</v>
      </c>
      <c r="C903" s="1" t="s">
        <v>197</v>
      </c>
      <c r="D903" s="1">
        <v>1.0</v>
      </c>
      <c r="E903" s="1">
        <v>5.0</v>
      </c>
      <c r="F903" s="1" t="s">
        <v>1343</v>
      </c>
      <c r="G903" s="218">
        <v>45216.8125</v>
      </c>
      <c r="H903" s="1" t="s">
        <v>67</v>
      </c>
      <c r="I903" s="1" t="s">
        <v>36</v>
      </c>
      <c r="J903" s="219"/>
      <c r="K903" s="219"/>
      <c r="L903" s="219"/>
      <c r="M903" s="219"/>
      <c r="N903" s="1">
        <v>142.0</v>
      </c>
      <c r="O903" s="1">
        <v>212.0</v>
      </c>
      <c r="P903" s="1">
        <v>1.0</v>
      </c>
      <c r="Q903" s="1" t="b">
        <v>1</v>
      </c>
      <c r="R903" s="1">
        <v>100.0</v>
      </c>
      <c r="S903" s="1" t="s">
        <v>355</v>
      </c>
      <c r="T903" s="1" t="s">
        <v>423</v>
      </c>
      <c r="U903" s="1"/>
    </row>
    <row r="904">
      <c r="A904" s="218">
        <v>45215.92763569445</v>
      </c>
      <c r="B904" s="1" t="s">
        <v>70</v>
      </c>
      <c r="C904" s="1" t="s">
        <v>194</v>
      </c>
      <c r="D904" s="1">
        <v>2.0</v>
      </c>
      <c r="E904" s="1">
        <v>5.0</v>
      </c>
      <c r="F904" s="1" t="s">
        <v>1344</v>
      </c>
      <c r="G904" s="218">
        <v>45217.875</v>
      </c>
      <c r="H904" s="1" t="s">
        <v>57</v>
      </c>
      <c r="I904" s="1" t="s">
        <v>36</v>
      </c>
      <c r="J904" s="219">
        <v>-2.5</v>
      </c>
      <c r="K904" s="219">
        <v>2.5</v>
      </c>
      <c r="L904" s="219">
        <v>-125.0</v>
      </c>
      <c r="M904" s="219" t="s">
        <v>874</v>
      </c>
      <c r="N904" s="1">
        <v>124.0</v>
      </c>
      <c r="O904" s="1">
        <v>183.0</v>
      </c>
      <c r="P904" s="1">
        <v>1.0</v>
      </c>
      <c r="Q904" s="1" t="b">
        <v>0</v>
      </c>
      <c r="R904" s="1">
        <v>100.0</v>
      </c>
      <c r="S904" s="1" t="s">
        <v>351</v>
      </c>
      <c r="T904" s="1" t="s">
        <v>423</v>
      </c>
      <c r="U904" s="1"/>
    </row>
    <row r="905">
      <c r="A905" s="218">
        <v>45215.92763569445</v>
      </c>
      <c r="B905" s="1" t="s">
        <v>70</v>
      </c>
      <c r="C905" s="1" t="s">
        <v>199</v>
      </c>
      <c r="D905" s="1">
        <v>2.0</v>
      </c>
      <c r="E905" s="1">
        <v>5.0</v>
      </c>
      <c r="F905" s="1" t="s">
        <v>1309</v>
      </c>
      <c r="G905" s="218">
        <v>45220.64583333333</v>
      </c>
      <c r="H905" s="1" t="s">
        <v>35</v>
      </c>
      <c r="I905" s="1" t="s">
        <v>935</v>
      </c>
      <c r="J905" s="219">
        <v>-8.5</v>
      </c>
      <c r="K905" s="219">
        <v>-7.5</v>
      </c>
      <c r="L905" s="219">
        <v>-310.0</v>
      </c>
      <c r="M905" s="219" t="s">
        <v>151</v>
      </c>
      <c r="N905" s="1">
        <v>183.0</v>
      </c>
      <c r="O905" s="1">
        <v>225.0</v>
      </c>
      <c r="P905" s="1">
        <v>1.0</v>
      </c>
      <c r="Q905" s="1" t="b">
        <v>1</v>
      </c>
      <c r="R905" s="1">
        <v>100.0</v>
      </c>
      <c r="S905" s="1" t="s">
        <v>352</v>
      </c>
      <c r="T905" s="1" t="s">
        <v>423</v>
      </c>
      <c r="U905" s="1"/>
    </row>
    <row r="906">
      <c r="A906" s="218">
        <v>45215.92763569445</v>
      </c>
      <c r="B906" s="1" t="s">
        <v>70</v>
      </c>
      <c r="C906" s="1" t="s">
        <v>198</v>
      </c>
      <c r="D906" s="1">
        <v>3.0</v>
      </c>
      <c r="E906" s="1">
        <v>3.0</v>
      </c>
      <c r="F906" s="1" t="s">
        <v>1325</v>
      </c>
      <c r="G906" s="218">
        <v>45220.75</v>
      </c>
      <c r="H906" s="1" t="s">
        <v>56</v>
      </c>
      <c r="I906" s="1" t="s">
        <v>935</v>
      </c>
      <c r="J906" s="219">
        <v>-1.5</v>
      </c>
      <c r="K906" s="219">
        <v>-3.0</v>
      </c>
      <c r="L906" s="219">
        <v>-154.0</v>
      </c>
      <c r="M906" s="219" t="s">
        <v>203</v>
      </c>
      <c r="N906" s="1">
        <v>167.0</v>
      </c>
      <c r="O906" s="1">
        <v>166.0</v>
      </c>
      <c r="P906" s="1">
        <v>1.0</v>
      </c>
      <c r="Q906" s="1" t="b">
        <v>1</v>
      </c>
      <c r="R906" s="1">
        <v>100.0</v>
      </c>
      <c r="S906" s="1" t="s">
        <v>407</v>
      </c>
      <c r="T906" s="1" t="s">
        <v>423</v>
      </c>
      <c r="U906" s="1"/>
    </row>
    <row r="907">
      <c r="A907" s="218">
        <v>45215.92763569445</v>
      </c>
      <c r="B907" s="1" t="s">
        <v>70</v>
      </c>
      <c r="C907" s="1" t="s">
        <v>191</v>
      </c>
      <c r="D907" s="1">
        <v>4.0</v>
      </c>
      <c r="E907" s="1">
        <v>2.0</v>
      </c>
      <c r="F907" s="1" t="s">
        <v>1313</v>
      </c>
      <c r="G907" s="218">
        <v>45220.83333333333</v>
      </c>
      <c r="H907" s="1" t="s">
        <v>35</v>
      </c>
      <c r="I907" s="1" t="s">
        <v>900</v>
      </c>
      <c r="J907" s="219">
        <v>-4.5</v>
      </c>
      <c r="K907" s="219">
        <v>-3.0</v>
      </c>
      <c r="L907" s="219">
        <v>-140.0</v>
      </c>
      <c r="M907" s="219" t="s">
        <v>874</v>
      </c>
      <c r="N907" s="1">
        <v>193.0</v>
      </c>
      <c r="O907" s="1">
        <v>116.0</v>
      </c>
      <c r="P907" s="1">
        <v>1.0</v>
      </c>
      <c r="Q907" s="1" t="b">
        <v>0</v>
      </c>
      <c r="R907" s="1">
        <v>100.0</v>
      </c>
      <c r="S907" s="1" t="s">
        <v>301</v>
      </c>
      <c r="T907" s="1" t="s">
        <v>422</v>
      </c>
      <c r="U907" s="1"/>
    </row>
    <row r="908">
      <c r="A908" s="218">
        <v>45215.92763569445</v>
      </c>
      <c r="B908" s="1" t="s">
        <v>70</v>
      </c>
      <c r="C908" s="1" t="s">
        <v>190</v>
      </c>
      <c r="D908" s="1">
        <v>3.0</v>
      </c>
      <c r="E908" s="1">
        <v>4.0</v>
      </c>
      <c r="F908" s="1" t="s">
        <v>1345</v>
      </c>
      <c r="G908" s="218">
        <v>45220.875</v>
      </c>
      <c r="H908" s="1" t="s">
        <v>125</v>
      </c>
      <c r="I908" s="1" t="s">
        <v>1142</v>
      </c>
      <c r="J908" s="219">
        <v>-12.5</v>
      </c>
      <c r="K908" s="219">
        <v>-13.5</v>
      </c>
      <c r="L908" s="219">
        <v>440.0</v>
      </c>
      <c r="M908" s="219" t="s">
        <v>874</v>
      </c>
      <c r="N908" s="1">
        <v>157.0</v>
      </c>
      <c r="O908" s="1">
        <v>219.0</v>
      </c>
      <c r="P908" s="1">
        <v>1.0</v>
      </c>
      <c r="Q908" s="1" t="b">
        <v>1</v>
      </c>
      <c r="R908" s="1">
        <v>100.0</v>
      </c>
      <c r="S908" s="1" t="s">
        <v>353</v>
      </c>
      <c r="T908" s="1" t="s">
        <v>423</v>
      </c>
      <c r="U908" s="1"/>
    </row>
    <row r="909">
      <c r="A909" s="218">
        <v>45215.92763569445</v>
      </c>
      <c r="B909" s="1" t="s">
        <v>70</v>
      </c>
      <c r="C909" s="1" t="s">
        <v>193</v>
      </c>
      <c r="D909" s="1">
        <v>2.0</v>
      </c>
      <c r="E909" s="1">
        <v>4.0</v>
      </c>
      <c r="F909" s="1" t="s">
        <v>1322</v>
      </c>
      <c r="G909" s="218">
        <v>45220.9375</v>
      </c>
      <c r="H909" s="1" t="s">
        <v>58</v>
      </c>
      <c r="I909" s="1" t="s">
        <v>76</v>
      </c>
      <c r="J909" s="219">
        <v>16.5</v>
      </c>
      <c r="K909" s="219">
        <v>16.5</v>
      </c>
      <c r="L909" s="219">
        <v>-850.0</v>
      </c>
      <c r="M909" s="219" t="s">
        <v>840</v>
      </c>
      <c r="N909" s="1">
        <v>142.0</v>
      </c>
      <c r="O909" s="1">
        <v>216.0</v>
      </c>
      <c r="P909" s="1">
        <v>1.0</v>
      </c>
      <c r="Q909" s="1" t="b">
        <v>0</v>
      </c>
      <c r="R909" s="1">
        <v>100.0</v>
      </c>
      <c r="S909" s="1" t="s">
        <v>354</v>
      </c>
      <c r="T909" s="1" t="s">
        <v>422</v>
      </c>
      <c r="U909" s="1"/>
    </row>
    <row r="910">
      <c r="A910" s="218">
        <v>45215.92763569445</v>
      </c>
      <c r="B910" s="1" t="s">
        <v>70</v>
      </c>
      <c r="C910" s="1" t="s">
        <v>195</v>
      </c>
      <c r="D910" s="1">
        <v>2.0</v>
      </c>
      <c r="E910" s="1">
        <v>4.0</v>
      </c>
      <c r="F910" s="1" t="s">
        <v>1342</v>
      </c>
      <c r="G910" s="218">
        <v>45220.5</v>
      </c>
      <c r="H910" s="1" t="s">
        <v>46</v>
      </c>
      <c r="I910" s="1" t="s">
        <v>888</v>
      </c>
      <c r="J910" s="219">
        <v>5.0</v>
      </c>
      <c r="K910" s="219">
        <v>5.0</v>
      </c>
      <c r="L910" s="219">
        <v>-200.0</v>
      </c>
      <c r="M910" s="219" t="s">
        <v>122</v>
      </c>
      <c r="N910" s="1">
        <v>111.0</v>
      </c>
      <c r="O910" s="1">
        <v>174.0</v>
      </c>
      <c r="P910" s="1">
        <v>1.0</v>
      </c>
      <c r="Q910" s="1" t="b">
        <v>0</v>
      </c>
      <c r="R910" s="1">
        <v>100.0</v>
      </c>
      <c r="S910" s="1" t="s">
        <v>282</v>
      </c>
      <c r="T910" s="1" t="s">
        <v>422</v>
      </c>
      <c r="U910" s="1"/>
    </row>
    <row r="911">
      <c r="A911" s="218">
        <v>45215.92763569445</v>
      </c>
      <c r="B911" s="1" t="s">
        <v>70</v>
      </c>
      <c r="C911" s="1" t="s">
        <v>196</v>
      </c>
      <c r="D911" s="1">
        <v>5.0</v>
      </c>
      <c r="E911" s="1">
        <v>2.0</v>
      </c>
      <c r="F911" s="1"/>
      <c r="G911" s="218"/>
      <c r="H911" s="1"/>
      <c r="I911" s="1"/>
      <c r="J911" s="219"/>
      <c r="K911" s="219"/>
      <c r="L911" s="219"/>
      <c r="M911" s="219"/>
      <c r="N911" s="1">
        <v>219.0</v>
      </c>
      <c r="O911" s="1">
        <v>165.0</v>
      </c>
      <c r="P911" s="1">
        <v>3.0</v>
      </c>
      <c r="Q911" s="1" t="b">
        <v>1</v>
      </c>
      <c r="R911" s="1">
        <v>100.0</v>
      </c>
      <c r="S911" s="1" t="s">
        <v>292</v>
      </c>
      <c r="T911" s="1" t="s">
        <v>422</v>
      </c>
      <c r="U911" s="1"/>
    </row>
    <row r="912">
      <c r="A912" s="218">
        <v>45215.92763569445</v>
      </c>
      <c r="B912" s="1" t="s">
        <v>70</v>
      </c>
      <c r="C912" s="1" t="s">
        <v>192</v>
      </c>
      <c r="D912" s="1">
        <v>5.0</v>
      </c>
      <c r="E912" s="1">
        <v>2.0</v>
      </c>
      <c r="F912" s="1"/>
      <c r="G912" s="218"/>
      <c r="H912" s="1"/>
      <c r="I912" s="1"/>
      <c r="J912" s="219"/>
      <c r="K912" s="219"/>
      <c r="L912" s="219"/>
      <c r="M912" s="219"/>
      <c r="N912" s="1">
        <v>248.0</v>
      </c>
      <c r="O912" s="1">
        <v>192.0</v>
      </c>
      <c r="P912" s="1">
        <v>3.0</v>
      </c>
      <c r="Q912" s="1" t="b">
        <v>1</v>
      </c>
      <c r="R912" s="1">
        <v>100.0</v>
      </c>
      <c r="S912" s="1" t="s">
        <v>296</v>
      </c>
      <c r="T912" s="1" t="s">
        <v>422</v>
      </c>
      <c r="U912" s="1"/>
    </row>
    <row r="913">
      <c r="A913" s="218">
        <v>45215.92763569445</v>
      </c>
      <c r="B913" s="1"/>
      <c r="C913" s="1"/>
      <c r="D913" s="1"/>
      <c r="E913" s="1"/>
      <c r="F913" s="1"/>
      <c r="G913" s="218"/>
      <c r="H913" s="1"/>
      <c r="I913" s="1"/>
      <c r="J913" s="219"/>
      <c r="K913" s="219"/>
      <c r="L913" s="219"/>
      <c r="M913" s="219"/>
      <c r="N913" s="1"/>
      <c r="O913" s="1"/>
      <c r="P913" s="1"/>
      <c r="Q913" s="1"/>
      <c r="R913" s="1"/>
      <c r="S913" s="1" t="e">
        <v>#N/A</v>
      </c>
      <c r="T913" s="1" t="e">
        <v>#N/A</v>
      </c>
      <c r="U913" s="1"/>
    </row>
    <row r="914">
      <c r="A914" s="218">
        <v>45215.92763569445</v>
      </c>
      <c r="B914" s="1" t="s">
        <v>57</v>
      </c>
      <c r="C914" s="1" t="s">
        <v>201</v>
      </c>
      <c r="D914" s="1">
        <v>4.0</v>
      </c>
      <c r="E914" s="1">
        <v>3.0</v>
      </c>
      <c r="F914" s="1" t="s">
        <v>1344</v>
      </c>
      <c r="G914" s="218">
        <v>45217.875</v>
      </c>
      <c r="H914" s="1" t="s">
        <v>70</v>
      </c>
      <c r="I914" s="1" t="s">
        <v>36</v>
      </c>
      <c r="J914" s="219">
        <v>2.5</v>
      </c>
      <c r="K914" s="219">
        <v>-2.5</v>
      </c>
      <c r="L914" s="219">
        <v>-125.0</v>
      </c>
      <c r="M914" s="219" t="s">
        <v>874</v>
      </c>
      <c r="N914" s="1">
        <v>210.0</v>
      </c>
      <c r="O914" s="1">
        <v>162.0</v>
      </c>
      <c r="P914" s="1">
        <v>1.0</v>
      </c>
      <c r="Q914" s="1" t="b">
        <v>1</v>
      </c>
      <c r="R914" s="1">
        <v>100.0</v>
      </c>
      <c r="S914" s="1" t="s">
        <v>351</v>
      </c>
      <c r="T914" s="1" t="s">
        <v>423</v>
      </c>
      <c r="U914" s="1"/>
    </row>
    <row r="915">
      <c r="A915" s="218">
        <v>45215.92763569445</v>
      </c>
      <c r="B915" s="1" t="s">
        <v>57</v>
      </c>
      <c r="C915" s="1" t="s">
        <v>207</v>
      </c>
      <c r="D915" s="1">
        <v>3.0</v>
      </c>
      <c r="E915" s="1">
        <v>3.0</v>
      </c>
      <c r="F915" s="1" t="s">
        <v>1346</v>
      </c>
      <c r="G915" s="218">
        <v>45218.79166666667</v>
      </c>
      <c r="H915" s="1" t="s">
        <v>125</v>
      </c>
      <c r="I915" s="1" t="s">
        <v>36</v>
      </c>
      <c r="J915" s="219">
        <v>-3.5</v>
      </c>
      <c r="K915" s="219">
        <v>-3.0</v>
      </c>
      <c r="L915" s="219">
        <v>130.0</v>
      </c>
      <c r="M915" s="219" t="s">
        <v>235</v>
      </c>
      <c r="N915" s="1">
        <v>156.0</v>
      </c>
      <c r="O915" s="1">
        <v>176.0</v>
      </c>
      <c r="P915" s="1">
        <v>1.0</v>
      </c>
      <c r="Q915" s="1" t="b">
        <v>1</v>
      </c>
      <c r="R915" s="1">
        <v>100.0</v>
      </c>
      <c r="S915" s="1" t="s">
        <v>407</v>
      </c>
      <c r="T915" s="1" t="s">
        <v>423</v>
      </c>
      <c r="U915" s="1"/>
    </row>
    <row r="916">
      <c r="A916" s="218">
        <v>45215.92763569445</v>
      </c>
      <c r="B916" s="1" t="s">
        <v>57</v>
      </c>
      <c r="C916" s="1" t="s">
        <v>208</v>
      </c>
      <c r="D916" s="1">
        <v>3.0</v>
      </c>
      <c r="E916" s="1">
        <v>3.0</v>
      </c>
      <c r="F916" s="1" t="s">
        <v>1347</v>
      </c>
      <c r="G916" s="218">
        <v>45220.64583333333</v>
      </c>
      <c r="H916" s="1" t="s">
        <v>69</v>
      </c>
      <c r="I916" s="1" t="s">
        <v>900</v>
      </c>
      <c r="J916" s="219">
        <v>1.5</v>
      </c>
      <c r="K916" s="219">
        <v>-1.5</v>
      </c>
      <c r="L916" s="219">
        <v>-104.0</v>
      </c>
      <c r="M916" s="219" t="s">
        <v>151</v>
      </c>
      <c r="N916" s="1">
        <v>141.0</v>
      </c>
      <c r="O916" s="1">
        <v>138.0</v>
      </c>
      <c r="P916" s="1">
        <v>1.0</v>
      </c>
      <c r="Q916" s="1" t="b">
        <v>1</v>
      </c>
      <c r="R916" s="1">
        <v>100.0</v>
      </c>
      <c r="S916" s="1" t="s">
        <v>301</v>
      </c>
      <c r="T916" s="1" t="s">
        <v>422</v>
      </c>
      <c r="U916" s="1"/>
    </row>
    <row r="917">
      <c r="A917" s="218">
        <v>45215.92763569445</v>
      </c>
      <c r="B917" s="1" t="s">
        <v>57</v>
      </c>
      <c r="C917" s="1" t="s">
        <v>210</v>
      </c>
      <c r="D917" s="1">
        <v>3.0</v>
      </c>
      <c r="E917" s="1">
        <v>3.0</v>
      </c>
      <c r="F917" s="1" t="s">
        <v>1348</v>
      </c>
      <c r="G917" s="218">
        <v>45220.66666666667</v>
      </c>
      <c r="H917" s="1" t="s">
        <v>125</v>
      </c>
      <c r="I917" s="1" t="s">
        <v>92</v>
      </c>
      <c r="J917" s="219">
        <v>20.5</v>
      </c>
      <c r="K917" s="219">
        <v>22.5</v>
      </c>
      <c r="L917" s="219">
        <v>-2100.0</v>
      </c>
      <c r="M917" s="219" t="s">
        <v>971</v>
      </c>
      <c r="N917" s="1">
        <v>178.0</v>
      </c>
      <c r="O917" s="1">
        <v>188.0</v>
      </c>
      <c r="P917" s="1">
        <v>1.0</v>
      </c>
      <c r="Q917" s="1" t="b">
        <v>0</v>
      </c>
      <c r="R917" s="1">
        <v>100.0</v>
      </c>
      <c r="S917" s="1" t="s">
        <v>296</v>
      </c>
      <c r="T917" s="1" t="s">
        <v>422</v>
      </c>
      <c r="U917" s="1"/>
    </row>
    <row r="918">
      <c r="A918" s="218">
        <v>45215.92763569445</v>
      </c>
      <c r="B918" s="1" t="s">
        <v>57</v>
      </c>
      <c r="C918" s="1" t="s">
        <v>202</v>
      </c>
      <c r="D918" s="1">
        <v>5.0</v>
      </c>
      <c r="E918" s="1">
        <v>1.0</v>
      </c>
      <c r="F918" s="1" t="s">
        <v>1319</v>
      </c>
      <c r="G918" s="218">
        <v>45220.79166666667</v>
      </c>
      <c r="H918" s="1" t="s">
        <v>58</v>
      </c>
      <c r="I918" s="1" t="s">
        <v>1185</v>
      </c>
      <c r="J918" s="219">
        <v>-3.5</v>
      </c>
      <c r="K918" s="219">
        <v>-7.0</v>
      </c>
      <c r="L918" s="219">
        <v>240.0</v>
      </c>
      <c r="M918" s="219" t="s">
        <v>971</v>
      </c>
      <c r="N918" s="1">
        <v>225.0</v>
      </c>
      <c r="O918" s="1">
        <v>161.0</v>
      </c>
      <c r="P918" s="1">
        <v>1.0</v>
      </c>
      <c r="Q918" s="1" t="b">
        <v>1</v>
      </c>
      <c r="R918" s="1">
        <v>100.0</v>
      </c>
      <c r="S918" s="1" t="s">
        <v>353</v>
      </c>
      <c r="T918" s="1" t="s">
        <v>423</v>
      </c>
      <c r="U918" s="1"/>
    </row>
    <row r="919">
      <c r="A919" s="218">
        <v>45215.92763569445</v>
      </c>
      <c r="B919" s="1" t="s">
        <v>57</v>
      </c>
      <c r="C919" s="1" t="s">
        <v>206</v>
      </c>
      <c r="D919" s="1">
        <v>3.0</v>
      </c>
      <c r="E919" s="1">
        <v>3.0</v>
      </c>
      <c r="F919" s="1" t="s">
        <v>1349</v>
      </c>
      <c r="G919" s="218">
        <v>45220.79166666667</v>
      </c>
      <c r="H919" s="1" t="s">
        <v>69</v>
      </c>
      <c r="I919" s="1" t="s">
        <v>935</v>
      </c>
      <c r="J919" s="219">
        <v>-8.5</v>
      </c>
      <c r="K919" s="219">
        <v>-10.5</v>
      </c>
      <c r="L919" s="219">
        <v>-400.0</v>
      </c>
      <c r="M919" s="219" t="s">
        <v>971</v>
      </c>
      <c r="N919" s="1">
        <v>181.0</v>
      </c>
      <c r="O919" s="1">
        <v>142.0</v>
      </c>
      <c r="P919" s="1">
        <v>1.0</v>
      </c>
      <c r="Q919" s="1" t="b">
        <v>1</v>
      </c>
      <c r="R919" s="1">
        <v>100.0</v>
      </c>
      <c r="S919" s="1" t="s">
        <v>355</v>
      </c>
      <c r="T919" s="1" t="s">
        <v>423</v>
      </c>
      <c r="U919" s="1"/>
    </row>
    <row r="920">
      <c r="A920" s="218">
        <v>45215.92763569445</v>
      </c>
      <c r="B920" s="1" t="s">
        <v>57</v>
      </c>
      <c r="C920" s="1" t="s">
        <v>204</v>
      </c>
      <c r="D920" s="1">
        <v>6.0</v>
      </c>
      <c r="E920" s="1">
        <v>1.0</v>
      </c>
      <c r="F920" s="1" t="s">
        <v>1350</v>
      </c>
      <c r="G920" s="218">
        <v>45220.83333333333</v>
      </c>
      <c r="H920" s="1" t="s">
        <v>59</v>
      </c>
      <c r="I920" s="1" t="s">
        <v>92</v>
      </c>
      <c r="J920" s="219">
        <v>-2.5</v>
      </c>
      <c r="K920" s="219">
        <v>-6.5</v>
      </c>
      <c r="L920" s="219">
        <v>205.0</v>
      </c>
      <c r="M920" s="219" t="s">
        <v>840</v>
      </c>
      <c r="N920" s="1">
        <v>331.0</v>
      </c>
      <c r="O920" s="1">
        <v>210.0</v>
      </c>
      <c r="P920" s="1">
        <v>1.0</v>
      </c>
      <c r="Q920" s="1" t="b">
        <v>0</v>
      </c>
      <c r="R920" s="1">
        <v>100.0</v>
      </c>
      <c r="S920" s="1" t="s">
        <v>354</v>
      </c>
      <c r="T920" s="1" t="s">
        <v>422</v>
      </c>
      <c r="U920" s="1"/>
    </row>
    <row r="921">
      <c r="A921" s="218">
        <v>45215.92763569445</v>
      </c>
      <c r="B921" s="1" t="s">
        <v>57</v>
      </c>
      <c r="C921" s="1" t="s">
        <v>214</v>
      </c>
      <c r="D921" s="1">
        <v>5.0</v>
      </c>
      <c r="E921" s="1">
        <v>2.0</v>
      </c>
      <c r="F921" s="1" t="s">
        <v>1351</v>
      </c>
      <c r="G921" s="218">
        <v>45220.5</v>
      </c>
      <c r="H921" s="1" t="s">
        <v>61</v>
      </c>
      <c r="I921" s="1" t="s">
        <v>99</v>
      </c>
      <c r="J921" s="219">
        <v>-17.5</v>
      </c>
      <c r="K921" s="219">
        <v>-15.5</v>
      </c>
      <c r="L921" s="219">
        <v>520.0</v>
      </c>
      <c r="M921" s="219" t="s">
        <v>845</v>
      </c>
      <c r="N921" s="1">
        <v>160.0</v>
      </c>
      <c r="O921" s="1">
        <v>94.0</v>
      </c>
      <c r="P921" s="1">
        <v>1.0</v>
      </c>
      <c r="Q921" s="1" t="b">
        <v>1</v>
      </c>
      <c r="R921" s="1">
        <v>100.0</v>
      </c>
      <c r="S921" s="1" t="s">
        <v>352</v>
      </c>
      <c r="T921" s="1" t="s">
        <v>423</v>
      </c>
      <c r="U921" s="1"/>
    </row>
    <row r="922">
      <c r="A922" s="218">
        <v>45215.92763569445</v>
      </c>
      <c r="B922" s="1" t="s">
        <v>57</v>
      </c>
      <c r="C922" s="1" t="s">
        <v>200</v>
      </c>
      <c r="D922" s="1">
        <v>6.0</v>
      </c>
      <c r="E922" s="1">
        <v>0.0</v>
      </c>
      <c r="F922" s="1" t="s">
        <v>1328</v>
      </c>
      <c r="G922" s="218">
        <v>45220.5</v>
      </c>
      <c r="H922" s="1" t="s">
        <v>56</v>
      </c>
      <c r="I922" s="1" t="s">
        <v>92</v>
      </c>
      <c r="J922" s="219">
        <v>-10.5</v>
      </c>
      <c r="K922" s="219">
        <v>-4.5</v>
      </c>
      <c r="L922" s="219">
        <v>162.0</v>
      </c>
      <c r="M922" s="219" t="s">
        <v>854</v>
      </c>
      <c r="N922" s="1">
        <v>216.0</v>
      </c>
      <c r="O922" s="1">
        <v>58.0</v>
      </c>
      <c r="P922" s="1">
        <v>1.0</v>
      </c>
      <c r="Q922" s="1" t="b">
        <v>1</v>
      </c>
      <c r="R922" s="1">
        <v>100.0</v>
      </c>
      <c r="S922" s="1" t="s">
        <v>282</v>
      </c>
      <c r="T922" s="1" t="s">
        <v>422</v>
      </c>
      <c r="U922" s="1"/>
    </row>
    <row r="923">
      <c r="A923" s="218">
        <v>45215.92763569445</v>
      </c>
      <c r="B923" s="1" t="s">
        <v>57</v>
      </c>
      <c r="C923" s="1" t="s">
        <v>213</v>
      </c>
      <c r="D923" s="1">
        <v>2.0</v>
      </c>
      <c r="E923" s="1">
        <v>5.0</v>
      </c>
      <c r="F923" s="1" t="s">
        <v>1352</v>
      </c>
      <c r="G923" s="218">
        <v>45220.5</v>
      </c>
      <c r="H923" s="1" t="s">
        <v>62</v>
      </c>
      <c r="I923" s="1" t="s">
        <v>76</v>
      </c>
      <c r="J923" s="219">
        <v>-7.0</v>
      </c>
      <c r="K923" s="219">
        <v>-7.0</v>
      </c>
      <c r="L923" s="219">
        <v>215.0</v>
      </c>
      <c r="M923" s="219" t="s">
        <v>937</v>
      </c>
      <c r="N923" s="1">
        <v>209.0</v>
      </c>
      <c r="O923" s="1">
        <v>176.0</v>
      </c>
      <c r="P923" s="1">
        <v>1.0</v>
      </c>
      <c r="Q923" s="1" t="b">
        <v>0</v>
      </c>
      <c r="R923" s="1">
        <v>100.0</v>
      </c>
      <c r="S923" s="1" t="s">
        <v>292</v>
      </c>
      <c r="T923" s="1" t="s">
        <v>422</v>
      </c>
      <c r="U923" s="1"/>
    </row>
    <row r="924">
      <c r="A924" s="218">
        <v>45215.92763569445</v>
      </c>
      <c r="B924" s="1"/>
      <c r="C924" s="1"/>
      <c r="D924" s="1"/>
      <c r="E924" s="1"/>
      <c r="F924" s="1"/>
      <c r="G924" s="218"/>
      <c r="H924" s="1"/>
      <c r="I924" s="1"/>
      <c r="J924" s="219"/>
      <c r="K924" s="219"/>
      <c r="L924" s="219"/>
      <c r="M924" s="219"/>
      <c r="N924" s="1"/>
      <c r="O924" s="1"/>
      <c r="P924" s="1"/>
      <c r="Q924" s="1"/>
      <c r="R924" s="1"/>
      <c r="S924" s="1" t="e">
        <v>#N/A</v>
      </c>
      <c r="T924" s="1" t="e">
        <v>#N/A</v>
      </c>
      <c r="U924" s="1"/>
    </row>
    <row r="925">
      <c r="A925" s="218">
        <v>45215.92763569445</v>
      </c>
      <c r="B925" s="1" t="s">
        <v>67</v>
      </c>
      <c r="C925" s="1" t="s">
        <v>205</v>
      </c>
      <c r="D925" s="1">
        <v>3.0</v>
      </c>
      <c r="E925" s="1">
        <v>3.0</v>
      </c>
      <c r="F925" s="1" t="s">
        <v>1343</v>
      </c>
      <c r="G925" s="218">
        <v>45216.8125</v>
      </c>
      <c r="H925" s="1" t="s">
        <v>70</v>
      </c>
      <c r="I925" s="1" t="s">
        <v>36</v>
      </c>
      <c r="J925" s="219">
        <v>-14.5</v>
      </c>
      <c r="K925" s="219">
        <v>-17.5</v>
      </c>
      <c r="L925" s="219">
        <v>590.0</v>
      </c>
      <c r="M925" s="219" t="s">
        <v>114</v>
      </c>
      <c r="N925" s="1">
        <v>193.0</v>
      </c>
      <c r="O925" s="1">
        <v>133.0</v>
      </c>
      <c r="P925" s="1">
        <v>1.0</v>
      </c>
      <c r="Q925" s="1" t="b">
        <v>0</v>
      </c>
      <c r="R925" s="1">
        <v>100.0</v>
      </c>
      <c r="S925" s="1" t="s">
        <v>355</v>
      </c>
      <c r="T925" s="1" t="s">
        <v>423</v>
      </c>
      <c r="U925" s="1"/>
    </row>
    <row r="926">
      <c r="A926" s="218">
        <v>45215.92763569445</v>
      </c>
      <c r="B926" s="1" t="s">
        <v>67</v>
      </c>
      <c r="C926" s="1" t="s">
        <v>220</v>
      </c>
      <c r="D926" s="1">
        <v>3.0</v>
      </c>
      <c r="E926" s="1">
        <v>4.0</v>
      </c>
      <c r="F926" s="1" t="s">
        <v>1304</v>
      </c>
      <c r="G926" s="218">
        <v>45217.79166666667</v>
      </c>
      <c r="H926" s="1" t="s">
        <v>35</v>
      </c>
      <c r="I926" s="1"/>
      <c r="J926" s="219"/>
      <c r="K926" s="219"/>
      <c r="L926" s="219"/>
      <c r="M926" s="219"/>
      <c r="N926" s="1">
        <v>138.0</v>
      </c>
      <c r="O926" s="1">
        <v>189.0</v>
      </c>
      <c r="P926" s="1">
        <v>1.0</v>
      </c>
      <c r="Q926" s="1" t="b">
        <v>0</v>
      </c>
      <c r="R926" s="1">
        <v>100.0</v>
      </c>
      <c r="S926" s="1" t="s">
        <v>351</v>
      </c>
      <c r="T926" s="1" t="s">
        <v>423</v>
      </c>
      <c r="U926" s="1"/>
    </row>
    <row r="927">
      <c r="A927" s="218">
        <v>45215.92763569445</v>
      </c>
      <c r="B927" s="1" t="s">
        <v>67</v>
      </c>
      <c r="C927" s="1" t="s">
        <v>218</v>
      </c>
      <c r="D927" s="1">
        <v>2.0</v>
      </c>
      <c r="E927" s="1">
        <v>4.0</v>
      </c>
      <c r="F927" s="1" t="s">
        <v>1353</v>
      </c>
      <c r="G927" s="218">
        <v>45220.58333333333</v>
      </c>
      <c r="H927" s="1" t="s">
        <v>62</v>
      </c>
      <c r="I927" s="1" t="s">
        <v>935</v>
      </c>
      <c r="J927" s="219">
        <v>16.5</v>
      </c>
      <c r="K927" s="219">
        <v>16.5</v>
      </c>
      <c r="L927" s="219">
        <v>530.0</v>
      </c>
      <c r="M927" s="219" t="s">
        <v>203</v>
      </c>
      <c r="N927" s="1">
        <v>111.0</v>
      </c>
      <c r="O927" s="1">
        <v>191.0</v>
      </c>
      <c r="P927" s="1">
        <v>1.0</v>
      </c>
      <c r="Q927" s="1" t="b">
        <v>1</v>
      </c>
      <c r="R927" s="1">
        <v>100.0</v>
      </c>
      <c r="S927" s="1" t="s">
        <v>353</v>
      </c>
      <c r="T927" s="1" t="s">
        <v>423</v>
      </c>
      <c r="U927" s="1"/>
    </row>
    <row r="928">
      <c r="A928" s="218">
        <v>45215.92763569445</v>
      </c>
      <c r="B928" s="1" t="s">
        <v>67</v>
      </c>
      <c r="C928" s="1" t="s">
        <v>226</v>
      </c>
      <c r="D928" s="1">
        <v>3.0</v>
      </c>
      <c r="E928" s="1">
        <v>4.0</v>
      </c>
      <c r="F928" s="1" t="s">
        <v>1335</v>
      </c>
      <c r="G928" s="218">
        <v>45220.58333333333</v>
      </c>
      <c r="H928" s="1" t="s">
        <v>46</v>
      </c>
      <c r="I928" s="1" t="s">
        <v>935</v>
      </c>
      <c r="J928" s="219">
        <v>-8.5</v>
      </c>
      <c r="K928" s="219">
        <v>-7.5</v>
      </c>
      <c r="L928" s="219">
        <v>275.0</v>
      </c>
      <c r="M928" s="219" t="s">
        <v>1336</v>
      </c>
      <c r="N928" s="1">
        <v>137.0</v>
      </c>
      <c r="O928" s="1">
        <v>186.0</v>
      </c>
      <c r="P928" s="1">
        <v>1.0</v>
      </c>
      <c r="Q928" s="1" t="b">
        <v>1</v>
      </c>
      <c r="R928" s="1">
        <v>100.0</v>
      </c>
      <c r="S928" s="1" t="s">
        <v>352</v>
      </c>
      <c r="T928" s="1" t="s">
        <v>423</v>
      </c>
      <c r="U928" s="1"/>
    </row>
    <row r="929">
      <c r="A929" s="218">
        <v>45215.92763569445</v>
      </c>
      <c r="B929" s="1" t="s">
        <v>67</v>
      </c>
      <c r="C929" s="1" t="s">
        <v>221</v>
      </c>
      <c r="D929" s="1">
        <v>3.0</v>
      </c>
      <c r="E929" s="1">
        <v>3.0</v>
      </c>
      <c r="F929" s="1" t="s">
        <v>1339</v>
      </c>
      <c r="G929" s="218">
        <v>45220.64583333333</v>
      </c>
      <c r="H929" s="1" t="s">
        <v>46</v>
      </c>
      <c r="I929" s="1" t="s">
        <v>36</v>
      </c>
      <c r="J929" s="219">
        <v>20.5</v>
      </c>
      <c r="K929" s="219">
        <v>20.5</v>
      </c>
      <c r="L929" s="219">
        <v>860.0</v>
      </c>
      <c r="M929" s="219" t="s">
        <v>971</v>
      </c>
      <c r="N929" s="1">
        <v>214.0</v>
      </c>
      <c r="O929" s="1">
        <v>213.0</v>
      </c>
      <c r="P929" s="1">
        <v>1.0</v>
      </c>
      <c r="Q929" s="1" t="b">
        <v>0</v>
      </c>
      <c r="R929" s="1">
        <v>100.0</v>
      </c>
      <c r="S929" s="1" t="s">
        <v>407</v>
      </c>
      <c r="T929" s="1" t="s">
        <v>423</v>
      </c>
      <c r="U929" s="1"/>
    </row>
    <row r="930">
      <c r="A930" s="218">
        <v>45215.92763569445</v>
      </c>
      <c r="B930" s="1" t="s">
        <v>67</v>
      </c>
      <c r="C930" s="1" t="s">
        <v>216</v>
      </c>
      <c r="D930" s="1">
        <v>6.0</v>
      </c>
      <c r="E930" s="1">
        <v>0.0</v>
      </c>
      <c r="F930" s="1" t="s">
        <v>1354</v>
      </c>
      <c r="G930" s="218">
        <v>45220.77083333333</v>
      </c>
      <c r="H930" s="1"/>
      <c r="I930" s="1" t="s">
        <v>1019</v>
      </c>
      <c r="J930" s="219">
        <v>-21.5</v>
      </c>
      <c r="K930" s="219">
        <v>-23.5</v>
      </c>
      <c r="L930" s="219">
        <v>920.0</v>
      </c>
      <c r="M930" s="219" t="s">
        <v>104</v>
      </c>
      <c r="N930" s="1">
        <v>224.0</v>
      </c>
      <c r="O930" s="1">
        <v>126.0</v>
      </c>
      <c r="P930" s="1">
        <v>1.0</v>
      </c>
      <c r="Q930" s="1" t="b">
        <v>1</v>
      </c>
      <c r="R930" s="1">
        <v>100.0</v>
      </c>
      <c r="S930" s="1" t="s">
        <v>301</v>
      </c>
      <c r="T930" s="1" t="s">
        <v>422</v>
      </c>
      <c r="U930" s="1"/>
    </row>
    <row r="931">
      <c r="A931" s="218">
        <v>45215.92763569445</v>
      </c>
      <c r="B931" s="1" t="s">
        <v>67</v>
      </c>
      <c r="C931" s="1" t="s">
        <v>225</v>
      </c>
      <c r="D931" s="1">
        <v>5.0</v>
      </c>
      <c r="E931" s="1">
        <v>1.0</v>
      </c>
      <c r="F931" s="1" t="s">
        <v>1320</v>
      </c>
      <c r="G931" s="218">
        <v>45220.79166666667</v>
      </c>
      <c r="H931" s="1" t="s">
        <v>58</v>
      </c>
      <c r="I931" s="1" t="s">
        <v>76</v>
      </c>
      <c r="J931" s="219">
        <v>-6.5</v>
      </c>
      <c r="K931" s="219">
        <v>-6.5</v>
      </c>
      <c r="L931" s="219">
        <v>-235.0</v>
      </c>
      <c r="M931" s="219" t="s">
        <v>104</v>
      </c>
      <c r="N931" s="1">
        <v>250.0</v>
      </c>
      <c r="O931" s="1">
        <v>143.0</v>
      </c>
      <c r="P931" s="1">
        <v>1.0</v>
      </c>
      <c r="Q931" s="1" t="b">
        <v>1</v>
      </c>
      <c r="R931" s="1">
        <v>100.0</v>
      </c>
      <c r="S931" s="1" t="s">
        <v>292</v>
      </c>
      <c r="T931" s="1" t="s">
        <v>422</v>
      </c>
      <c r="U931" s="1"/>
    </row>
    <row r="932">
      <c r="A932" s="218">
        <v>45215.92763569445</v>
      </c>
      <c r="B932" s="1" t="s">
        <v>67</v>
      </c>
      <c r="C932" s="1" t="s">
        <v>223</v>
      </c>
      <c r="D932" s="1">
        <v>4.0</v>
      </c>
      <c r="E932" s="1">
        <v>3.0</v>
      </c>
      <c r="F932" s="1" t="s">
        <v>1311</v>
      </c>
      <c r="G932" s="218">
        <v>45220.79166666667</v>
      </c>
      <c r="H932" s="1" t="s">
        <v>35</v>
      </c>
      <c r="I932" s="1" t="s">
        <v>36</v>
      </c>
      <c r="J932" s="219">
        <v>7.5</v>
      </c>
      <c r="K932" s="219">
        <v>7.5</v>
      </c>
      <c r="L932" s="219">
        <v>225.0</v>
      </c>
      <c r="M932" s="219" t="s">
        <v>104</v>
      </c>
      <c r="N932" s="1">
        <v>232.0</v>
      </c>
      <c r="O932" s="1">
        <v>143.0</v>
      </c>
      <c r="P932" s="1">
        <v>1.0</v>
      </c>
      <c r="Q932" s="1" t="b">
        <v>1</v>
      </c>
      <c r="R932" s="1">
        <v>100.0</v>
      </c>
      <c r="S932" s="1" t="s">
        <v>296</v>
      </c>
      <c r="T932" s="1" t="s">
        <v>422</v>
      </c>
      <c r="U932" s="1"/>
    </row>
    <row r="933">
      <c r="A933" s="218">
        <v>45215.92763569445</v>
      </c>
      <c r="B933" s="1" t="s">
        <v>67</v>
      </c>
      <c r="C933" s="1" t="s">
        <v>217</v>
      </c>
      <c r="D933" s="1">
        <v>4.0</v>
      </c>
      <c r="E933" s="1">
        <v>3.0</v>
      </c>
      <c r="F933" s="1"/>
      <c r="G933" s="218"/>
      <c r="H933" s="1"/>
      <c r="I933" s="1"/>
      <c r="J933" s="219"/>
      <c r="K933" s="219"/>
      <c r="L933" s="219"/>
      <c r="M933" s="219"/>
      <c r="N933" s="1">
        <v>223.0</v>
      </c>
      <c r="O933" s="1">
        <v>144.0</v>
      </c>
      <c r="P933" s="1">
        <v>3.0</v>
      </c>
      <c r="Q933" s="1" t="b">
        <v>1</v>
      </c>
      <c r="R933" s="1">
        <v>100.0</v>
      </c>
      <c r="S933" s="1" t="s">
        <v>354</v>
      </c>
      <c r="T933" s="1" t="s">
        <v>422</v>
      </c>
      <c r="U933" s="1"/>
    </row>
    <row r="934">
      <c r="A934" s="218">
        <v>45215.92763569445</v>
      </c>
      <c r="B934" s="1" t="s">
        <v>67</v>
      </c>
      <c r="C934" s="1" t="s">
        <v>222</v>
      </c>
      <c r="D934" s="1">
        <v>2.0</v>
      </c>
      <c r="E934" s="1">
        <v>5.0</v>
      </c>
      <c r="F934" s="1"/>
      <c r="G934" s="218"/>
      <c r="H934" s="1"/>
      <c r="I934" s="1"/>
      <c r="J934" s="219"/>
      <c r="K934" s="219"/>
      <c r="L934" s="219"/>
      <c r="M934" s="219"/>
      <c r="N934" s="1">
        <v>161.0</v>
      </c>
      <c r="O934" s="1">
        <v>209.0</v>
      </c>
      <c r="P934" s="1">
        <v>3.0</v>
      </c>
      <c r="Q934" s="1" t="b">
        <v>1</v>
      </c>
      <c r="R934" s="1">
        <v>100.0</v>
      </c>
      <c r="S934" s="1" t="s">
        <v>282</v>
      </c>
      <c r="T934" s="1" t="s">
        <v>422</v>
      </c>
      <c r="U934" s="1"/>
    </row>
    <row r="935">
      <c r="A935" s="218">
        <v>45215.92763569445</v>
      </c>
      <c r="B935" s="1"/>
      <c r="C935" s="1"/>
      <c r="D935" s="1"/>
      <c r="E935" s="1"/>
      <c r="F935" s="1"/>
      <c r="G935" s="218"/>
      <c r="H935" s="1"/>
      <c r="I935" s="1"/>
      <c r="J935" s="219"/>
      <c r="K935" s="219"/>
      <c r="L935" s="219"/>
      <c r="M935" s="219"/>
      <c r="N935" s="1"/>
      <c r="O935" s="1"/>
      <c r="P935" s="1"/>
      <c r="Q935" s="1"/>
      <c r="R935" s="1"/>
      <c r="S935" s="1" t="e">
        <v>#N/A</v>
      </c>
      <c r="T935" s="1" t="e">
        <v>#N/A</v>
      </c>
      <c r="U935" s="1"/>
    </row>
    <row r="936">
      <c r="A936" s="218">
        <v>45215.92763569445</v>
      </c>
      <c r="B936" s="1" t="s">
        <v>59</v>
      </c>
      <c r="C936" s="1" t="s">
        <v>236</v>
      </c>
      <c r="D936" s="1">
        <v>1.0</v>
      </c>
      <c r="E936" s="1">
        <v>5.0</v>
      </c>
      <c r="F936" s="1" t="s">
        <v>1355</v>
      </c>
      <c r="G936" s="218">
        <v>45220.64583333333</v>
      </c>
      <c r="H936" s="1" t="s">
        <v>69</v>
      </c>
      <c r="I936" s="1" t="s">
        <v>99</v>
      </c>
      <c r="J936" s="219">
        <v>3.5</v>
      </c>
      <c r="K936" s="219">
        <v>2.5</v>
      </c>
      <c r="L936" s="219">
        <v>-134.0</v>
      </c>
      <c r="M936" s="219" t="s">
        <v>840</v>
      </c>
      <c r="N936" s="1">
        <v>123.0</v>
      </c>
      <c r="O936" s="1">
        <v>189.0</v>
      </c>
      <c r="P936" s="1">
        <v>1.0</v>
      </c>
      <c r="Q936" s="1" t="b">
        <v>1</v>
      </c>
      <c r="R936" s="1">
        <v>100.0</v>
      </c>
      <c r="S936" s="1" t="s">
        <v>351</v>
      </c>
      <c r="T936" s="1" t="s">
        <v>423</v>
      </c>
      <c r="U936" s="1"/>
    </row>
    <row r="937">
      <c r="A937" s="218">
        <v>45215.92763569445</v>
      </c>
      <c r="B937" s="1" t="s">
        <v>59</v>
      </c>
      <c r="C937" s="1" t="s">
        <v>237</v>
      </c>
      <c r="D937" s="1">
        <v>6.0</v>
      </c>
      <c r="E937" s="1">
        <v>1.0</v>
      </c>
      <c r="F937" s="1" t="s">
        <v>1337</v>
      </c>
      <c r="G937" s="218">
        <v>45220.64583333333</v>
      </c>
      <c r="H937" s="1" t="s">
        <v>46</v>
      </c>
      <c r="I937" s="1" t="s">
        <v>945</v>
      </c>
      <c r="J937" s="219">
        <v>-6.5</v>
      </c>
      <c r="K937" s="219">
        <v>-6.5</v>
      </c>
      <c r="L937" s="219">
        <v>220.0</v>
      </c>
      <c r="M937" s="219" t="s">
        <v>203</v>
      </c>
      <c r="N937" s="1">
        <v>237.0</v>
      </c>
      <c r="O937" s="1">
        <v>174.0</v>
      </c>
      <c r="P937" s="1">
        <v>1.0</v>
      </c>
      <c r="Q937" s="1" t="b">
        <v>1</v>
      </c>
      <c r="R937" s="1">
        <v>100.0</v>
      </c>
      <c r="S937" s="1" t="s">
        <v>292</v>
      </c>
      <c r="T937" s="1" t="s">
        <v>422</v>
      </c>
      <c r="U937" s="1"/>
    </row>
    <row r="938">
      <c r="A938" s="218">
        <v>45215.92763569445</v>
      </c>
      <c r="B938" s="1" t="s">
        <v>59</v>
      </c>
      <c r="C938" s="1" t="s">
        <v>238</v>
      </c>
      <c r="D938" s="1">
        <v>4.0</v>
      </c>
      <c r="E938" s="1">
        <v>3.0</v>
      </c>
      <c r="F938" s="1" t="s">
        <v>1318</v>
      </c>
      <c r="G938" s="218">
        <v>45220.64583333333</v>
      </c>
      <c r="H938" s="1" t="s">
        <v>58</v>
      </c>
      <c r="I938" s="1" t="s">
        <v>935</v>
      </c>
      <c r="J938" s="219"/>
      <c r="K938" s="219"/>
      <c r="L938" s="219"/>
      <c r="M938" s="219"/>
      <c r="N938" s="1">
        <v>133.0</v>
      </c>
      <c r="O938" s="1">
        <v>136.0</v>
      </c>
      <c r="P938" s="1">
        <v>1.0</v>
      </c>
      <c r="Q938" s="1" t="b">
        <v>0</v>
      </c>
      <c r="R938" s="1">
        <v>100.0</v>
      </c>
      <c r="S938" s="1" t="s">
        <v>352</v>
      </c>
      <c r="T938" s="1" t="s">
        <v>423</v>
      </c>
      <c r="U938" s="1"/>
    </row>
    <row r="939">
      <c r="A939" s="218">
        <v>45215.92763569445</v>
      </c>
      <c r="B939" s="1" t="s">
        <v>59</v>
      </c>
      <c r="C939" s="1" t="s">
        <v>209</v>
      </c>
      <c r="D939" s="1">
        <v>7.0</v>
      </c>
      <c r="E939" s="1">
        <v>0.0</v>
      </c>
      <c r="F939" s="1" t="s">
        <v>1331</v>
      </c>
      <c r="G939" s="218">
        <v>45220.8125</v>
      </c>
      <c r="H939" s="1" t="s">
        <v>60</v>
      </c>
      <c r="I939" s="1" t="s">
        <v>90</v>
      </c>
      <c r="J939" s="219">
        <v>-19.5</v>
      </c>
      <c r="K939" s="219">
        <v>-23.5</v>
      </c>
      <c r="L939" s="219">
        <v>-2500.0</v>
      </c>
      <c r="M939" s="219" t="s">
        <v>854</v>
      </c>
      <c r="N939" s="1">
        <v>276.0</v>
      </c>
      <c r="O939" s="1">
        <v>47.0</v>
      </c>
      <c r="P939" s="1">
        <v>1.0</v>
      </c>
      <c r="Q939" s="1" t="b">
        <v>1</v>
      </c>
      <c r="R939" s="1">
        <v>100.0</v>
      </c>
      <c r="S939" s="1" t="s">
        <v>282</v>
      </c>
      <c r="T939" s="1" t="s">
        <v>422</v>
      </c>
      <c r="U939" s="1"/>
    </row>
    <row r="940">
      <c r="A940" s="218">
        <v>45215.92763569445</v>
      </c>
      <c r="B940" s="1" t="s">
        <v>59</v>
      </c>
      <c r="C940" s="1" t="s">
        <v>232</v>
      </c>
      <c r="D940" s="1">
        <v>5.0</v>
      </c>
      <c r="E940" s="1">
        <v>1.0</v>
      </c>
      <c r="F940" s="1" t="s">
        <v>1332</v>
      </c>
      <c r="G940" s="218">
        <v>45220.83333333333</v>
      </c>
      <c r="H940" s="1" t="s">
        <v>60</v>
      </c>
      <c r="I940" s="1" t="s">
        <v>40</v>
      </c>
      <c r="J940" s="219">
        <v>1.5</v>
      </c>
      <c r="K940" s="219">
        <v>2.5</v>
      </c>
      <c r="L940" s="219">
        <v>108.0</v>
      </c>
      <c r="M940" s="219" t="s">
        <v>954</v>
      </c>
      <c r="N940" s="1">
        <v>196.0</v>
      </c>
      <c r="O940" s="1">
        <v>143.0</v>
      </c>
      <c r="P940" s="1">
        <v>1.0</v>
      </c>
      <c r="Q940" s="1" t="b">
        <v>1</v>
      </c>
      <c r="R940" s="1">
        <v>100.0</v>
      </c>
      <c r="S940" s="1" t="s">
        <v>355</v>
      </c>
      <c r="T940" s="1" t="s">
        <v>423</v>
      </c>
      <c r="U940" s="1"/>
    </row>
    <row r="941">
      <c r="A941" s="218">
        <v>45215.92763569445</v>
      </c>
      <c r="B941" s="1" t="s">
        <v>59</v>
      </c>
      <c r="C941" s="1" t="s">
        <v>231</v>
      </c>
      <c r="D941" s="1">
        <v>5.0</v>
      </c>
      <c r="E941" s="1">
        <v>1.0</v>
      </c>
      <c r="F941" s="1" t="s">
        <v>1350</v>
      </c>
      <c r="G941" s="218">
        <v>45220.83333333333</v>
      </c>
      <c r="H941" s="1" t="s">
        <v>57</v>
      </c>
      <c r="I941" s="1" t="s">
        <v>92</v>
      </c>
      <c r="J941" s="219">
        <v>2.5</v>
      </c>
      <c r="K941" s="219">
        <v>6.5</v>
      </c>
      <c r="L941" s="219">
        <v>205.0</v>
      </c>
      <c r="M941" s="219" t="s">
        <v>840</v>
      </c>
      <c r="N941" s="1">
        <v>130.0</v>
      </c>
      <c r="O941" s="1">
        <v>73.0</v>
      </c>
      <c r="P941" s="1">
        <v>1.0</v>
      </c>
      <c r="Q941" s="1" t="b">
        <v>1</v>
      </c>
      <c r="R941" s="1">
        <v>100.0</v>
      </c>
      <c r="S941" s="1" t="s">
        <v>354</v>
      </c>
      <c r="T941" s="1" t="s">
        <v>422</v>
      </c>
      <c r="U941" s="1"/>
    </row>
    <row r="942">
      <c r="A942" s="218">
        <v>45215.92763569445</v>
      </c>
      <c r="B942" s="1" t="s">
        <v>59</v>
      </c>
      <c r="C942" s="1" t="s">
        <v>230</v>
      </c>
      <c r="D942" s="1">
        <v>2.0</v>
      </c>
      <c r="E942" s="1">
        <v>4.0</v>
      </c>
      <c r="F942" s="1" t="s">
        <v>1356</v>
      </c>
      <c r="G942" s="218">
        <v>45220.5</v>
      </c>
      <c r="H942" s="1" t="s">
        <v>62</v>
      </c>
      <c r="I942" s="1" t="s">
        <v>935</v>
      </c>
      <c r="J942" s="219">
        <v>2.5</v>
      </c>
      <c r="K942" s="219">
        <v>2.5</v>
      </c>
      <c r="L942" s="219">
        <v>118.0</v>
      </c>
      <c r="M942" s="219" t="s">
        <v>845</v>
      </c>
      <c r="N942" s="1">
        <v>130.0</v>
      </c>
      <c r="O942" s="1">
        <v>181.0</v>
      </c>
      <c r="P942" s="1">
        <v>1.0</v>
      </c>
      <c r="Q942" s="1" t="b">
        <v>1</v>
      </c>
      <c r="R942" s="1">
        <v>100.0</v>
      </c>
      <c r="S942" s="1" t="s">
        <v>296</v>
      </c>
      <c r="T942" s="1" t="s">
        <v>422</v>
      </c>
      <c r="U942" s="1"/>
    </row>
    <row r="943">
      <c r="A943" s="218">
        <v>45215.92763569445</v>
      </c>
      <c r="B943" s="1" t="s">
        <v>59</v>
      </c>
      <c r="C943" s="1" t="s">
        <v>229</v>
      </c>
      <c r="D943" s="1">
        <v>3.0</v>
      </c>
      <c r="E943" s="1">
        <v>3.0</v>
      </c>
      <c r="F943" s="1" t="s">
        <v>1357</v>
      </c>
      <c r="G943" s="218">
        <v>45220.5</v>
      </c>
      <c r="H943" s="1" t="s">
        <v>62</v>
      </c>
      <c r="I943" s="1" t="s">
        <v>900</v>
      </c>
      <c r="J943" s="219">
        <v>-6.5</v>
      </c>
      <c r="K943" s="219">
        <v>-4.5</v>
      </c>
      <c r="L943" s="219">
        <v>180.0</v>
      </c>
      <c r="M943" s="219" t="s">
        <v>235</v>
      </c>
      <c r="N943" s="1">
        <v>185.0</v>
      </c>
      <c r="O943" s="1">
        <v>174.0</v>
      </c>
      <c r="P943" s="1">
        <v>1.0</v>
      </c>
      <c r="Q943" s="1" t="b">
        <v>0</v>
      </c>
      <c r="R943" s="1">
        <v>100.0</v>
      </c>
      <c r="S943" s="1" t="s">
        <v>301</v>
      </c>
      <c r="T943" s="1" t="s">
        <v>422</v>
      </c>
      <c r="U943" s="1"/>
    </row>
    <row r="944">
      <c r="A944" s="218">
        <v>45215.92763569445</v>
      </c>
      <c r="B944" s="1" t="s">
        <v>59</v>
      </c>
      <c r="C944" s="1" t="s">
        <v>234</v>
      </c>
      <c r="D944" s="1">
        <v>3.0</v>
      </c>
      <c r="E944" s="1">
        <v>3.0</v>
      </c>
      <c r="F944" s="1" t="s">
        <v>1358</v>
      </c>
      <c r="G944" s="218">
        <v>45220.5</v>
      </c>
      <c r="H944" s="1" t="s">
        <v>69</v>
      </c>
      <c r="I944" s="1" t="s">
        <v>86</v>
      </c>
      <c r="J944" s="219">
        <v>10.5</v>
      </c>
      <c r="K944" s="219">
        <v>10.0</v>
      </c>
      <c r="L944" s="219">
        <v>-385.0</v>
      </c>
      <c r="M944" s="219" t="s">
        <v>1302</v>
      </c>
      <c r="N944" s="1">
        <v>122.0</v>
      </c>
      <c r="O944" s="1">
        <v>138.0</v>
      </c>
      <c r="P944" s="1">
        <v>1.0</v>
      </c>
      <c r="Q944" s="1" t="b">
        <v>0</v>
      </c>
      <c r="R944" s="1">
        <v>100.0</v>
      </c>
      <c r="S944" s="1" t="s">
        <v>407</v>
      </c>
      <c r="T944" s="1" t="s">
        <v>423</v>
      </c>
      <c r="U944" s="1"/>
    </row>
    <row r="945">
      <c r="A945" s="218">
        <v>45215.92763569445</v>
      </c>
      <c r="B945" s="1" t="s">
        <v>59</v>
      </c>
      <c r="C945" s="1" t="s">
        <v>227</v>
      </c>
      <c r="D945" s="1">
        <v>3.0</v>
      </c>
      <c r="E945" s="1">
        <v>4.0</v>
      </c>
      <c r="F945" s="1"/>
      <c r="G945" s="218"/>
      <c r="H945" s="1"/>
      <c r="I945" s="1"/>
      <c r="J945" s="219"/>
      <c r="K945" s="219"/>
      <c r="L945" s="219"/>
      <c r="M945" s="219"/>
      <c r="N945" s="1">
        <v>208.0</v>
      </c>
      <c r="O945" s="1">
        <v>216.0</v>
      </c>
      <c r="P945" s="1">
        <v>3.0</v>
      </c>
      <c r="Q945" s="1" t="b">
        <v>1</v>
      </c>
      <c r="R945" s="1">
        <v>100.0</v>
      </c>
      <c r="S945" s="1" t="s">
        <v>353</v>
      </c>
      <c r="T945" s="1" t="s">
        <v>423</v>
      </c>
      <c r="U945" s="1"/>
    </row>
    <row r="946">
      <c r="A946" s="218">
        <v>45215.92763569445</v>
      </c>
      <c r="B946" s="1"/>
      <c r="C946" s="1"/>
      <c r="D946" s="1"/>
      <c r="E946" s="1"/>
      <c r="F946" s="1"/>
      <c r="G946" s="218"/>
      <c r="H946" s="1"/>
      <c r="I946" s="1"/>
      <c r="J946" s="219"/>
      <c r="K946" s="219"/>
      <c r="L946" s="219"/>
      <c r="M946" s="219"/>
      <c r="N946" s="1"/>
      <c r="O946" s="1"/>
      <c r="P946" s="1"/>
      <c r="Q946" s="1"/>
      <c r="R946" s="1"/>
      <c r="S946" s="1" t="e">
        <v>#N/A</v>
      </c>
      <c r="T946" s="1" t="e">
        <v>#N/A</v>
      </c>
      <c r="U946" s="1"/>
    </row>
    <row r="947">
      <c r="A947" s="218">
        <v>45215.92763569445</v>
      </c>
      <c r="B947" s="1" t="s">
        <v>62</v>
      </c>
      <c r="C947" s="1" t="s">
        <v>215</v>
      </c>
      <c r="D947" s="1">
        <v>4.0</v>
      </c>
      <c r="E947" s="1">
        <v>2.0</v>
      </c>
      <c r="F947" s="1" t="s">
        <v>1359</v>
      </c>
      <c r="G947" s="218">
        <v>45216.8125</v>
      </c>
      <c r="H947" s="1" t="s">
        <v>125</v>
      </c>
      <c r="I947" s="1" t="s">
        <v>40</v>
      </c>
      <c r="J947" s="219">
        <v>-4.5</v>
      </c>
      <c r="K947" s="219">
        <v>-7.0</v>
      </c>
      <c r="L947" s="219">
        <v>-280.0</v>
      </c>
      <c r="M947" s="219" t="s">
        <v>969</v>
      </c>
      <c r="N947" s="1">
        <v>193.0</v>
      </c>
      <c r="O947" s="1">
        <v>174.0</v>
      </c>
      <c r="P947" s="1">
        <v>1.0</v>
      </c>
      <c r="Q947" s="1" t="b">
        <v>1</v>
      </c>
      <c r="R947" s="1">
        <v>100.0</v>
      </c>
      <c r="S947" s="1" t="s">
        <v>351</v>
      </c>
      <c r="T947" s="1" t="s">
        <v>423</v>
      </c>
      <c r="U947" s="1"/>
    </row>
    <row r="948">
      <c r="A948" s="218">
        <v>45215.92763569445</v>
      </c>
      <c r="B948" s="1" t="s">
        <v>62</v>
      </c>
      <c r="C948" s="1" t="s">
        <v>245</v>
      </c>
      <c r="D948" s="1">
        <v>4.0</v>
      </c>
      <c r="E948" s="1">
        <v>2.0</v>
      </c>
      <c r="F948" s="1" t="s">
        <v>1353</v>
      </c>
      <c r="G948" s="218">
        <v>45220.58333333333</v>
      </c>
      <c r="H948" s="1" t="s">
        <v>67</v>
      </c>
      <c r="I948" s="1" t="s">
        <v>935</v>
      </c>
      <c r="J948" s="219">
        <v>-16.5</v>
      </c>
      <c r="K948" s="219">
        <v>-16.5</v>
      </c>
      <c r="L948" s="219">
        <v>530.0</v>
      </c>
      <c r="M948" s="219" t="s">
        <v>203</v>
      </c>
      <c r="N948" s="1">
        <v>188.0</v>
      </c>
      <c r="O948" s="1">
        <v>142.0</v>
      </c>
      <c r="P948" s="1">
        <v>1.0</v>
      </c>
      <c r="Q948" s="1" t="b">
        <v>0</v>
      </c>
      <c r="R948" s="1">
        <v>100.0</v>
      </c>
      <c r="S948" s="1" t="s">
        <v>355</v>
      </c>
      <c r="T948" s="1" t="s">
        <v>423</v>
      </c>
      <c r="U948" s="1"/>
    </row>
    <row r="949">
      <c r="A949" s="218">
        <v>45215.92763569445</v>
      </c>
      <c r="B949" s="1" t="s">
        <v>62</v>
      </c>
      <c r="C949" s="1" t="s">
        <v>246</v>
      </c>
      <c r="D949" s="1">
        <v>1.0</v>
      </c>
      <c r="E949" s="1">
        <v>5.0</v>
      </c>
      <c r="F949" s="1" t="s">
        <v>1360</v>
      </c>
      <c r="G949" s="218">
        <v>45220.58333333333</v>
      </c>
      <c r="H949" s="1" t="s">
        <v>69</v>
      </c>
      <c r="I949" s="1" t="s">
        <v>935</v>
      </c>
      <c r="J949" s="219">
        <v>-7.5</v>
      </c>
      <c r="K949" s="219">
        <v>-6.5</v>
      </c>
      <c r="L949" s="219">
        <v>255.0</v>
      </c>
      <c r="M949" s="219" t="s">
        <v>1361</v>
      </c>
      <c r="N949" s="1">
        <v>115.0</v>
      </c>
      <c r="O949" s="1">
        <v>159.0</v>
      </c>
      <c r="P949" s="1">
        <v>1.0</v>
      </c>
      <c r="Q949" s="1" t="b">
        <v>1</v>
      </c>
      <c r="R949" s="1">
        <v>100.0</v>
      </c>
      <c r="S949" s="1" t="s">
        <v>407</v>
      </c>
      <c r="T949" s="1" t="s">
        <v>423</v>
      </c>
      <c r="U949" s="1"/>
    </row>
    <row r="950">
      <c r="A950" s="218">
        <v>45215.92763569445</v>
      </c>
      <c r="B950" s="1" t="s">
        <v>62</v>
      </c>
      <c r="C950" s="1" t="s">
        <v>240</v>
      </c>
      <c r="D950" s="1">
        <v>6.0</v>
      </c>
      <c r="E950" s="1">
        <v>1.0</v>
      </c>
      <c r="F950" s="1" t="s">
        <v>1324</v>
      </c>
      <c r="G950" s="218">
        <v>45220.66666666667</v>
      </c>
      <c r="H950" s="1" t="s">
        <v>56</v>
      </c>
      <c r="I950" s="1"/>
      <c r="J950" s="219"/>
      <c r="K950" s="219"/>
      <c r="L950" s="219"/>
      <c r="M950" s="219"/>
      <c r="N950" s="1">
        <v>221.0</v>
      </c>
      <c r="O950" s="1">
        <v>134.0</v>
      </c>
      <c r="P950" s="1">
        <v>1.0</v>
      </c>
      <c r="Q950" s="1" t="b">
        <v>0</v>
      </c>
      <c r="R950" s="1">
        <v>100.0</v>
      </c>
      <c r="S950" s="1" t="s">
        <v>352</v>
      </c>
      <c r="T950" s="1" t="s">
        <v>423</v>
      </c>
      <c r="U950" s="1"/>
    </row>
    <row r="951">
      <c r="A951" s="218">
        <v>45215.92763569445</v>
      </c>
      <c r="B951" s="1" t="s">
        <v>62</v>
      </c>
      <c r="C951" s="1" t="s">
        <v>249</v>
      </c>
      <c r="D951" s="1">
        <v>3.0</v>
      </c>
      <c r="E951" s="1">
        <v>3.0</v>
      </c>
      <c r="F951" s="1" t="s">
        <v>1352</v>
      </c>
      <c r="G951" s="218">
        <v>45220.5</v>
      </c>
      <c r="H951" s="1" t="s">
        <v>57</v>
      </c>
      <c r="I951" s="1" t="s">
        <v>76</v>
      </c>
      <c r="J951" s="219">
        <v>7.0</v>
      </c>
      <c r="K951" s="219">
        <v>7.0</v>
      </c>
      <c r="L951" s="219">
        <v>215.0</v>
      </c>
      <c r="M951" s="219" t="s">
        <v>937</v>
      </c>
      <c r="N951" s="1">
        <v>181.0</v>
      </c>
      <c r="O951" s="1">
        <v>177.0</v>
      </c>
      <c r="P951" s="1">
        <v>1.0</v>
      </c>
      <c r="Q951" s="1" t="b">
        <v>1</v>
      </c>
      <c r="R951" s="1">
        <v>100.0</v>
      </c>
      <c r="S951" s="1" t="s">
        <v>292</v>
      </c>
      <c r="T951" s="1" t="s">
        <v>422</v>
      </c>
      <c r="U951" s="1"/>
    </row>
    <row r="952">
      <c r="A952" s="218">
        <v>45215.92763569445</v>
      </c>
      <c r="B952" s="1" t="s">
        <v>62</v>
      </c>
      <c r="C952" s="1" t="s">
        <v>248</v>
      </c>
      <c r="D952" s="1">
        <v>3.0</v>
      </c>
      <c r="E952" s="1">
        <v>3.0</v>
      </c>
      <c r="F952" s="1" t="s">
        <v>1357</v>
      </c>
      <c r="G952" s="218">
        <v>45220.5</v>
      </c>
      <c r="H952" s="1" t="s">
        <v>59</v>
      </c>
      <c r="I952" s="1" t="s">
        <v>900</v>
      </c>
      <c r="J952" s="219">
        <v>6.5</v>
      </c>
      <c r="K952" s="219">
        <v>4.5</v>
      </c>
      <c r="L952" s="219">
        <v>180.0</v>
      </c>
      <c r="M952" s="219" t="s">
        <v>235</v>
      </c>
      <c r="N952" s="1">
        <v>166.0</v>
      </c>
      <c r="O952" s="1">
        <v>190.0</v>
      </c>
      <c r="P952" s="1">
        <v>1.0</v>
      </c>
      <c r="Q952" s="1" t="b">
        <v>1</v>
      </c>
      <c r="R952" s="1">
        <v>100.0</v>
      </c>
      <c r="S952" s="1" t="s">
        <v>301</v>
      </c>
      <c r="T952" s="1" t="s">
        <v>422</v>
      </c>
      <c r="U952" s="1"/>
    </row>
    <row r="953">
      <c r="A953" s="218">
        <v>45215.92763569445</v>
      </c>
      <c r="B953" s="1" t="s">
        <v>62</v>
      </c>
      <c r="C953" s="1" t="s">
        <v>242</v>
      </c>
      <c r="D953" s="1">
        <v>2.0</v>
      </c>
      <c r="E953" s="1">
        <v>4.0</v>
      </c>
      <c r="F953" s="1" t="s">
        <v>1356</v>
      </c>
      <c r="G953" s="218">
        <v>45220.5</v>
      </c>
      <c r="H953" s="1" t="s">
        <v>59</v>
      </c>
      <c r="I953" s="1" t="s">
        <v>935</v>
      </c>
      <c r="J953" s="219">
        <v>-2.5</v>
      </c>
      <c r="K953" s="219">
        <v>-2.5</v>
      </c>
      <c r="L953" s="219">
        <v>118.0</v>
      </c>
      <c r="M953" s="219" t="s">
        <v>845</v>
      </c>
      <c r="N953" s="1">
        <v>160.0</v>
      </c>
      <c r="O953" s="1">
        <v>150.0</v>
      </c>
      <c r="P953" s="1">
        <v>1.0</v>
      </c>
      <c r="Q953" s="1" t="b">
        <v>0</v>
      </c>
      <c r="R953" s="1">
        <v>100.0</v>
      </c>
      <c r="S953" s="1" t="s">
        <v>296</v>
      </c>
      <c r="T953" s="1" t="s">
        <v>422</v>
      </c>
      <c r="U953" s="1"/>
    </row>
    <row r="954">
      <c r="A954" s="218">
        <v>45215.92763569445</v>
      </c>
      <c r="B954" s="1" t="s">
        <v>62</v>
      </c>
      <c r="C954" s="1" t="s">
        <v>247</v>
      </c>
      <c r="D954" s="1">
        <v>6.0</v>
      </c>
      <c r="E954" s="1">
        <v>1.0</v>
      </c>
      <c r="F954" s="1"/>
      <c r="G954" s="218"/>
      <c r="H954" s="1"/>
      <c r="I954" s="1"/>
      <c r="J954" s="219"/>
      <c r="K954" s="219"/>
      <c r="L954" s="219"/>
      <c r="M954" s="219"/>
      <c r="N954" s="1">
        <v>267.0</v>
      </c>
      <c r="O954" s="1">
        <v>142.0</v>
      </c>
      <c r="P954" s="1">
        <v>3.0</v>
      </c>
      <c r="Q954" s="1" t="b">
        <v>1</v>
      </c>
      <c r="R954" s="1">
        <v>100.0</v>
      </c>
      <c r="S954" s="1" t="s">
        <v>354</v>
      </c>
      <c r="T954" s="1" t="s">
        <v>422</v>
      </c>
      <c r="U954" s="1"/>
    </row>
    <row r="955">
      <c r="A955" s="218">
        <v>45215.92763569445</v>
      </c>
      <c r="B955" s="1" t="s">
        <v>62</v>
      </c>
      <c r="C955" s="1" t="s">
        <v>244</v>
      </c>
      <c r="D955" s="1">
        <v>5.0</v>
      </c>
      <c r="E955" s="1">
        <v>2.0</v>
      </c>
      <c r="F955" s="1"/>
      <c r="G955" s="218"/>
      <c r="H955" s="1"/>
      <c r="I955" s="1"/>
      <c r="J955" s="219"/>
      <c r="K955" s="219"/>
      <c r="L955" s="219"/>
      <c r="M955" s="219"/>
      <c r="N955" s="1">
        <v>234.0</v>
      </c>
      <c r="O955" s="1">
        <v>130.0</v>
      </c>
      <c r="P955" s="1">
        <v>3.0</v>
      </c>
      <c r="Q955" s="1" t="b">
        <v>1</v>
      </c>
      <c r="R955" s="1">
        <v>100.0</v>
      </c>
      <c r="S955" s="1" t="s">
        <v>282</v>
      </c>
      <c r="T955" s="1" t="s">
        <v>422</v>
      </c>
      <c r="U955" s="1"/>
    </row>
    <row r="956">
      <c r="A956" s="218">
        <v>45215.92763569445</v>
      </c>
      <c r="B956" s="1" t="s">
        <v>62</v>
      </c>
      <c r="C956" s="1" t="s">
        <v>241</v>
      </c>
      <c r="D956" s="1">
        <v>6.0</v>
      </c>
      <c r="E956" s="1">
        <v>1.0</v>
      </c>
      <c r="F956" s="1"/>
      <c r="G956" s="218"/>
      <c r="H956" s="1"/>
      <c r="I956" s="1"/>
      <c r="J956" s="219"/>
      <c r="K956" s="219"/>
      <c r="L956" s="219"/>
      <c r="M956" s="219"/>
      <c r="N956" s="1">
        <v>238.0</v>
      </c>
      <c r="O956" s="1">
        <v>141.0</v>
      </c>
      <c r="P956" s="1">
        <v>3.0</v>
      </c>
      <c r="Q956" s="1" t="b">
        <v>1</v>
      </c>
      <c r="R956" s="1">
        <v>100.0</v>
      </c>
      <c r="S956" s="1" t="s">
        <v>353</v>
      </c>
      <c r="T956" s="1" t="s">
        <v>423</v>
      </c>
      <c r="U956" s="1"/>
    </row>
    <row r="957">
      <c r="A957" s="218">
        <v>45215.92763569445</v>
      </c>
      <c r="B957" s="1"/>
      <c r="C957" s="1"/>
      <c r="D957" s="1"/>
      <c r="E957" s="1"/>
      <c r="F957" s="1"/>
      <c r="G957" s="218"/>
      <c r="H957" s="1"/>
      <c r="I957" s="1"/>
      <c r="J957" s="219"/>
      <c r="K957" s="219"/>
      <c r="L957" s="219"/>
      <c r="M957" s="219"/>
      <c r="N957" s="1"/>
      <c r="O957" s="1"/>
      <c r="P957" s="1"/>
      <c r="Q957" s="1"/>
      <c r="R957" s="1"/>
      <c r="S957" s="1" t="e">
        <v>#N/A</v>
      </c>
      <c r="T957" s="1" t="e">
        <v>#N/A</v>
      </c>
      <c r="U957" s="1"/>
    </row>
    <row r="958">
      <c r="A958" s="218">
        <v>45215.92763569445</v>
      </c>
      <c r="B958" s="1" t="s">
        <v>69</v>
      </c>
      <c r="C958" s="1" t="s">
        <v>252</v>
      </c>
      <c r="D958" s="1">
        <v>1.0</v>
      </c>
      <c r="E958" s="1">
        <v>5.0</v>
      </c>
      <c r="F958" s="1" t="s">
        <v>1360</v>
      </c>
      <c r="G958" s="218">
        <v>45220.58333333333</v>
      </c>
      <c r="H958" s="1" t="s">
        <v>62</v>
      </c>
      <c r="I958" s="1" t="s">
        <v>935</v>
      </c>
      <c r="J958" s="219">
        <v>7.5</v>
      </c>
      <c r="K958" s="219">
        <v>6.5</v>
      </c>
      <c r="L958" s="219">
        <v>255.0</v>
      </c>
      <c r="M958" s="219" t="s">
        <v>1361</v>
      </c>
      <c r="N958" s="1">
        <v>92.0</v>
      </c>
      <c r="O958" s="1">
        <v>152.0</v>
      </c>
      <c r="P958" s="1">
        <v>1.0</v>
      </c>
      <c r="Q958" s="1" t="b">
        <v>0</v>
      </c>
      <c r="R958" s="1">
        <v>100.0</v>
      </c>
      <c r="S958" s="1" t="s">
        <v>352</v>
      </c>
      <c r="T958" s="1" t="s">
        <v>423</v>
      </c>
      <c r="U958" s="1"/>
    </row>
    <row r="959">
      <c r="A959" s="218">
        <v>45215.92763569445</v>
      </c>
      <c r="B959" s="1" t="s">
        <v>69</v>
      </c>
      <c r="C959" s="1" t="s">
        <v>256</v>
      </c>
      <c r="D959" s="1">
        <v>2.0</v>
      </c>
      <c r="E959" s="1">
        <v>4.0</v>
      </c>
      <c r="F959" s="1" t="s">
        <v>1347</v>
      </c>
      <c r="G959" s="218">
        <v>45220.64583333333</v>
      </c>
      <c r="H959" s="1" t="s">
        <v>57</v>
      </c>
      <c r="I959" s="1"/>
      <c r="J959" s="219">
        <v>-1.5</v>
      </c>
      <c r="K959" s="219">
        <v>1.5</v>
      </c>
      <c r="L959" s="219">
        <v>-104.0</v>
      </c>
      <c r="M959" s="219" t="s">
        <v>151</v>
      </c>
      <c r="N959" s="1">
        <v>155.0</v>
      </c>
      <c r="O959" s="1">
        <v>151.0</v>
      </c>
      <c r="P959" s="1">
        <v>1.0</v>
      </c>
      <c r="Q959" s="1" t="b">
        <v>0</v>
      </c>
      <c r="R959" s="1">
        <v>100.0</v>
      </c>
      <c r="S959" s="1" t="s">
        <v>301</v>
      </c>
      <c r="T959" s="1" t="s">
        <v>422</v>
      </c>
      <c r="U959" s="1"/>
    </row>
    <row r="960">
      <c r="A960" s="218">
        <v>45215.92763569445</v>
      </c>
      <c r="B960" s="1" t="s">
        <v>69</v>
      </c>
      <c r="C960" s="1" t="s">
        <v>255</v>
      </c>
      <c r="D960" s="1">
        <v>4.0</v>
      </c>
      <c r="E960" s="1">
        <v>2.0</v>
      </c>
      <c r="F960" s="1" t="s">
        <v>1338</v>
      </c>
      <c r="G960" s="218">
        <v>45220.64583333333</v>
      </c>
      <c r="H960" s="1" t="s">
        <v>46</v>
      </c>
      <c r="I960" s="1" t="s">
        <v>96</v>
      </c>
      <c r="J960" s="219">
        <v>-4.5</v>
      </c>
      <c r="K960" s="219">
        <v>-3.0</v>
      </c>
      <c r="L960" s="219">
        <v>-137.0</v>
      </c>
      <c r="M960" s="219" t="s">
        <v>122</v>
      </c>
      <c r="N960" s="1">
        <v>163.0</v>
      </c>
      <c r="O960" s="1">
        <v>107.0</v>
      </c>
      <c r="P960" s="1">
        <v>1.0</v>
      </c>
      <c r="Q960" s="1" t="b">
        <v>0</v>
      </c>
      <c r="R960" s="1">
        <v>100.0</v>
      </c>
      <c r="S960" s="1" t="s">
        <v>282</v>
      </c>
      <c r="T960" s="1" t="s">
        <v>422</v>
      </c>
      <c r="U960" s="1"/>
    </row>
    <row r="961">
      <c r="A961" s="218">
        <v>45215.92763569445</v>
      </c>
      <c r="B961" s="1" t="s">
        <v>69</v>
      </c>
      <c r="C961" s="1" t="s">
        <v>253</v>
      </c>
      <c r="D961" s="1">
        <v>3.0</v>
      </c>
      <c r="E961" s="1">
        <v>4.0</v>
      </c>
      <c r="F961" s="1" t="s">
        <v>1355</v>
      </c>
      <c r="G961" s="218">
        <v>45220.64583333333</v>
      </c>
      <c r="H961" s="1" t="s">
        <v>59</v>
      </c>
      <c r="I961" s="1" t="s">
        <v>99</v>
      </c>
      <c r="J961" s="219">
        <v>-3.5</v>
      </c>
      <c r="K961" s="219">
        <v>-2.5</v>
      </c>
      <c r="L961" s="219">
        <v>-134.0</v>
      </c>
      <c r="M961" s="219" t="s">
        <v>840</v>
      </c>
      <c r="N961" s="1">
        <v>200.0</v>
      </c>
      <c r="O961" s="1">
        <v>253.0</v>
      </c>
      <c r="P961" s="1">
        <v>1.0</v>
      </c>
      <c r="Q961" s="1" t="b">
        <v>0</v>
      </c>
      <c r="R961" s="1">
        <v>100.0</v>
      </c>
      <c r="S961" s="1" t="s">
        <v>407</v>
      </c>
      <c r="T961" s="1" t="s">
        <v>423</v>
      </c>
      <c r="U961" s="1"/>
    </row>
    <row r="962">
      <c r="A962" s="218">
        <v>45215.92763569445</v>
      </c>
      <c r="B962" s="1" t="s">
        <v>69</v>
      </c>
      <c r="C962" s="1" t="s">
        <v>254</v>
      </c>
      <c r="D962" s="1">
        <v>3.0</v>
      </c>
      <c r="E962" s="1">
        <v>3.0</v>
      </c>
      <c r="F962" s="1" t="s">
        <v>1349</v>
      </c>
      <c r="G962" s="218">
        <v>45220.79166666667</v>
      </c>
      <c r="H962" s="1" t="s">
        <v>57</v>
      </c>
      <c r="I962" s="1" t="s">
        <v>935</v>
      </c>
      <c r="J962" s="219">
        <v>8.5</v>
      </c>
      <c r="K962" s="219">
        <v>10.5</v>
      </c>
      <c r="L962" s="219">
        <v>-400.0</v>
      </c>
      <c r="M962" s="219" t="s">
        <v>971</v>
      </c>
      <c r="N962" s="1">
        <v>133.0</v>
      </c>
      <c r="O962" s="1">
        <v>219.0</v>
      </c>
      <c r="P962" s="1">
        <v>1.0</v>
      </c>
      <c r="Q962" s="1" t="b">
        <v>0</v>
      </c>
      <c r="R962" s="1">
        <v>100.0</v>
      </c>
      <c r="S962" s="1" t="s">
        <v>355</v>
      </c>
      <c r="T962" s="1" t="s">
        <v>423</v>
      </c>
      <c r="U962" s="1"/>
    </row>
    <row r="963">
      <c r="A963" s="218">
        <v>45215.92763569445</v>
      </c>
      <c r="B963" s="1" t="s">
        <v>69</v>
      </c>
      <c r="C963" s="1" t="s">
        <v>219</v>
      </c>
      <c r="D963" s="1">
        <v>5.0</v>
      </c>
      <c r="E963" s="1">
        <v>2.0</v>
      </c>
      <c r="F963" s="1" t="s">
        <v>1327</v>
      </c>
      <c r="G963" s="218">
        <v>45220.8125</v>
      </c>
      <c r="H963" s="1" t="s">
        <v>56</v>
      </c>
      <c r="I963" s="1" t="s">
        <v>945</v>
      </c>
      <c r="J963" s="219">
        <v>-26.5</v>
      </c>
      <c r="K963" s="219">
        <v>-29.5</v>
      </c>
      <c r="L963" s="219">
        <v>1600.0</v>
      </c>
      <c r="M963" s="219" t="s">
        <v>235</v>
      </c>
      <c r="N963" s="1">
        <v>317.0</v>
      </c>
      <c r="O963" s="1">
        <v>212.0</v>
      </c>
      <c r="P963" s="1">
        <v>1.0</v>
      </c>
      <c r="Q963" s="1" t="b">
        <v>0</v>
      </c>
      <c r="R963" s="1">
        <v>100.0</v>
      </c>
      <c r="S963" s="1" t="s">
        <v>292</v>
      </c>
      <c r="T963" s="1" t="s">
        <v>422</v>
      </c>
      <c r="U963" s="1"/>
    </row>
    <row r="964">
      <c r="A964" s="218">
        <v>45215.92763569445</v>
      </c>
      <c r="B964" s="1" t="s">
        <v>69</v>
      </c>
      <c r="C964" s="1" t="s">
        <v>257</v>
      </c>
      <c r="D964" s="1">
        <v>3.0</v>
      </c>
      <c r="E964" s="1">
        <v>3.0</v>
      </c>
      <c r="F964" s="1" t="s">
        <v>1334</v>
      </c>
      <c r="G964" s="218">
        <v>45220.5</v>
      </c>
      <c r="H964" s="1" t="s">
        <v>60</v>
      </c>
      <c r="I964" s="1" t="s">
        <v>82</v>
      </c>
      <c r="J964" s="219">
        <v>19.5</v>
      </c>
      <c r="K964" s="219">
        <v>18.5</v>
      </c>
      <c r="L964" s="219">
        <v>800.0</v>
      </c>
      <c r="M964" s="219" t="s">
        <v>908</v>
      </c>
      <c r="N964" s="1">
        <v>210.0</v>
      </c>
      <c r="O964" s="1">
        <v>167.0</v>
      </c>
      <c r="P964" s="1">
        <v>1.0</v>
      </c>
      <c r="Q964" s="1" t="b">
        <v>1</v>
      </c>
      <c r="R964" s="1">
        <v>100.0</v>
      </c>
      <c r="S964" s="1" t="s">
        <v>296</v>
      </c>
      <c r="T964" s="1" t="s">
        <v>422</v>
      </c>
      <c r="U964" s="1"/>
    </row>
    <row r="965">
      <c r="A965" s="218">
        <v>45215.92763569445</v>
      </c>
      <c r="B965" s="1" t="s">
        <v>69</v>
      </c>
      <c r="C965" s="1" t="s">
        <v>243</v>
      </c>
      <c r="D965" s="1">
        <v>6.0</v>
      </c>
      <c r="E965" s="1">
        <v>0.0</v>
      </c>
      <c r="F965" s="1" t="s">
        <v>1358</v>
      </c>
      <c r="G965" s="218">
        <v>45220.5</v>
      </c>
      <c r="H965" s="1" t="s">
        <v>59</v>
      </c>
      <c r="I965" s="1" t="s">
        <v>86</v>
      </c>
      <c r="J965" s="219">
        <v>-10.5</v>
      </c>
      <c r="K965" s="219">
        <v>-10.0</v>
      </c>
      <c r="L965" s="219">
        <v>-385.0</v>
      </c>
      <c r="M965" s="219" t="s">
        <v>1302</v>
      </c>
      <c r="N965" s="1">
        <v>222.0</v>
      </c>
      <c r="O965" s="1">
        <v>88.0</v>
      </c>
      <c r="P965" s="1">
        <v>1.0</v>
      </c>
      <c r="Q965" s="1" t="b">
        <v>1</v>
      </c>
      <c r="R965" s="1">
        <v>100.0</v>
      </c>
      <c r="S965" s="1" t="s">
        <v>353</v>
      </c>
      <c r="T965" s="1" t="s">
        <v>423</v>
      </c>
      <c r="U965" s="1"/>
    </row>
    <row r="966">
      <c r="A966" s="218">
        <v>45215.92763569445</v>
      </c>
      <c r="B966" s="1" t="s">
        <v>69</v>
      </c>
      <c r="C966" s="1" t="s">
        <v>251</v>
      </c>
      <c r="D966" s="1">
        <v>3.0</v>
      </c>
      <c r="E966" s="1">
        <v>4.0</v>
      </c>
      <c r="F966" s="1"/>
      <c r="G966" s="218"/>
      <c r="H966" s="1"/>
      <c r="I966" s="1"/>
      <c r="J966" s="219"/>
      <c r="K966" s="219"/>
      <c r="L966" s="219"/>
      <c r="M966" s="219"/>
      <c r="N966" s="1">
        <v>209.0</v>
      </c>
      <c r="O966" s="1">
        <v>218.0</v>
      </c>
      <c r="P966" s="1">
        <v>3.0</v>
      </c>
      <c r="Q966" s="1" t="b">
        <v>1</v>
      </c>
      <c r="R966" s="1">
        <v>100.0</v>
      </c>
      <c r="S966" s="1" t="s">
        <v>354</v>
      </c>
      <c r="T966" s="1" t="s">
        <v>422</v>
      </c>
      <c r="U966" s="1"/>
    </row>
    <row r="967">
      <c r="A967" s="218">
        <v>45215.92763569445</v>
      </c>
      <c r="B967" s="1" t="s">
        <v>69</v>
      </c>
      <c r="C967" s="1" t="s">
        <v>250</v>
      </c>
      <c r="D967" s="1">
        <v>3.0</v>
      </c>
      <c r="E967" s="1">
        <v>5.0</v>
      </c>
      <c r="F967" s="1"/>
      <c r="G967" s="218"/>
      <c r="H967" s="1"/>
      <c r="I967" s="1"/>
      <c r="J967" s="219"/>
      <c r="K967" s="219"/>
      <c r="L967" s="219"/>
      <c r="M967" s="219"/>
      <c r="N967" s="1">
        <v>213.0</v>
      </c>
      <c r="O967" s="1">
        <v>220.0</v>
      </c>
      <c r="P967" s="1">
        <v>3.0</v>
      </c>
      <c r="Q967" s="1" t="b">
        <v>1</v>
      </c>
      <c r="R967" s="1">
        <v>100.0</v>
      </c>
      <c r="S967" s="1" t="s">
        <v>351</v>
      </c>
      <c r="T967" s="1" t="s">
        <v>423</v>
      </c>
      <c r="U967" s="1"/>
    </row>
    <row r="968">
      <c r="A968" s="218">
        <v>45215.92763569445</v>
      </c>
      <c r="B968" s="1"/>
      <c r="C968" s="1"/>
      <c r="D968" s="1"/>
      <c r="E968" s="1"/>
      <c r="F968" s="1"/>
      <c r="G968" s="218"/>
      <c r="H968" s="1"/>
      <c r="I968" s="1"/>
      <c r="J968" s="219"/>
      <c r="K968" s="219"/>
      <c r="L968" s="219"/>
      <c r="M968" s="219"/>
      <c r="N968" s="1"/>
      <c r="O968" s="1"/>
      <c r="P968" s="1"/>
      <c r="Q968" s="1"/>
      <c r="R968" s="1"/>
      <c r="S968" s="1" t="e">
        <v>#N/A</v>
      </c>
      <c r="T968" s="1" t="e">
        <v>#N/A</v>
      </c>
      <c r="U968" s="1"/>
    </row>
    <row r="969">
      <c r="A969" s="218">
        <v>45215.92763569445</v>
      </c>
      <c r="B969" s="1" t="s">
        <v>125</v>
      </c>
      <c r="C969" s="1" t="s">
        <v>260</v>
      </c>
      <c r="D969" s="1">
        <v>5.0</v>
      </c>
      <c r="E969" s="1">
        <v>2.0</v>
      </c>
      <c r="F969" s="1" t="s">
        <v>1359</v>
      </c>
      <c r="G969" s="218">
        <v>45216.8125</v>
      </c>
      <c r="H969" s="1" t="s">
        <v>62</v>
      </c>
      <c r="I969" s="1" t="s">
        <v>40</v>
      </c>
      <c r="J969" s="219">
        <v>4.5</v>
      </c>
      <c r="K969" s="219">
        <v>7.0</v>
      </c>
      <c r="L969" s="219">
        <v>-280.0</v>
      </c>
      <c r="M969" s="219" t="s">
        <v>969</v>
      </c>
      <c r="N969" s="1">
        <v>196.0</v>
      </c>
      <c r="O969" s="1">
        <v>136.0</v>
      </c>
      <c r="P969" s="1">
        <v>1.0</v>
      </c>
      <c r="Q969" s="1" t="b">
        <v>0</v>
      </c>
      <c r="R969" s="1">
        <v>100.0</v>
      </c>
      <c r="S969" s="1" t="s">
        <v>351</v>
      </c>
      <c r="T969" s="1" t="s">
        <v>423</v>
      </c>
      <c r="U969" s="1"/>
    </row>
    <row r="970">
      <c r="A970" s="218">
        <v>45215.92763569445</v>
      </c>
      <c r="B970" s="1" t="s">
        <v>125</v>
      </c>
      <c r="C970" s="1" t="s">
        <v>263</v>
      </c>
      <c r="D970" s="1">
        <v>3.0</v>
      </c>
      <c r="E970" s="1">
        <v>3.0</v>
      </c>
      <c r="F970" s="1" t="s">
        <v>1346</v>
      </c>
      <c r="G970" s="218">
        <v>45218.79166666667</v>
      </c>
      <c r="H970" s="1" t="s">
        <v>57</v>
      </c>
      <c r="I970" s="1" t="s">
        <v>36</v>
      </c>
      <c r="J970" s="219">
        <v>3.5</v>
      </c>
      <c r="K970" s="219">
        <v>3.0</v>
      </c>
      <c r="L970" s="219">
        <v>130.0</v>
      </c>
      <c r="M970" s="219" t="s">
        <v>235</v>
      </c>
      <c r="N970" s="1">
        <v>196.0</v>
      </c>
      <c r="O970" s="1">
        <v>182.0</v>
      </c>
      <c r="P970" s="1">
        <v>1.0</v>
      </c>
      <c r="Q970" s="1" t="b">
        <v>0</v>
      </c>
      <c r="R970" s="1">
        <v>100.0</v>
      </c>
      <c r="S970" s="1" t="s">
        <v>407</v>
      </c>
      <c r="T970" s="1" t="s">
        <v>423</v>
      </c>
      <c r="U970" s="1"/>
    </row>
    <row r="971">
      <c r="A971" s="218">
        <v>45215.92763569445</v>
      </c>
      <c r="B971" s="1" t="s">
        <v>125</v>
      </c>
      <c r="C971" s="1" t="s">
        <v>262</v>
      </c>
      <c r="D971" s="1">
        <v>6.0</v>
      </c>
      <c r="E971" s="1">
        <v>0.0</v>
      </c>
      <c r="F971" s="1" t="s">
        <v>1315</v>
      </c>
      <c r="G971" s="218">
        <v>45218.79166666667</v>
      </c>
      <c r="H971" s="1" t="s">
        <v>58</v>
      </c>
      <c r="I971" s="1" t="s">
        <v>76</v>
      </c>
      <c r="J971" s="219">
        <v>-3.5</v>
      </c>
      <c r="K971" s="219">
        <v>-3.5</v>
      </c>
      <c r="L971" s="219">
        <v>-170.0</v>
      </c>
      <c r="M971" s="219" t="s">
        <v>73</v>
      </c>
      <c r="N971" s="1">
        <v>207.0</v>
      </c>
      <c r="O971" s="1">
        <v>126.0</v>
      </c>
      <c r="P971" s="1">
        <v>1.0</v>
      </c>
      <c r="Q971" s="1" t="b">
        <v>1</v>
      </c>
      <c r="R971" s="1">
        <v>100.0</v>
      </c>
      <c r="S971" s="1" t="s">
        <v>355</v>
      </c>
      <c r="T971" s="1" t="s">
        <v>423</v>
      </c>
      <c r="U971" s="1"/>
    </row>
    <row r="972">
      <c r="A972" s="218">
        <v>45215.92763569445</v>
      </c>
      <c r="B972" s="1" t="s">
        <v>125</v>
      </c>
      <c r="C972" s="1" t="s">
        <v>261</v>
      </c>
      <c r="D972" s="1">
        <v>3.0</v>
      </c>
      <c r="E972" s="1">
        <v>3.0</v>
      </c>
      <c r="F972" s="1" t="s">
        <v>1307</v>
      </c>
      <c r="G972" s="218">
        <v>45220.64583333333</v>
      </c>
      <c r="H972" s="1" t="s">
        <v>35</v>
      </c>
      <c r="I972" s="1" t="s">
        <v>888</v>
      </c>
      <c r="J972" s="219">
        <v>12.5</v>
      </c>
      <c r="K972" s="219">
        <v>12.5</v>
      </c>
      <c r="L972" s="219">
        <v>390.0</v>
      </c>
      <c r="M972" s="219" t="s">
        <v>122</v>
      </c>
      <c r="N972" s="1">
        <v>132.0</v>
      </c>
      <c r="O972" s="1">
        <v>164.0</v>
      </c>
      <c r="P972" s="1">
        <v>1.0</v>
      </c>
      <c r="Q972" s="1" t="b">
        <v>1</v>
      </c>
      <c r="R972" s="1">
        <v>100.0</v>
      </c>
      <c r="S972" s="1" t="s">
        <v>282</v>
      </c>
      <c r="T972" s="1" t="s">
        <v>422</v>
      </c>
      <c r="U972" s="1"/>
    </row>
    <row r="973">
      <c r="A973" s="218">
        <v>45215.92763569445</v>
      </c>
      <c r="B973" s="1" t="s">
        <v>125</v>
      </c>
      <c r="C973" s="1" t="s">
        <v>259</v>
      </c>
      <c r="D973" s="1">
        <v>4.0</v>
      </c>
      <c r="E973" s="1">
        <v>2.0</v>
      </c>
      <c r="F973" s="1" t="s">
        <v>1308</v>
      </c>
      <c r="G973" s="218">
        <v>45220.64583333333</v>
      </c>
      <c r="H973" s="1" t="s">
        <v>35</v>
      </c>
      <c r="I973" s="1" t="s">
        <v>82</v>
      </c>
      <c r="J973" s="219">
        <v>15.5</v>
      </c>
      <c r="K973" s="219">
        <v>18.5</v>
      </c>
      <c r="L973" s="219">
        <v>800.0</v>
      </c>
      <c r="M973" s="219" t="s">
        <v>969</v>
      </c>
      <c r="N973" s="1">
        <v>206.0</v>
      </c>
      <c r="O973" s="1">
        <v>171.0</v>
      </c>
      <c r="P973" s="1">
        <v>1.0</v>
      </c>
      <c r="Q973" s="1" t="b">
        <v>0</v>
      </c>
      <c r="R973" s="1">
        <v>100.0</v>
      </c>
      <c r="S973" s="1" t="s">
        <v>354</v>
      </c>
      <c r="T973" s="1" t="s">
        <v>422</v>
      </c>
      <c r="U973" s="1"/>
    </row>
    <row r="974">
      <c r="A974" s="218">
        <v>45215.92763569445</v>
      </c>
      <c r="B974" s="1" t="s">
        <v>125</v>
      </c>
      <c r="C974" s="1" t="s">
        <v>265</v>
      </c>
      <c r="D974" s="1">
        <v>4.0</v>
      </c>
      <c r="E974" s="1">
        <v>3.0</v>
      </c>
      <c r="F974" s="1" t="s">
        <v>1329</v>
      </c>
      <c r="G974" s="218">
        <v>45220.64583333333</v>
      </c>
      <c r="H974" s="1" t="s">
        <v>60</v>
      </c>
      <c r="I974" s="1" t="s">
        <v>935</v>
      </c>
      <c r="J974" s="219">
        <v>-2.5</v>
      </c>
      <c r="K974" s="219">
        <v>-4.5</v>
      </c>
      <c r="L974" s="219">
        <v>-178.0</v>
      </c>
      <c r="M974" s="219" t="s">
        <v>122</v>
      </c>
      <c r="N974" s="1">
        <v>159.0</v>
      </c>
      <c r="O974" s="1">
        <v>214.0</v>
      </c>
      <c r="P974" s="1">
        <v>1.0</v>
      </c>
      <c r="Q974" s="1" t="b">
        <v>1</v>
      </c>
      <c r="R974" s="1">
        <v>100.0</v>
      </c>
      <c r="S974" s="1" t="s">
        <v>352</v>
      </c>
      <c r="T974" s="1" t="s">
        <v>423</v>
      </c>
      <c r="U974" s="1"/>
    </row>
    <row r="975">
      <c r="A975" s="218">
        <v>45215.92763569445</v>
      </c>
      <c r="B975" s="1" t="s">
        <v>125</v>
      </c>
      <c r="C975" s="1" t="s">
        <v>239</v>
      </c>
      <c r="D975" s="1">
        <v>5.0</v>
      </c>
      <c r="E975" s="1">
        <v>1.0</v>
      </c>
      <c r="F975" s="1" t="s">
        <v>1348</v>
      </c>
      <c r="G975" s="218">
        <v>45220.66666666667</v>
      </c>
      <c r="H975" s="1" t="s">
        <v>57</v>
      </c>
      <c r="I975" s="1" t="s">
        <v>92</v>
      </c>
      <c r="J975" s="219">
        <v>-20.5</v>
      </c>
      <c r="K975" s="219">
        <v>-22.5</v>
      </c>
      <c r="L975" s="219">
        <v>-2100.0</v>
      </c>
      <c r="M975" s="219" t="s">
        <v>971</v>
      </c>
      <c r="N975" s="1">
        <v>210.0</v>
      </c>
      <c r="O975" s="1">
        <v>98.0</v>
      </c>
      <c r="P975" s="1">
        <v>1.0</v>
      </c>
      <c r="Q975" s="1" t="b">
        <v>1</v>
      </c>
      <c r="R975" s="1">
        <v>100.0</v>
      </c>
      <c r="S975" s="1" t="s">
        <v>296</v>
      </c>
      <c r="T975" s="1" t="s">
        <v>422</v>
      </c>
      <c r="U975" s="1"/>
    </row>
    <row r="976">
      <c r="A976" s="218">
        <v>45215.92763569445</v>
      </c>
      <c r="B976" s="1" t="s">
        <v>125</v>
      </c>
      <c r="C976" s="1" t="s">
        <v>224</v>
      </c>
      <c r="D976" s="1">
        <v>6.0</v>
      </c>
      <c r="E976" s="1">
        <v>0.0</v>
      </c>
      <c r="F976" s="1" t="s">
        <v>1340</v>
      </c>
      <c r="G976" s="218">
        <v>45220.8125</v>
      </c>
      <c r="H976" s="1" t="s">
        <v>46</v>
      </c>
      <c r="I976" s="1" t="s">
        <v>82</v>
      </c>
      <c r="J976" s="219">
        <v>-16.5</v>
      </c>
      <c r="K976" s="219">
        <v>-13.5</v>
      </c>
      <c r="L976" s="219">
        <v>480.0</v>
      </c>
      <c r="M976" s="219" t="s">
        <v>1341</v>
      </c>
      <c r="N976" s="1">
        <v>253.0</v>
      </c>
      <c r="O976" s="1">
        <v>110.0</v>
      </c>
      <c r="P976" s="1">
        <v>1.0</v>
      </c>
      <c r="Q976" s="1" t="b">
        <v>0</v>
      </c>
      <c r="R976" s="1">
        <v>100.0</v>
      </c>
      <c r="S976" s="1" t="s">
        <v>301</v>
      </c>
      <c r="T976" s="1" t="s">
        <v>422</v>
      </c>
      <c r="U976" s="1"/>
    </row>
    <row r="977">
      <c r="A977" s="218">
        <v>45215.92763569445</v>
      </c>
      <c r="B977" s="1" t="s">
        <v>125</v>
      </c>
      <c r="C977" s="1" t="s">
        <v>258</v>
      </c>
      <c r="D977" s="1">
        <v>0.0</v>
      </c>
      <c r="E977" s="1">
        <v>6.0</v>
      </c>
      <c r="F977" s="1" t="s">
        <v>1345</v>
      </c>
      <c r="G977" s="218">
        <v>45220.875</v>
      </c>
      <c r="H977" s="1" t="s">
        <v>70</v>
      </c>
      <c r="I977" s="1" t="s">
        <v>1142</v>
      </c>
      <c r="J977" s="219">
        <v>12.5</v>
      </c>
      <c r="K977" s="219">
        <v>13.5</v>
      </c>
      <c r="L977" s="219">
        <v>440.0</v>
      </c>
      <c r="M977" s="219" t="s">
        <v>874</v>
      </c>
      <c r="N977" s="1">
        <v>104.0</v>
      </c>
      <c r="O977" s="1">
        <v>237.0</v>
      </c>
      <c r="P977" s="1">
        <v>1.0</v>
      </c>
      <c r="Q977" s="1" t="b">
        <v>0</v>
      </c>
      <c r="R977" s="1">
        <v>100.0</v>
      </c>
      <c r="S977" s="1" t="s">
        <v>353</v>
      </c>
      <c r="T977" s="1" t="s">
        <v>423</v>
      </c>
      <c r="U977" s="1"/>
    </row>
    <row r="978">
      <c r="A978" s="218">
        <v>45215.92763569445</v>
      </c>
      <c r="B978" s="1" t="s">
        <v>125</v>
      </c>
      <c r="C978" s="1" t="s">
        <v>264</v>
      </c>
      <c r="D978" s="1">
        <v>4.0</v>
      </c>
      <c r="E978" s="1">
        <v>3.0</v>
      </c>
      <c r="F978" s="1"/>
      <c r="G978" s="218"/>
      <c r="H978" s="1"/>
      <c r="I978" s="1"/>
      <c r="J978" s="219"/>
      <c r="K978" s="219"/>
      <c r="L978" s="219"/>
      <c r="M978" s="219"/>
      <c r="N978" s="1">
        <v>226.0</v>
      </c>
      <c r="O978" s="1">
        <v>139.0</v>
      </c>
      <c r="P978" s="1">
        <v>3.0</v>
      </c>
      <c r="Q978" s="1" t="b">
        <v>1</v>
      </c>
      <c r="R978" s="1">
        <v>100.0</v>
      </c>
      <c r="S978" s="1" t="s">
        <v>292</v>
      </c>
      <c r="T978" s="1" t="s">
        <v>422</v>
      </c>
      <c r="U978" s="1"/>
    </row>
    <row r="979">
      <c r="A979" s="218">
        <v>45215.92763569445</v>
      </c>
      <c r="B979" s="1"/>
      <c r="C979" s="1"/>
      <c r="D979" s="1"/>
      <c r="E979" s="1"/>
      <c r="F979" s="1"/>
      <c r="G979" s="218"/>
      <c r="H979" s="1"/>
      <c r="I979" s="1"/>
      <c r="J979" s="219"/>
      <c r="K979" s="219"/>
      <c r="L979" s="219"/>
      <c r="M979" s="219"/>
      <c r="N979" s="1"/>
      <c r="O979" s="1"/>
      <c r="P979" s="1"/>
      <c r="Q979" s="1"/>
      <c r="R979" s="1"/>
      <c r="S979" s="1" t="e">
        <v>#N/A</v>
      </c>
      <c r="T979" s="1" t="e">
        <v>#N/A</v>
      </c>
      <c r="U979" s="1"/>
    </row>
    <row r="980">
      <c r="A980" s="218">
        <v>45215.92763569445</v>
      </c>
      <c r="B980" s="1" t="s">
        <v>61</v>
      </c>
      <c r="C980" s="1" t="s">
        <v>228</v>
      </c>
      <c r="D980" s="1">
        <v>2.0</v>
      </c>
      <c r="E980" s="1">
        <v>5.0</v>
      </c>
      <c r="F980" s="1" t="s">
        <v>1314</v>
      </c>
      <c r="G980" s="218">
        <v>45216.79166666667</v>
      </c>
      <c r="H980" s="1" t="s">
        <v>58</v>
      </c>
      <c r="I980" s="1" t="s">
        <v>99</v>
      </c>
      <c r="J980" s="219">
        <v>10.5</v>
      </c>
      <c r="K980" s="219">
        <v>13.5</v>
      </c>
      <c r="L980" s="219">
        <v>460.0</v>
      </c>
      <c r="M980" s="219" t="s">
        <v>68</v>
      </c>
      <c r="N980" s="1">
        <v>155.0</v>
      </c>
      <c r="O980" s="1">
        <v>223.0</v>
      </c>
      <c r="P980" s="1">
        <v>1.0</v>
      </c>
      <c r="Q980" s="1" t="b">
        <v>0</v>
      </c>
      <c r="R980" s="1">
        <v>100.0</v>
      </c>
      <c r="S980" s="1" t="s">
        <v>351</v>
      </c>
      <c r="T980" s="1" t="s">
        <v>423</v>
      </c>
      <c r="U980" s="1"/>
    </row>
    <row r="981">
      <c r="A981" s="218">
        <v>45215.92763569445</v>
      </c>
      <c r="B981" s="1" t="s">
        <v>61</v>
      </c>
      <c r="C981" s="1" t="s">
        <v>266</v>
      </c>
      <c r="D981" s="1">
        <v>6.0</v>
      </c>
      <c r="E981" s="1">
        <v>1.0</v>
      </c>
      <c r="F981" s="1" t="s">
        <v>1316</v>
      </c>
      <c r="G981" s="218">
        <v>45220.64583333333</v>
      </c>
      <c r="H981" s="1" t="s">
        <v>58</v>
      </c>
      <c r="I981" s="1" t="s">
        <v>90</v>
      </c>
      <c r="J981" s="219">
        <v>-6.5</v>
      </c>
      <c r="K981" s="219">
        <v>-4.5</v>
      </c>
      <c r="L981" s="219">
        <v>150.0</v>
      </c>
      <c r="M981" s="219" t="s">
        <v>1317</v>
      </c>
      <c r="N981" s="1">
        <v>146.0</v>
      </c>
      <c r="O981" s="1">
        <v>104.0</v>
      </c>
      <c r="P981" s="1">
        <v>1.0</v>
      </c>
      <c r="Q981" s="1" t="b">
        <v>1</v>
      </c>
      <c r="R981" s="1">
        <v>100.0</v>
      </c>
      <c r="S981" s="1" t="s">
        <v>282</v>
      </c>
      <c r="T981" s="1" t="s">
        <v>422</v>
      </c>
      <c r="U981" s="1"/>
    </row>
    <row r="982">
      <c r="A982" s="218">
        <v>45215.92763569445</v>
      </c>
      <c r="B982" s="1" t="s">
        <v>61</v>
      </c>
      <c r="C982" s="1" t="s">
        <v>233</v>
      </c>
      <c r="D982" s="1">
        <v>5.0</v>
      </c>
      <c r="E982" s="1">
        <v>1.0</v>
      </c>
      <c r="F982" s="1" t="s">
        <v>1330</v>
      </c>
      <c r="G982" s="218">
        <v>45220.64583333333</v>
      </c>
      <c r="H982" s="1" t="s">
        <v>60</v>
      </c>
      <c r="I982" s="1" t="s">
        <v>86</v>
      </c>
      <c r="J982" s="219">
        <v>8.5</v>
      </c>
      <c r="K982" s="219">
        <v>9.5</v>
      </c>
      <c r="L982" s="219">
        <v>265.0</v>
      </c>
      <c r="M982" s="219" t="s">
        <v>151</v>
      </c>
      <c r="N982" s="1">
        <v>201.0</v>
      </c>
      <c r="O982" s="1">
        <v>102.0</v>
      </c>
      <c r="P982" s="1">
        <v>1.0</v>
      </c>
      <c r="Q982" s="1" t="b">
        <v>0</v>
      </c>
      <c r="R982" s="1">
        <v>100.0</v>
      </c>
      <c r="S982" s="1" t="s">
        <v>292</v>
      </c>
      <c r="T982" s="1" t="s">
        <v>422</v>
      </c>
      <c r="U982" s="1"/>
    </row>
    <row r="983">
      <c r="A983" s="218">
        <v>45215.92763569445</v>
      </c>
      <c r="B983" s="1" t="s">
        <v>61</v>
      </c>
      <c r="C983" s="1" t="s">
        <v>267</v>
      </c>
      <c r="D983" s="1">
        <v>4.0</v>
      </c>
      <c r="E983" s="1">
        <v>2.0</v>
      </c>
      <c r="F983" s="1" t="s">
        <v>1362</v>
      </c>
      <c r="G983" s="218">
        <v>45220.64583333333</v>
      </c>
      <c r="H983" s="1"/>
      <c r="I983" s="1" t="s">
        <v>76</v>
      </c>
      <c r="J983" s="219">
        <v>3.5</v>
      </c>
      <c r="K983" s="219">
        <v>3.0</v>
      </c>
      <c r="L983" s="219">
        <v>126.0</v>
      </c>
      <c r="M983" s="219" t="s">
        <v>937</v>
      </c>
      <c r="N983" s="1">
        <v>156.0</v>
      </c>
      <c r="O983" s="1">
        <v>148.0</v>
      </c>
      <c r="P983" s="1">
        <v>1.0</v>
      </c>
      <c r="Q983" s="1" t="b">
        <v>1</v>
      </c>
      <c r="R983" s="1">
        <v>100.0</v>
      </c>
      <c r="S983" s="1" t="s">
        <v>296</v>
      </c>
      <c r="T983" s="1" t="s">
        <v>422</v>
      </c>
      <c r="U983" s="1"/>
    </row>
    <row r="984">
      <c r="A984" s="218">
        <v>45215.92763569445</v>
      </c>
      <c r="B984" s="1" t="s">
        <v>61</v>
      </c>
      <c r="C984" s="1" t="s">
        <v>270</v>
      </c>
      <c r="D984" s="1">
        <v>3.0</v>
      </c>
      <c r="E984" s="1">
        <v>3.0</v>
      </c>
      <c r="F984" s="1" t="s">
        <v>1312</v>
      </c>
      <c r="G984" s="218">
        <v>45220.79166666667</v>
      </c>
      <c r="H984" s="1" t="s">
        <v>35</v>
      </c>
      <c r="I984" s="1" t="s">
        <v>981</v>
      </c>
      <c r="J984" s="219">
        <v>6.5</v>
      </c>
      <c r="K984" s="219">
        <v>6.5</v>
      </c>
      <c r="L984" s="219">
        <v>-245.0</v>
      </c>
      <c r="M984" s="219" t="s">
        <v>68</v>
      </c>
      <c r="N984" s="1">
        <v>141.0</v>
      </c>
      <c r="O984" s="1">
        <v>157.0</v>
      </c>
      <c r="P984" s="1">
        <v>1.0</v>
      </c>
      <c r="Q984" s="1" t="b">
        <v>1</v>
      </c>
      <c r="R984" s="1">
        <v>100.0</v>
      </c>
      <c r="S984" s="1" t="s">
        <v>355</v>
      </c>
      <c r="T984" s="1" t="s">
        <v>423</v>
      </c>
      <c r="U984" s="1"/>
    </row>
    <row r="985">
      <c r="A985" s="218">
        <v>45215.92763569445</v>
      </c>
      <c r="B985" s="1" t="s">
        <v>61</v>
      </c>
      <c r="C985" s="1" t="s">
        <v>273</v>
      </c>
      <c r="D985" s="1">
        <v>3.0</v>
      </c>
      <c r="E985" s="1">
        <v>4.0</v>
      </c>
      <c r="F985" s="1" t="s">
        <v>1326</v>
      </c>
      <c r="G985" s="218">
        <v>45220.79166666667</v>
      </c>
      <c r="H985" s="1" t="s">
        <v>56</v>
      </c>
      <c r="I985" s="1" t="s">
        <v>99</v>
      </c>
      <c r="J985" s="219">
        <v>8.0</v>
      </c>
      <c r="K985" s="219">
        <v>5.5</v>
      </c>
      <c r="L985" s="219">
        <v>180.0</v>
      </c>
      <c r="M985" s="219" t="s">
        <v>1363</v>
      </c>
      <c r="N985" s="1">
        <v>261.0</v>
      </c>
      <c r="O985" s="1">
        <v>230.0</v>
      </c>
      <c r="P985" s="1">
        <v>1.0</v>
      </c>
      <c r="Q985" s="1" t="b">
        <v>1</v>
      </c>
      <c r="R985" s="1">
        <v>100.0</v>
      </c>
      <c r="S985" s="1" t="s">
        <v>353</v>
      </c>
      <c r="T985" s="1" t="s">
        <v>423</v>
      </c>
      <c r="U985" s="1"/>
    </row>
    <row r="986">
      <c r="A986" s="218">
        <v>45215.92763569445</v>
      </c>
      <c r="B986" s="1" t="s">
        <v>61</v>
      </c>
      <c r="C986" s="1" t="s">
        <v>271</v>
      </c>
      <c r="D986" s="1">
        <v>2.0</v>
      </c>
      <c r="E986" s="1">
        <v>5.0</v>
      </c>
      <c r="F986" s="1" t="s">
        <v>1323</v>
      </c>
      <c r="G986" s="218">
        <v>45220.5</v>
      </c>
      <c r="H986" s="1" t="s">
        <v>58</v>
      </c>
      <c r="I986" s="1" t="s">
        <v>36</v>
      </c>
      <c r="J986" s="219">
        <v>4.5</v>
      </c>
      <c r="K986" s="219">
        <v>4.5</v>
      </c>
      <c r="L986" s="219">
        <v>-205.0</v>
      </c>
      <c r="M986" s="219" t="s">
        <v>908</v>
      </c>
      <c r="N986" s="1">
        <v>211.0</v>
      </c>
      <c r="O986" s="1">
        <v>256.0</v>
      </c>
      <c r="P986" s="1">
        <v>1.0</v>
      </c>
      <c r="Q986" s="1" t="b">
        <v>0</v>
      </c>
      <c r="R986" s="1">
        <v>100.0</v>
      </c>
      <c r="S986" s="1" t="s">
        <v>407</v>
      </c>
      <c r="T986" s="1" t="s">
        <v>423</v>
      </c>
      <c r="U986" s="1"/>
    </row>
    <row r="987">
      <c r="A987" s="218">
        <v>45215.92763569445</v>
      </c>
      <c r="B987" s="1" t="s">
        <v>61</v>
      </c>
      <c r="C987" s="1" t="s">
        <v>272</v>
      </c>
      <c r="D987" s="1">
        <v>2.0</v>
      </c>
      <c r="E987" s="1">
        <v>5.0</v>
      </c>
      <c r="F987" s="1" t="s">
        <v>1351</v>
      </c>
      <c r="G987" s="218">
        <v>45220.5</v>
      </c>
      <c r="H987" s="1" t="s">
        <v>57</v>
      </c>
      <c r="I987" s="1" t="s">
        <v>99</v>
      </c>
      <c r="J987" s="219">
        <v>17.5</v>
      </c>
      <c r="K987" s="219">
        <v>15.5</v>
      </c>
      <c r="L987" s="219">
        <v>520.0</v>
      </c>
      <c r="M987" s="219" t="s">
        <v>845</v>
      </c>
      <c r="N987" s="1">
        <v>174.0</v>
      </c>
      <c r="O987" s="1">
        <v>254.0</v>
      </c>
      <c r="P987" s="1">
        <v>1.0</v>
      </c>
      <c r="Q987" s="1" t="b">
        <v>0</v>
      </c>
      <c r="R987" s="1">
        <v>100.0</v>
      </c>
      <c r="S987" s="1" t="s">
        <v>352</v>
      </c>
      <c r="T987" s="1" t="s">
        <v>423</v>
      </c>
      <c r="U987" s="1"/>
    </row>
    <row r="988">
      <c r="A988" s="218">
        <v>45215.92763569445</v>
      </c>
      <c r="B988" s="1" t="s">
        <v>61</v>
      </c>
      <c r="C988" s="1" t="s">
        <v>268</v>
      </c>
      <c r="D988" s="1">
        <v>4.0</v>
      </c>
      <c r="E988" s="1">
        <v>3.0</v>
      </c>
      <c r="F988" s="1"/>
      <c r="G988" s="218"/>
      <c r="H988" s="1"/>
      <c r="I988" s="1"/>
      <c r="J988" s="219"/>
      <c r="K988" s="219"/>
      <c r="L988" s="219"/>
      <c r="M988" s="219"/>
      <c r="N988" s="1">
        <v>178.0</v>
      </c>
      <c r="O988" s="1">
        <v>165.0</v>
      </c>
      <c r="P988" s="1">
        <v>3.0</v>
      </c>
      <c r="Q988" s="1" t="b">
        <v>1</v>
      </c>
      <c r="R988" s="1">
        <v>100.0</v>
      </c>
      <c r="S988" s="1" t="s">
        <v>301</v>
      </c>
      <c r="T988" s="1" t="s">
        <v>422</v>
      </c>
      <c r="U988" s="1"/>
    </row>
    <row r="989">
      <c r="A989" s="218">
        <v>45222.92762559028</v>
      </c>
      <c r="B989" s="1" t="s">
        <v>35</v>
      </c>
      <c r="C989" s="1" t="s">
        <v>78</v>
      </c>
      <c r="D989" s="1">
        <v>0.0</v>
      </c>
      <c r="E989" s="1">
        <v>7.0</v>
      </c>
      <c r="F989" s="1" t="s">
        <v>1364</v>
      </c>
      <c r="G989" s="218">
        <v>45224.83333333333</v>
      </c>
      <c r="H989" s="1" t="s">
        <v>70</v>
      </c>
      <c r="I989" s="1" t="s">
        <v>36</v>
      </c>
      <c r="J989" s="219">
        <v>-1.5</v>
      </c>
      <c r="K989" s="219">
        <v>-3.5</v>
      </c>
      <c r="L989" s="219">
        <v>146.0</v>
      </c>
      <c r="M989" s="219" t="s">
        <v>1365</v>
      </c>
      <c r="N989" s="1">
        <v>94.0</v>
      </c>
      <c r="O989" s="1">
        <v>181.0</v>
      </c>
      <c r="P989" s="1">
        <v>1.0</v>
      </c>
      <c r="Q989" s="1" t="b">
        <v>0</v>
      </c>
      <c r="R989" s="1">
        <v>100.0</v>
      </c>
      <c r="S989" s="1" t="s">
        <v>351</v>
      </c>
      <c r="T989" s="1" t="s">
        <v>423</v>
      </c>
      <c r="U989" s="1"/>
    </row>
    <row r="990">
      <c r="A990" s="218">
        <v>45222.92762559028</v>
      </c>
      <c r="B990" s="1" t="s">
        <v>35</v>
      </c>
      <c r="C990" s="1" t="s">
        <v>63</v>
      </c>
      <c r="D990" s="1">
        <v>7.0</v>
      </c>
      <c r="E990" s="1">
        <v>0.0</v>
      </c>
      <c r="F990" s="1" t="s">
        <v>1366</v>
      </c>
      <c r="G990" s="218">
        <v>45227.64583333333</v>
      </c>
      <c r="H990" s="1" t="s">
        <v>56</v>
      </c>
      <c r="I990" s="1" t="s">
        <v>86</v>
      </c>
      <c r="J990" s="219">
        <v>-20.5</v>
      </c>
      <c r="K990" s="219">
        <v>-15.5</v>
      </c>
      <c r="L990" s="219">
        <v>-710.0</v>
      </c>
      <c r="M990" s="219" t="s">
        <v>854</v>
      </c>
      <c r="N990" s="1">
        <v>281.0</v>
      </c>
      <c r="O990" s="1">
        <v>98.0</v>
      </c>
      <c r="P990" s="1">
        <v>1.0</v>
      </c>
      <c r="Q990" s="1" t="b">
        <v>1</v>
      </c>
      <c r="R990" s="1">
        <v>100.0</v>
      </c>
      <c r="S990" s="1" t="s">
        <v>292</v>
      </c>
      <c r="T990" s="1" t="s">
        <v>422</v>
      </c>
      <c r="U990" s="1"/>
    </row>
    <row r="991">
      <c r="A991" s="218">
        <v>45222.92762559028</v>
      </c>
      <c r="B991" s="1" t="s">
        <v>35</v>
      </c>
      <c r="C991" s="1" t="s">
        <v>71</v>
      </c>
      <c r="D991" s="1">
        <v>3.0</v>
      </c>
      <c r="E991" s="1">
        <v>4.0</v>
      </c>
      <c r="F991" s="1" t="s">
        <v>1367</v>
      </c>
      <c r="G991" s="218">
        <v>45227.64583333333</v>
      </c>
      <c r="H991" s="1" t="s">
        <v>70</v>
      </c>
      <c r="I991" s="1" t="s">
        <v>935</v>
      </c>
      <c r="J991" s="219">
        <v>-17.5</v>
      </c>
      <c r="K991" s="219">
        <v>-17.5</v>
      </c>
      <c r="L991" s="219">
        <v>625.0</v>
      </c>
      <c r="M991" s="219" t="s">
        <v>840</v>
      </c>
      <c r="N991" s="1">
        <v>227.0</v>
      </c>
      <c r="O991" s="1">
        <v>209.0</v>
      </c>
      <c r="P991" s="1">
        <v>1.0</v>
      </c>
      <c r="Q991" s="1" t="b">
        <v>0</v>
      </c>
      <c r="R991" s="1">
        <v>100.0</v>
      </c>
      <c r="S991" s="1" t="s">
        <v>355</v>
      </c>
      <c r="T991" s="1" t="s">
        <v>423</v>
      </c>
      <c r="U991" s="1"/>
    </row>
    <row r="992">
      <c r="A992" s="218">
        <v>45222.92762559028</v>
      </c>
      <c r="B992" s="1" t="s">
        <v>35</v>
      </c>
      <c r="C992" s="1" t="s">
        <v>38</v>
      </c>
      <c r="D992" s="1">
        <v>6.0</v>
      </c>
      <c r="E992" s="1">
        <v>1.0</v>
      </c>
      <c r="F992" s="1" t="s">
        <v>1368</v>
      </c>
      <c r="G992" s="218">
        <v>45227.64583333333</v>
      </c>
      <c r="H992" s="1" t="s">
        <v>59</v>
      </c>
      <c r="I992" s="1" t="s">
        <v>92</v>
      </c>
      <c r="J992" s="219">
        <v>-5.5</v>
      </c>
      <c r="K992" s="219">
        <v>-5.5</v>
      </c>
      <c r="L992" s="219">
        <v>-225.0</v>
      </c>
      <c r="M992" s="219" t="s">
        <v>874</v>
      </c>
      <c r="N992" s="1">
        <v>329.0</v>
      </c>
      <c r="O992" s="1">
        <v>119.0</v>
      </c>
      <c r="P992" s="1">
        <v>1.0</v>
      </c>
      <c r="Q992" s="1" t="b">
        <v>0</v>
      </c>
      <c r="R992" s="1">
        <v>100.0</v>
      </c>
      <c r="S992" s="1" t="s">
        <v>354</v>
      </c>
      <c r="T992" s="1" t="s">
        <v>422</v>
      </c>
      <c r="U992" s="1"/>
    </row>
    <row r="993">
      <c r="A993" s="218">
        <v>45222.92762559028</v>
      </c>
      <c r="B993" s="1" t="s">
        <v>35</v>
      </c>
      <c r="C993" s="1" t="s">
        <v>80</v>
      </c>
      <c r="D993" s="1">
        <v>4.0</v>
      </c>
      <c r="E993" s="1">
        <v>3.0</v>
      </c>
      <c r="F993" s="1" t="s">
        <v>1369</v>
      </c>
      <c r="G993" s="218">
        <v>45227.64583333333</v>
      </c>
      <c r="H993" s="1" t="s">
        <v>67</v>
      </c>
      <c r="I993" s="1" t="s">
        <v>96</v>
      </c>
      <c r="J993" s="219">
        <v>-3.5</v>
      </c>
      <c r="K993" s="219">
        <v>-3.0</v>
      </c>
      <c r="L993" s="219">
        <v>125.0</v>
      </c>
      <c r="M993" s="219" t="s">
        <v>843</v>
      </c>
      <c r="N993" s="1">
        <v>131.0</v>
      </c>
      <c r="O993" s="1">
        <v>135.0</v>
      </c>
      <c r="P993" s="1">
        <v>1.0</v>
      </c>
      <c r="Q993" s="1" t="b">
        <v>1</v>
      </c>
      <c r="R993" s="1">
        <v>100.0</v>
      </c>
      <c r="S993" s="1" t="s">
        <v>282</v>
      </c>
      <c r="T993" s="1" t="s">
        <v>422</v>
      </c>
      <c r="U993" s="1"/>
    </row>
    <row r="994">
      <c r="A994" s="218">
        <v>45222.92762559028</v>
      </c>
      <c r="B994" s="1" t="s">
        <v>35</v>
      </c>
      <c r="C994" s="1" t="s">
        <v>79</v>
      </c>
      <c r="D994" s="1">
        <v>5.0</v>
      </c>
      <c r="E994" s="1">
        <v>2.0</v>
      </c>
      <c r="F994" s="1" t="s">
        <v>1370</v>
      </c>
      <c r="G994" s="218">
        <v>45227.64583333333</v>
      </c>
      <c r="H994" s="1"/>
      <c r="I994" s="1" t="s">
        <v>900</v>
      </c>
      <c r="J994" s="219">
        <v>-18.0</v>
      </c>
      <c r="K994" s="219">
        <v>-18.0</v>
      </c>
      <c r="L994" s="219">
        <v>675.0</v>
      </c>
      <c r="M994" s="219" t="s">
        <v>1341</v>
      </c>
      <c r="N994" s="1">
        <v>254.0</v>
      </c>
      <c r="O994" s="1">
        <v>134.0</v>
      </c>
      <c r="P994" s="1">
        <v>1.0</v>
      </c>
      <c r="Q994" s="1" t="b">
        <v>1</v>
      </c>
      <c r="R994" s="1">
        <v>100.0</v>
      </c>
      <c r="S994" s="1" t="s">
        <v>301</v>
      </c>
      <c r="T994" s="1" t="s">
        <v>422</v>
      </c>
      <c r="U994" s="1"/>
    </row>
    <row r="995">
      <c r="A995" s="218">
        <v>45222.92762559028</v>
      </c>
      <c r="B995" s="1" t="s">
        <v>35</v>
      </c>
      <c r="C995" s="1" t="s">
        <v>88</v>
      </c>
      <c r="D995" s="1">
        <v>3.0</v>
      </c>
      <c r="E995" s="1">
        <v>4.0</v>
      </c>
      <c r="F995" s="1" t="s">
        <v>1371</v>
      </c>
      <c r="G995" s="218">
        <v>45227.9375</v>
      </c>
      <c r="H995" s="1" t="s">
        <v>125</v>
      </c>
      <c r="I995" s="1" t="s">
        <v>99</v>
      </c>
      <c r="J995" s="219">
        <v>1.5</v>
      </c>
      <c r="K995" s="219">
        <v>1.5</v>
      </c>
      <c r="L995" s="219">
        <v>105.0</v>
      </c>
      <c r="M995" s="219" t="s">
        <v>937</v>
      </c>
      <c r="N995" s="1">
        <v>209.0</v>
      </c>
      <c r="O995" s="1">
        <v>228.0</v>
      </c>
      <c r="P995" s="1">
        <v>1.0</v>
      </c>
      <c r="Q995" s="1" t="b">
        <v>0</v>
      </c>
      <c r="R995" s="1">
        <v>100.0</v>
      </c>
      <c r="S995" s="1" t="s">
        <v>353</v>
      </c>
      <c r="T995" s="1" t="s">
        <v>423</v>
      </c>
      <c r="U995" s="1"/>
    </row>
    <row r="996">
      <c r="A996" s="218">
        <v>45222.92762559028</v>
      </c>
      <c r="B996" s="1" t="s">
        <v>35</v>
      </c>
      <c r="C996" s="1" t="s">
        <v>74</v>
      </c>
      <c r="D996" s="1">
        <v>5.0</v>
      </c>
      <c r="E996" s="1">
        <v>2.0</v>
      </c>
      <c r="F996" s="1" t="s">
        <v>1372</v>
      </c>
      <c r="G996" s="218">
        <v>45227.5</v>
      </c>
      <c r="H996" s="1" t="s">
        <v>57</v>
      </c>
      <c r="I996" s="1" t="s">
        <v>36</v>
      </c>
      <c r="J996" s="219">
        <v>-16.5</v>
      </c>
      <c r="K996" s="219">
        <v>-16.5</v>
      </c>
      <c r="L996" s="219">
        <v>640.0</v>
      </c>
      <c r="M996" s="219" t="s">
        <v>969</v>
      </c>
      <c r="N996" s="1">
        <v>258.0</v>
      </c>
      <c r="O996" s="1">
        <v>127.0</v>
      </c>
      <c r="P996" s="1">
        <v>1.0</v>
      </c>
      <c r="Q996" s="1" t="b">
        <v>0</v>
      </c>
      <c r="R996" s="1">
        <v>100.0</v>
      </c>
      <c r="S996" s="1" t="s">
        <v>296</v>
      </c>
      <c r="T996" s="1" t="s">
        <v>422</v>
      </c>
      <c r="U996" s="1"/>
    </row>
    <row r="997">
      <c r="A997" s="218">
        <v>45222.92762559028</v>
      </c>
      <c r="B997" s="1" t="s">
        <v>35</v>
      </c>
      <c r="C997" s="1" t="s">
        <v>75</v>
      </c>
      <c r="D997" s="1">
        <v>1.0</v>
      </c>
      <c r="E997" s="1">
        <v>7.0</v>
      </c>
      <c r="F997" s="1"/>
      <c r="G997" s="218"/>
      <c r="H997" s="1"/>
      <c r="I997" s="1"/>
      <c r="J997" s="219"/>
      <c r="K997" s="219"/>
      <c r="L997" s="219"/>
      <c r="M997" s="219"/>
      <c r="N997" s="1">
        <v>100.0</v>
      </c>
      <c r="O997" s="1">
        <v>264.0</v>
      </c>
      <c r="P997" s="1">
        <v>3.0</v>
      </c>
      <c r="Q997" s="1" t="b">
        <v>1</v>
      </c>
      <c r="R997" s="1">
        <v>100.0</v>
      </c>
      <c r="S997" s="1" t="s">
        <v>352</v>
      </c>
      <c r="T997" s="1" t="s">
        <v>423</v>
      </c>
      <c r="U997" s="1"/>
    </row>
    <row r="998">
      <c r="A998" s="218">
        <v>45222.92762559028</v>
      </c>
      <c r="B998" s="1" t="s">
        <v>35</v>
      </c>
      <c r="C998" s="1" t="s">
        <v>81</v>
      </c>
      <c r="D998" s="1">
        <v>2.0</v>
      </c>
      <c r="E998" s="1">
        <v>6.0</v>
      </c>
      <c r="F998" s="1"/>
      <c r="G998" s="218"/>
      <c r="H998" s="1"/>
      <c r="I998" s="1"/>
      <c r="J998" s="219"/>
      <c r="K998" s="219"/>
      <c r="L998" s="219"/>
      <c r="M998" s="219"/>
      <c r="N998" s="1">
        <v>153.0</v>
      </c>
      <c r="O998" s="1">
        <v>304.0</v>
      </c>
      <c r="P998" s="1">
        <v>3.0</v>
      </c>
      <c r="Q998" s="1" t="b">
        <v>1</v>
      </c>
      <c r="R998" s="1">
        <v>100.0</v>
      </c>
      <c r="S998" s="1" t="s">
        <v>407</v>
      </c>
      <c r="T998" s="1" t="s">
        <v>423</v>
      </c>
      <c r="U998" s="1"/>
    </row>
    <row r="999">
      <c r="A999" s="218">
        <v>45222.92762559028</v>
      </c>
      <c r="B999" s="1"/>
      <c r="C999" s="1"/>
      <c r="D999" s="1"/>
      <c r="E999" s="1"/>
      <c r="F999" s="1"/>
      <c r="G999" s="218"/>
      <c r="H999" s="1"/>
      <c r="I999" s="1"/>
      <c r="J999" s="219"/>
      <c r="K999" s="219"/>
      <c r="L999" s="219"/>
      <c r="M999" s="219"/>
      <c r="N999" s="1"/>
      <c r="O999" s="1"/>
      <c r="P999" s="1"/>
      <c r="Q999" s="1"/>
      <c r="R999" s="1"/>
      <c r="S999" s="1" t="e">
        <v>#N/A</v>
      </c>
      <c r="T999" s="1" t="e">
        <v>#N/A</v>
      </c>
      <c r="U999" s="1"/>
    </row>
    <row r="1000">
      <c r="A1000" s="218">
        <v>45222.92762559028</v>
      </c>
      <c r="B1000" s="1" t="s">
        <v>58</v>
      </c>
      <c r="C1000" s="1" t="s">
        <v>102</v>
      </c>
      <c r="D1000" s="1">
        <v>7.0</v>
      </c>
      <c r="E1000" s="1">
        <v>0.0</v>
      </c>
      <c r="F1000" s="1" t="s">
        <v>1373</v>
      </c>
      <c r="G1000" s="218">
        <v>45223.8125</v>
      </c>
      <c r="H1000" s="1" t="s">
        <v>62</v>
      </c>
      <c r="I1000" s="1" t="s">
        <v>40</v>
      </c>
      <c r="J1000" s="219">
        <v>-1.5</v>
      </c>
      <c r="K1000" s="219">
        <v>-4.0</v>
      </c>
      <c r="L1000" s="219">
        <v>-192.0</v>
      </c>
      <c r="M1000" s="219" t="s">
        <v>971</v>
      </c>
      <c r="N1000" s="1">
        <v>254.0</v>
      </c>
      <c r="O1000" s="1">
        <v>138.0</v>
      </c>
      <c r="P1000" s="1">
        <v>1.0</v>
      </c>
      <c r="Q1000" s="1" t="b">
        <v>0</v>
      </c>
      <c r="R1000" s="1">
        <v>100.0</v>
      </c>
      <c r="S1000" s="1" t="s">
        <v>351</v>
      </c>
      <c r="T1000" s="1" t="s">
        <v>423</v>
      </c>
      <c r="U1000" s="1"/>
    </row>
    <row r="1001">
      <c r="A1001" s="218">
        <v>45222.92762559028</v>
      </c>
      <c r="B1001" s="1" t="s">
        <v>58</v>
      </c>
      <c r="C1001" s="1" t="s">
        <v>113</v>
      </c>
      <c r="D1001" s="1">
        <v>3.0</v>
      </c>
      <c r="E1001" s="1">
        <v>4.0</v>
      </c>
      <c r="F1001" s="1" t="s">
        <v>1374</v>
      </c>
      <c r="G1001" s="218">
        <v>45225.8125</v>
      </c>
      <c r="H1001" s="1" t="s">
        <v>56</v>
      </c>
      <c r="I1001" s="1" t="s">
        <v>76</v>
      </c>
      <c r="J1001" s="219">
        <v>-1.5</v>
      </c>
      <c r="K1001" s="219">
        <v>-3.0</v>
      </c>
      <c r="L1001" s="219">
        <v>126.0</v>
      </c>
      <c r="M1001" s="219" t="s">
        <v>151</v>
      </c>
      <c r="N1001" s="1">
        <v>171.0</v>
      </c>
      <c r="O1001" s="1">
        <v>173.0</v>
      </c>
      <c r="P1001" s="1">
        <v>1.0</v>
      </c>
      <c r="Q1001" s="1" t="b">
        <v>1</v>
      </c>
      <c r="R1001" s="1">
        <v>100.0</v>
      </c>
      <c r="S1001" s="1" t="s">
        <v>301</v>
      </c>
      <c r="T1001" s="1" t="s">
        <v>422</v>
      </c>
      <c r="U1001" s="1"/>
    </row>
    <row r="1002">
      <c r="A1002" s="218">
        <v>45222.92762559028</v>
      </c>
      <c r="B1002" s="1" t="s">
        <v>58</v>
      </c>
      <c r="C1002" s="1" t="s">
        <v>118</v>
      </c>
      <c r="D1002" s="1">
        <v>5.0</v>
      </c>
      <c r="E1002" s="1">
        <v>2.0</v>
      </c>
      <c r="F1002" s="1" t="s">
        <v>1375</v>
      </c>
      <c r="G1002" s="218">
        <v>45227.625</v>
      </c>
      <c r="H1002" s="1" t="s">
        <v>67</v>
      </c>
      <c r="I1002" s="1" t="s">
        <v>935</v>
      </c>
      <c r="J1002" s="219">
        <v>-7.5</v>
      </c>
      <c r="K1002" s="219">
        <v>-7.5</v>
      </c>
      <c r="L1002" s="219">
        <v>-298.0</v>
      </c>
      <c r="M1002" s="219" t="s">
        <v>871</v>
      </c>
      <c r="N1002" s="1">
        <v>249.0</v>
      </c>
      <c r="O1002" s="1">
        <v>159.0</v>
      </c>
      <c r="P1002" s="1">
        <v>1.0</v>
      </c>
      <c r="Q1002" s="1" t="b">
        <v>1</v>
      </c>
      <c r="R1002" s="1">
        <v>100.0</v>
      </c>
      <c r="S1002" s="1" t="s">
        <v>407</v>
      </c>
      <c r="T1002" s="1" t="s">
        <v>423</v>
      </c>
      <c r="U1002" s="1"/>
    </row>
    <row r="1003">
      <c r="A1003" s="218">
        <v>45222.92762559028</v>
      </c>
      <c r="B1003" s="1" t="s">
        <v>58</v>
      </c>
      <c r="C1003" s="1" t="s">
        <v>119</v>
      </c>
      <c r="D1003" s="1">
        <v>5.0</v>
      </c>
      <c r="E1003" s="1">
        <v>2.0</v>
      </c>
      <c r="F1003" s="1" t="s">
        <v>1376</v>
      </c>
      <c r="G1003" s="218">
        <v>45227.64583333333</v>
      </c>
      <c r="H1003" s="1" t="s">
        <v>125</v>
      </c>
      <c r="I1003" s="1" t="s">
        <v>82</v>
      </c>
      <c r="J1003" s="219">
        <v>20.5</v>
      </c>
      <c r="K1003" s="219">
        <v>16.0</v>
      </c>
      <c r="L1003" s="219">
        <v>540.0</v>
      </c>
      <c r="M1003" s="219" t="s">
        <v>937</v>
      </c>
      <c r="N1003" s="1">
        <v>193.0</v>
      </c>
      <c r="O1003" s="1">
        <v>170.0</v>
      </c>
      <c r="P1003" s="1">
        <v>1.0</v>
      </c>
      <c r="Q1003" s="1" t="b">
        <v>1</v>
      </c>
      <c r="R1003" s="1">
        <v>100.0</v>
      </c>
      <c r="S1003" s="1" t="s">
        <v>296</v>
      </c>
      <c r="T1003" s="1" t="s">
        <v>422</v>
      </c>
      <c r="U1003" s="1"/>
    </row>
    <row r="1004">
      <c r="A1004" s="218">
        <v>45222.92762559028</v>
      </c>
      <c r="B1004" s="1" t="s">
        <v>58</v>
      </c>
      <c r="C1004" s="1" t="s">
        <v>112</v>
      </c>
      <c r="D1004" s="1">
        <v>3.0</v>
      </c>
      <c r="E1004" s="1">
        <v>4.0</v>
      </c>
      <c r="F1004" s="1" t="s">
        <v>1377</v>
      </c>
      <c r="G1004" s="218">
        <v>45227.64583333333</v>
      </c>
      <c r="H1004" s="1" t="s">
        <v>62</v>
      </c>
      <c r="I1004" s="1" t="s">
        <v>945</v>
      </c>
      <c r="J1004" s="219">
        <v>-6.5</v>
      </c>
      <c r="K1004" s="219">
        <v>-6.5</v>
      </c>
      <c r="L1004" s="219">
        <v>190.0</v>
      </c>
      <c r="M1004" s="219" t="s">
        <v>122</v>
      </c>
      <c r="N1004" s="1">
        <v>187.0</v>
      </c>
      <c r="O1004" s="1">
        <v>167.0</v>
      </c>
      <c r="P1004" s="1">
        <v>1.0</v>
      </c>
      <c r="Q1004" s="1" t="b">
        <v>0</v>
      </c>
      <c r="R1004" s="1">
        <v>100.0</v>
      </c>
      <c r="S1004" s="1" t="s">
        <v>292</v>
      </c>
      <c r="T1004" s="1" t="s">
        <v>422</v>
      </c>
      <c r="U1004" s="1"/>
    </row>
    <row r="1005">
      <c r="A1005" s="218">
        <v>45222.92762559028</v>
      </c>
      <c r="B1005" s="1" t="s">
        <v>58</v>
      </c>
      <c r="C1005" s="1" t="s">
        <v>116</v>
      </c>
      <c r="D1005" s="1">
        <v>4.0</v>
      </c>
      <c r="E1005" s="1">
        <v>3.0</v>
      </c>
      <c r="F1005" s="1" t="s">
        <v>1378</v>
      </c>
      <c r="G1005" s="218">
        <v>45227.64583333333</v>
      </c>
      <c r="H1005" s="1" t="s">
        <v>60</v>
      </c>
      <c r="I1005" s="1" t="s">
        <v>888</v>
      </c>
      <c r="J1005" s="219">
        <v>-7.0</v>
      </c>
      <c r="K1005" s="219">
        <v>-7.0</v>
      </c>
      <c r="L1005" s="219">
        <v>240.0</v>
      </c>
      <c r="M1005" s="219" t="s">
        <v>1336</v>
      </c>
      <c r="N1005" s="1">
        <v>142.0</v>
      </c>
      <c r="O1005" s="1">
        <v>170.0</v>
      </c>
      <c r="P1005" s="1">
        <v>1.0</v>
      </c>
      <c r="Q1005" s="1" t="b">
        <v>0</v>
      </c>
      <c r="R1005" s="1">
        <v>100.0</v>
      </c>
      <c r="S1005" s="1" t="s">
        <v>282</v>
      </c>
      <c r="T1005" s="1" t="s">
        <v>422</v>
      </c>
      <c r="U1005" s="1"/>
    </row>
    <row r="1006">
      <c r="A1006" s="218">
        <v>45222.92762559028</v>
      </c>
      <c r="B1006" s="1" t="s">
        <v>58</v>
      </c>
      <c r="C1006" s="1" t="s">
        <v>111</v>
      </c>
      <c r="D1006" s="1">
        <v>4.0</v>
      </c>
      <c r="E1006" s="1">
        <v>3.0</v>
      </c>
      <c r="F1006" s="1" t="s">
        <v>1379</v>
      </c>
      <c r="G1006" s="218">
        <v>45227.75</v>
      </c>
      <c r="H1006" s="1" t="s">
        <v>57</v>
      </c>
      <c r="I1006" s="1" t="s">
        <v>981</v>
      </c>
      <c r="J1006" s="219">
        <v>-3.5</v>
      </c>
      <c r="K1006" s="219">
        <v>-3.5</v>
      </c>
      <c r="L1006" s="219">
        <v>-180.0</v>
      </c>
      <c r="M1006" s="219" t="s">
        <v>1380</v>
      </c>
      <c r="N1006" s="1">
        <v>191.0</v>
      </c>
      <c r="O1006" s="1">
        <v>191.0</v>
      </c>
      <c r="P1006" s="1">
        <v>1.0</v>
      </c>
      <c r="Q1006" s="1" t="b">
        <v>0</v>
      </c>
      <c r="R1006" s="1">
        <v>100.0</v>
      </c>
      <c r="S1006" s="1" t="s">
        <v>355</v>
      </c>
      <c r="T1006" s="1" t="s">
        <v>423</v>
      </c>
      <c r="U1006" s="1"/>
    </row>
    <row r="1007">
      <c r="A1007" s="218">
        <v>45222.92762559028</v>
      </c>
      <c r="B1007" s="1" t="s">
        <v>58</v>
      </c>
      <c r="C1007" s="1" t="s">
        <v>105</v>
      </c>
      <c r="D1007" s="1">
        <v>3.0</v>
      </c>
      <c r="E1007" s="1">
        <v>4.0</v>
      </c>
      <c r="F1007" s="1" t="s">
        <v>1381</v>
      </c>
      <c r="G1007" s="218">
        <v>45227.79166666667</v>
      </c>
      <c r="H1007" s="1" t="s">
        <v>69</v>
      </c>
      <c r="I1007" s="1" t="s">
        <v>99</v>
      </c>
      <c r="J1007" s="219">
        <v>11.5</v>
      </c>
      <c r="K1007" s="219">
        <v>12.0</v>
      </c>
      <c r="L1007" s="219">
        <v>-485.0</v>
      </c>
      <c r="M1007" s="219" t="s">
        <v>874</v>
      </c>
      <c r="N1007" s="1">
        <v>209.0</v>
      </c>
      <c r="O1007" s="1">
        <v>235.0</v>
      </c>
      <c r="P1007" s="1">
        <v>1.0</v>
      </c>
      <c r="Q1007" s="1" t="b">
        <v>0</v>
      </c>
      <c r="R1007" s="1">
        <v>100.0</v>
      </c>
      <c r="S1007" s="1" t="s">
        <v>353</v>
      </c>
      <c r="T1007" s="1" t="s">
        <v>423</v>
      </c>
      <c r="U1007" s="1"/>
    </row>
    <row r="1008">
      <c r="A1008" s="218">
        <v>45222.92762559028</v>
      </c>
      <c r="B1008" s="1" t="s">
        <v>58</v>
      </c>
      <c r="C1008" s="1" t="s">
        <v>109</v>
      </c>
      <c r="D1008" s="1">
        <v>5.0</v>
      </c>
      <c r="E1008" s="1">
        <v>2.0</v>
      </c>
      <c r="F1008" s="1" t="s">
        <v>1382</v>
      </c>
      <c r="G1008" s="218">
        <v>45227.8125</v>
      </c>
      <c r="H1008" s="1" t="s">
        <v>61</v>
      </c>
      <c r="I1008" s="1" t="s">
        <v>82</v>
      </c>
      <c r="J1008" s="219">
        <v>-17.5</v>
      </c>
      <c r="K1008" s="219">
        <v>-17.5</v>
      </c>
      <c r="L1008" s="219">
        <v>680.0</v>
      </c>
      <c r="M1008" s="219" t="s">
        <v>908</v>
      </c>
      <c r="N1008" s="1">
        <v>219.0</v>
      </c>
      <c r="O1008" s="1">
        <v>104.0</v>
      </c>
      <c r="P1008" s="1">
        <v>1.0</v>
      </c>
      <c r="Q1008" s="1" t="b">
        <v>1</v>
      </c>
      <c r="R1008" s="1">
        <v>100.0</v>
      </c>
      <c r="S1008" s="1" t="s">
        <v>354</v>
      </c>
      <c r="T1008" s="1" t="s">
        <v>422</v>
      </c>
      <c r="U1008" s="1"/>
    </row>
    <row r="1009">
      <c r="A1009" s="218">
        <v>45222.92762559028</v>
      </c>
      <c r="B1009" s="1" t="s">
        <v>58</v>
      </c>
      <c r="C1009" s="1" t="s">
        <v>117</v>
      </c>
      <c r="D1009" s="1">
        <v>4.0</v>
      </c>
      <c r="E1009" s="1">
        <v>4.0</v>
      </c>
      <c r="F1009" s="1"/>
      <c r="G1009" s="218"/>
      <c r="H1009" s="1"/>
      <c r="I1009" s="1"/>
      <c r="J1009" s="219"/>
      <c r="K1009" s="219"/>
      <c r="L1009" s="219"/>
      <c r="M1009" s="219"/>
      <c r="N1009" s="1">
        <v>194.0</v>
      </c>
      <c r="O1009" s="1">
        <v>170.0</v>
      </c>
      <c r="P1009" s="1">
        <v>3.0</v>
      </c>
      <c r="Q1009" s="1" t="b">
        <v>1</v>
      </c>
      <c r="R1009" s="1">
        <v>100.0</v>
      </c>
      <c r="S1009" s="1" t="s">
        <v>352</v>
      </c>
      <c r="T1009" s="1" t="s">
        <v>423</v>
      </c>
      <c r="U1009" s="1"/>
    </row>
    <row r="1010">
      <c r="A1010" s="218">
        <v>45222.92762559028</v>
      </c>
      <c r="B1010" s="1"/>
      <c r="C1010" s="1"/>
      <c r="D1010" s="1"/>
      <c r="E1010" s="1"/>
      <c r="F1010" s="1"/>
      <c r="G1010" s="218"/>
      <c r="H1010" s="1"/>
      <c r="I1010" s="1"/>
      <c r="J1010" s="219"/>
      <c r="K1010" s="219"/>
      <c r="L1010" s="219"/>
      <c r="M1010" s="219"/>
      <c r="N1010" s="1"/>
      <c r="O1010" s="1"/>
      <c r="P1010" s="1"/>
      <c r="Q1010" s="1"/>
      <c r="R1010" s="1"/>
      <c r="S1010" s="1" t="e">
        <v>#N/A</v>
      </c>
      <c r="T1010" s="1" t="e">
        <v>#N/A</v>
      </c>
      <c r="U1010" s="1"/>
    </row>
    <row r="1011">
      <c r="A1011" s="218">
        <v>45222.92762559028</v>
      </c>
      <c r="B1011" s="1" t="s">
        <v>56</v>
      </c>
      <c r="C1011" s="1" t="s">
        <v>130</v>
      </c>
      <c r="D1011" s="1">
        <v>4.0</v>
      </c>
      <c r="E1011" s="1">
        <v>3.0</v>
      </c>
      <c r="F1011" s="1" t="s">
        <v>1374</v>
      </c>
      <c r="G1011" s="218">
        <v>45225.8125</v>
      </c>
      <c r="H1011" s="1" t="s">
        <v>58</v>
      </c>
      <c r="I1011" s="1" t="s">
        <v>76</v>
      </c>
      <c r="J1011" s="219">
        <v>1.5</v>
      </c>
      <c r="K1011" s="219">
        <v>3.0</v>
      </c>
      <c r="L1011" s="219">
        <v>126.0</v>
      </c>
      <c r="M1011" s="219" t="s">
        <v>151</v>
      </c>
      <c r="N1011" s="1">
        <v>201.0</v>
      </c>
      <c r="O1011" s="1">
        <v>155.0</v>
      </c>
      <c r="P1011" s="1">
        <v>1.0</v>
      </c>
      <c r="Q1011" s="1" t="b">
        <v>0</v>
      </c>
      <c r="R1011" s="1">
        <v>100.0</v>
      </c>
      <c r="S1011" s="1" t="s">
        <v>301</v>
      </c>
      <c r="T1011" s="1" t="s">
        <v>422</v>
      </c>
      <c r="U1011" s="1"/>
    </row>
    <row r="1012">
      <c r="A1012" s="218">
        <v>45222.92762559028</v>
      </c>
      <c r="B1012" s="1" t="s">
        <v>56</v>
      </c>
      <c r="C1012" s="1" t="s">
        <v>133</v>
      </c>
      <c r="D1012" s="1">
        <v>3.0</v>
      </c>
      <c r="E1012" s="1">
        <v>4.0</v>
      </c>
      <c r="F1012" s="1" t="s">
        <v>1383</v>
      </c>
      <c r="G1012" s="218">
        <v>45226.8125</v>
      </c>
      <c r="H1012" s="1" t="s">
        <v>69</v>
      </c>
      <c r="I1012" s="1" t="s">
        <v>36</v>
      </c>
      <c r="J1012" s="219">
        <v>-5.5</v>
      </c>
      <c r="K1012" s="219">
        <v>-5.5</v>
      </c>
      <c r="L1012" s="219">
        <v>-215.0</v>
      </c>
      <c r="M1012" s="219" t="s">
        <v>843</v>
      </c>
      <c r="N1012" s="1">
        <v>169.0</v>
      </c>
      <c r="O1012" s="1">
        <v>175.0</v>
      </c>
      <c r="P1012" s="1">
        <v>1.0</v>
      </c>
      <c r="Q1012" s="1" t="b">
        <v>0</v>
      </c>
      <c r="R1012" s="1">
        <v>100.0</v>
      </c>
      <c r="S1012" s="1" t="s">
        <v>407</v>
      </c>
      <c r="T1012" s="1" t="s">
        <v>423</v>
      </c>
      <c r="U1012" s="1"/>
    </row>
    <row r="1013">
      <c r="A1013" s="218">
        <v>45222.92762559028</v>
      </c>
      <c r="B1013" s="1" t="s">
        <v>56</v>
      </c>
      <c r="C1013" s="1" t="s">
        <v>128</v>
      </c>
      <c r="D1013" s="1">
        <v>6.0</v>
      </c>
      <c r="E1013" s="1">
        <v>2.0</v>
      </c>
      <c r="F1013" s="1" t="s">
        <v>1384</v>
      </c>
      <c r="G1013" s="218">
        <v>45227.64583333333</v>
      </c>
      <c r="H1013" s="1" t="s">
        <v>69</v>
      </c>
      <c r="I1013" s="1" t="s">
        <v>90</v>
      </c>
      <c r="J1013" s="219">
        <v>-17.5</v>
      </c>
      <c r="K1013" s="219">
        <v>-17.5</v>
      </c>
      <c r="L1013" s="219">
        <v>660.0</v>
      </c>
      <c r="M1013" s="219" t="s">
        <v>852</v>
      </c>
      <c r="N1013" s="1">
        <v>287.0</v>
      </c>
      <c r="O1013" s="1">
        <v>131.0</v>
      </c>
      <c r="P1013" s="1">
        <v>1.0</v>
      </c>
      <c r="Q1013" s="1" t="b">
        <v>1</v>
      </c>
      <c r="R1013" s="1">
        <v>100.0</v>
      </c>
      <c r="S1013" s="1" t="s">
        <v>354</v>
      </c>
      <c r="T1013" s="1" t="s">
        <v>422</v>
      </c>
      <c r="U1013" s="1"/>
    </row>
    <row r="1014">
      <c r="A1014" s="218">
        <v>45222.92762559028</v>
      </c>
      <c r="B1014" s="1" t="s">
        <v>56</v>
      </c>
      <c r="C1014" s="1" t="s">
        <v>127</v>
      </c>
      <c r="D1014" s="1">
        <v>5.0</v>
      </c>
      <c r="E1014" s="1">
        <v>2.0</v>
      </c>
      <c r="F1014" s="1" t="s">
        <v>1366</v>
      </c>
      <c r="G1014" s="218">
        <v>45227.64583333333</v>
      </c>
      <c r="H1014" s="1" t="s">
        <v>35</v>
      </c>
      <c r="I1014" s="1" t="s">
        <v>86</v>
      </c>
      <c r="J1014" s="219">
        <v>20.5</v>
      </c>
      <c r="K1014" s="219">
        <v>15.5</v>
      </c>
      <c r="L1014" s="219">
        <v>-710.0</v>
      </c>
      <c r="M1014" s="219" t="s">
        <v>854</v>
      </c>
      <c r="N1014" s="1">
        <v>204.0</v>
      </c>
      <c r="O1014" s="1">
        <v>140.0</v>
      </c>
      <c r="P1014" s="1">
        <v>1.0</v>
      </c>
      <c r="Q1014" s="1" t="b">
        <v>0</v>
      </c>
      <c r="R1014" s="1">
        <v>100.0</v>
      </c>
      <c r="S1014" s="1" t="s">
        <v>292</v>
      </c>
      <c r="T1014" s="1" t="s">
        <v>422</v>
      </c>
      <c r="U1014" s="1"/>
    </row>
    <row r="1015">
      <c r="A1015" s="218">
        <v>45222.92762559028</v>
      </c>
      <c r="B1015" s="1" t="s">
        <v>56</v>
      </c>
      <c r="C1015" s="1" t="s">
        <v>124</v>
      </c>
      <c r="D1015" s="1">
        <v>4.0</v>
      </c>
      <c r="E1015" s="1">
        <v>3.0</v>
      </c>
      <c r="F1015" s="1" t="s">
        <v>1385</v>
      </c>
      <c r="G1015" s="218">
        <v>45227.64583333333</v>
      </c>
      <c r="H1015" s="1" t="s">
        <v>59</v>
      </c>
      <c r="I1015" s="1" t="s">
        <v>935</v>
      </c>
      <c r="J1015" s="219">
        <v>-1.5</v>
      </c>
      <c r="K1015" s="219">
        <v>-1.0</v>
      </c>
      <c r="L1015" s="219">
        <v>-114.0</v>
      </c>
      <c r="M1015" s="219" t="s">
        <v>151</v>
      </c>
      <c r="N1015" s="1">
        <v>161.0</v>
      </c>
      <c r="O1015" s="1">
        <v>140.0</v>
      </c>
      <c r="P1015" s="1">
        <v>1.0</v>
      </c>
      <c r="Q1015" s="1" t="b">
        <v>0</v>
      </c>
      <c r="R1015" s="1">
        <v>100.0</v>
      </c>
      <c r="S1015" s="1" t="s">
        <v>296</v>
      </c>
      <c r="T1015" s="1" t="s">
        <v>422</v>
      </c>
      <c r="U1015" s="1"/>
    </row>
    <row r="1016">
      <c r="A1016" s="218">
        <v>45222.92762559028</v>
      </c>
      <c r="B1016" s="1" t="s">
        <v>56</v>
      </c>
      <c r="C1016" s="1" t="s">
        <v>126</v>
      </c>
      <c r="D1016" s="1">
        <v>5.0</v>
      </c>
      <c r="E1016" s="1">
        <v>2.0</v>
      </c>
      <c r="F1016" s="1" t="s">
        <v>1386</v>
      </c>
      <c r="G1016" s="218">
        <v>45227.79166666667</v>
      </c>
      <c r="H1016" s="1" t="s">
        <v>46</v>
      </c>
      <c r="I1016" s="1" t="s">
        <v>935</v>
      </c>
      <c r="J1016" s="219">
        <v>5.5</v>
      </c>
      <c r="K1016" s="219">
        <v>6.0</v>
      </c>
      <c r="L1016" s="219">
        <v>-238.0</v>
      </c>
      <c r="M1016" s="219" t="s">
        <v>73</v>
      </c>
      <c r="N1016" s="1">
        <v>268.0</v>
      </c>
      <c r="O1016" s="1">
        <v>199.0</v>
      </c>
      <c r="P1016" s="1">
        <v>1.0</v>
      </c>
      <c r="Q1016" s="1" t="b">
        <v>1</v>
      </c>
      <c r="R1016" s="1">
        <v>100.0</v>
      </c>
      <c r="S1016" s="1" t="s">
        <v>355</v>
      </c>
      <c r="T1016" s="1" t="s">
        <v>423</v>
      </c>
      <c r="U1016" s="1"/>
    </row>
    <row r="1017">
      <c r="A1017" s="218">
        <v>45222.92762559028</v>
      </c>
      <c r="B1017" s="1" t="s">
        <v>56</v>
      </c>
      <c r="C1017" s="1" t="s">
        <v>129</v>
      </c>
      <c r="D1017" s="1">
        <v>3.0</v>
      </c>
      <c r="E1017" s="1">
        <v>5.0</v>
      </c>
      <c r="F1017" s="1" t="s">
        <v>1387</v>
      </c>
      <c r="G1017" s="218">
        <v>45227.99930555555</v>
      </c>
      <c r="H1017" s="1" t="s">
        <v>60</v>
      </c>
      <c r="I1017" s="1" t="s">
        <v>1077</v>
      </c>
      <c r="J1017" s="219"/>
      <c r="K1017" s="219"/>
      <c r="L1017" s="219"/>
      <c r="M1017" s="219"/>
      <c r="N1017" s="1">
        <v>262.0</v>
      </c>
      <c r="O1017" s="1">
        <v>247.0</v>
      </c>
      <c r="P1017" s="1">
        <v>1.0</v>
      </c>
      <c r="Q1017" s="1" t="b">
        <v>0</v>
      </c>
      <c r="R1017" s="1">
        <v>100.0</v>
      </c>
      <c r="S1017" s="1" t="s">
        <v>353</v>
      </c>
      <c r="T1017" s="1" t="s">
        <v>423</v>
      </c>
      <c r="U1017" s="1"/>
    </row>
    <row r="1018">
      <c r="A1018" s="218">
        <v>45222.92762559028</v>
      </c>
      <c r="B1018" s="1" t="s">
        <v>56</v>
      </c>
      <c r="C1018" s="1" t="s">
        <v>123</v>
      </c>
      <c r="D1018" s="1">
        <v>2.0</v>
      </c>
      <c r="E1018" s="1">
        <v>5.0</v>
      </c>
      <c r="F1018" s="1" t="s">
        <v>1388</v>
      </c>
      <c r="G1018" s="218">
        <v>45227.5</v>
      </c>
      <c r="H1018" s="1" t="s">
        <v>60</v>
      </c>
      <c r="I1018" s="1" t="s">
        <v>99</v>
      </c>
      <c r="J1018" s="219">
        <v>-13.5</v>
      </c>
      <c r="K1018" s="219">
        <v>-9.5</v>
      </c>
      <c r="L1018" s="219">
        <v>290.0</v>
      </c>
      <c r="M1018" s="219" t="s">
        <v>854</v>
      </c>
      <c r="N1018" s="1">
        <v>147.0</v>
      </c>
      <c r="O1018" s="1">
        <v>183.0</v>
      </c>
      <c r="P1018" s="1">
        <v>1.0</v>
      </c>
      <c r="Q1018" s="1" t="b">
        <v>0</v>
      </c>
      <c r="R1018" s="1">
        <v>100.0</v>
      </c>
      <c r="S1018" s="1" t="s">
        <v>351</v>
      </c>
      <c r="T1018" s="1" t="s">
        <v>423</v>
      </c>
      <c r="U1018" s="1"/>
    </row>
    <row r="1019">
      <c r="A1019" s="218">
        <v>45222.92762559028</v>
      </c>
      <c r="B1019" s="1" t="s">
        <v>56</v>
      </c>
      <c r="C1019" s="1" t="s">
        <v>135</v>
      </c>
      <c r="D1019" s="1">
        <v>6.0</v>
      </c>
      <c r="E1019" s="1">
        <v>1.0</v>
      </c>
      <c r="F1019" s="1" t="s">
        <v>1389</v>
      </c>
      <c r="G1019" s="218">
        <v>45227.5</v>
      </c>
      <c r="H1019" s="1" t="s">
        <v>70</v>
      </c>
      <c r="I1019" s="1" t="s">
        <v>86</v>
      </c>
      <c r="J1019" s="219">
        <v>-27.5</v>
      </c>
      <c r="K1019" s="219">
        <v>-30.5</v>
      </c>
      <c r="L1019" s="219">
        <v>1600.0</v>
      </c>
      <c r="M1019" s="219" t="s">
        <v>867</v>
      </c>
      <c r="N1019" s="1">
        <v>278.0</v>
      </c>
      <c r="O1019" s="1">
        <v>68.0</v>
      </c>
      <c r="P1019" s="1">
        <v>1.0</v>
      </c>
      <c r="Q1019" s="1" t="b">
        <v>1</v>
      </c>
      <c r="R1019" s="1">
        <v>100.0</v>
      </c>
      <c r="S1019" s="1" t="s">
        <v>282</v>
      </c>
      <c r="T1019" s="1" t="s">
        <v>422</v>
      </c>
      <c r="U1019" s="1"/>
    </row>
    <row r="1020">
      <c r="A1020" s="218">
        <v>45222.92762559028</v>
      </c>
      <c r="B1020" s="1" t="s">
        <v>56</v>
      </c>
      <c r="C1020" s="1" t="s">
        <v>120</v>
      </c>
      <c r="D1020" s="1">
        <v>7.0</v>
      </c>
      <c r="E1020" s="1">
        <v>1.0</v>
      </c>
      <c r="F1020" s="1"/>
      <c r="G1020" s="218"/>
      <c r="H1020" s="1"/>
      <c r="I1020" s="1"/>
      <c r="J1020" s="219"/>
      <c r="K1020" s="219"/>
      <c r="L1020" s="219"/>
      <c r="M1020" s="219"/>
      <c r="N1020" s="1">
        <v>279.0</v>
      </c>
      <c r="O1020" s="1">
        <v>161.0</v>
      </c>
      <c r="P1020" s="1">
        <v>3.0</v>
      </c>
      <c r="Q1020" s="1" t="b">
        <v>1</v>
      </c>
      <c r="R1020" s="1">
        <v>100.0</v>
      </c>
      <c r="S1020" s="1" t="s">
        <v>352</v>
      </c>
      <c r="T1020" s="1" t="s">
        <v>423</v>
      </c>
      <c r="U1020" s="1"/>
    </row>
    <row r="1021">
      <c r="A1021" s="218">
        <v>45222.92762559028</v>
      </c>
      <c r="B1021" s="1"/>
      <c r="C1021" s="1"/>
      <c r="D1021" s="1"/>
      <c r="E1021" s="1"/>
      <c r="F1021" s="1"/>
      <c r="G1021" s="218"/>
      <c r="H1021" s="1"/>
      <c r="I1021" s="1"/>
      <c r="J1021" s="219"/>
      <c r="K1021" s="219"/>
      <c r="L1021" s="219"/>
      <c r="M1021" s="219"/>
      <c r="N1021" s="1"/>
      <c r="O1021" s="1"/>
      <c r="P1021" s="1"/>
      <c r="Q1021" s="1"/>
      <c r="R1021" s="1"/>
      <c r="S1021" s="1" t="e">
        <v>#N/A</v>
      </c>
      <c r="T1021" s="1" t="e">
        <v>#N/A</v>
      </c>
      <c r="U1021" s="1"/>
    </row>
    <row r="1022">
      <c r="A1022" s="218">
        <v>45222.92762559028</v>
      </c>
      <c r="B1022" s="1" t="s">
        <v>60</v>
      </c>
      <c r="C1022" s="1" t="s">
        <v>164</v>
      </c>
      <c r="D1022" s="1">
        <v>6.0</v>
      </c>
      <c r="E1022" s="1">
        <v>1.0</v>
      </c>
      <c r="F1022" s="1" t="s">
        <v>1390</v>
      </c>
      <c r="G1022" s="218">
        <v>45227.64583333333</v>
      </c>
      <c r="H1022" s="1" t="s">
        <v>46</v>
      </c>
      <c r="I1022" s="1" t="s">
        <v>76</v>
      </c>
      <c r="J1022" s="219">
        <v>-4.5</v>
      </c>
      <c r="K1022" s="219">
        <v>-4.5</v>
      </c>
      <c r="L1022" s="219">
        <v>172.0</v>
      </c>
      <c r="M1022" s="219" t="s">
        <v>151</v>
      </c>
      <c r="N1022" s="1">
        <v>239.0</v>
      </c>
      <c r="O1022" s="1">
        <v>144.0</v>
      </c>
      <c r="P1022" s="1">
        <v>1.0</v>
      </c>
      <c r="Q1022" s="1" t="b">
        <v>1</v>
      </c>
      <c r="R1022" s="1">
        <v>100.0</v>
      </c>
      <c r="S1022" s="1" t="s">
        <v>301</v>
      </c>
      <c r="T1022" s="1" t="s">
        <v>422</v>
      </c>
      <c r="U1022" s="1"/>
    </row>
    <row r="1023">
      <c r="A1023" s="218">
        <v>45222.92762559028</v>
      </c>
      <c r="B1023" s="1" t="s">
        <v>60</v>
      </c>
      <c r="C1023" s="1" t="s">
        <v>178</v>
      </c>
      <c r="D1023" s="1">
        <v>2.0</v>
      </c>
      <c r="E1023" s="1">
        <v>5.0</v>
      </c>
      <c r="F1023" s="1" t="s">
        <v>1378</v>
      </c>
      <c r="G1023" s="218">
        <v>45227.64583333333</v>
      </c>
      <c r="H1023" s="1" t="s">
        <v>58</v>
      </c>
      <c r="I1023" s="1" t="s">
        <v>888</v>
      </c>
      <c r="J1023" s="219">
        <v>7.0</v>
      </c>
      <c r="K1023" s="219">
        <v>7.0</v>
      </c>
      <c r="L1023" s="219">
        <v>240.0</v>
      </c>
      <c r="M1023" s="219" t="s">
        <v>1336</v>
      </c>
      <c r="N1023" s="1">
        <v>132.0</v>
      </c>
      <c r="O1023" s="1">
        <v>195.0</v>
      </c>
      <c r="P1023" s="1">
        <v>1.0</v>
      </c>
      <c r="Q1023" s="1" t="b">
        <v>1</v>
      </c>
      <c r="R1023" s="1">
        <v>100.0</v>
      </c>
      <c r="S1023" s="1" t="s">
        <v>282</v>
      </c>
      <c r="T1023" s="1" t="s">
        <v>422</v>
      </c>
      <c r="U1023" s="1"/>
    </row>
    <row r="1024">
      <c r="A1024" s="218">
        <v>45222.92762559028</v>
      </c>
      <c r="B1024" s="1" t="s">
        <v>60</v>
      </c>
      <c r="C1024" s="1" t="s">
        <v>175</v>
      </c>
      <c r="D1024" s="1">
        <v>4.0</v>
      </c>
      <c r="E1024" s="1">
        <v>3.0</v>
      </c>
      <c r="F1024" s="1" t="s">
        <v>1391</v>
      </c>
      <c r="G1024" s="218">
        <v>45227.70833333333</v>
      </c>
      <c r="H1024" s="1" t="s">
        <v>67</v>
      </c>
      <c r="I1024" s="1" t="s">
        <v>935</v>
      </c>
      <c r="J1024" s="219"/>
      <c r="K1024" s="219"/>
      <c r="L1024" s="219"/>
      <c r="M1024" s="219"/>
      <c r="N1024" s="1">
        <v>230.0</v>
      </c>
      <c r="O1024" s="1">
        <v>195.0</v>
      </c>
      <c r="P1024" s="1">
        <v>1.0</v>
      </c>
      <c r="Q1024" s="1" t="b">
        <v>0</v>
      </c>
      <c r="R1024" s="1">
        <v>100.0</v>
      </c>
      <c r="S1024" s="1" t="s">
        <v>355</v>
      </c>
      <c r="T1024" s="1" t="s">
        <v>423</v>
      </c>
      <c r="U1024" s="1"/>
    </row>
    <row r="1025">
      <c r="A1025" s="218">
        <v>45222.92762559028</v>
      </c>
      <c r="B1025" s="1" t="s">
        <v>60</v>
      </c>
      <c r="C1025" s="1" t="s">
        <v>174</v>
      </c>
      <c r="D1025" s="1">
        <v>1.0</v>
      </c>
      <c r="E1025" s="1">
        <v>6.0</v>
      </c>
      <c r="F1025" s="1" t="s">
        <v>1392</v>
      </c>
      <c r="G1025" s="218">
        <v>45227.83333333333</v>
      </c>
      <c r="H1025" s="1" t="s">
        <v>125</v>
      </c>
      <c r="I1025" s="1" t="s">
        <v>287</v>
      </c>
      <c r="J1025" s="219">
        <v>6.5</v>
      </c>
      <c r="K1025" s="219">
        <v>6.5</v>
      </c>
      <c r="L1025" s="219">
        <v>-258.0</v>
      </c>
      <c r="M1025" s="219" t="s">
        <v>845</v>
      </c>
      <c r="N1025" s="1">
        <v>119.0</v>
      </c>
      <c r="O1025" s="1">
        <v>185.0</v>
      </c>
      <c r="P1025" s="1">
        <v>1.0</v>
      </c>
      <c r="Q1025" s="1" t="b">
        <v>0</v>
      </c>
      <c r="R1025" s="1">
        <v>100.0</v>
      </c>
      <c r="S1025" s="1" t="s">
        <v>354</v>
      </c>
      <c r="T1025" s="1" t="s">
        <v>422</v>
      </c>
      <c r="U1025" s="1"/>
    </row>
    <row r="1026">
      <c r="A1026" s="218">
        <v>45222.92762559028</v>
      </c>
      <c r="B1026" s="1" t="s">
        <v>60</v>
      </c>
      <c r="C1026" s="1" t="s">
        <v>173</v>
      </c>
      <c r="D1026" s="1">
        <v>2.0</v>
      </c>
      <c r="E1026" s="1">
        <v>6.0</v>
      </c>
      <c r="F1026" s="1" t="s">
        <v>1387</v>
      </c>
      <c r="G1026" s="218">
        <v>45227.99930555555</v>
      </c>
      <c r="H1026" s="1" t="s">
        <v>56</v>
      </c>
      <c r="I1026" s="1" t="s">
        <v>1077</v>
      </c>
      <c r="J1026" s="219">
        <v>8.0</v>
      </c>
      <c r="K1026" s="219">
        <v>8.5</v>
      </c>
      <c r="L1026" s="219">
        <v>-375.0</v>
      </c>
      <c r="M1026" s="219" t="s">
        <v>1393</v>
      </c>
      <c r="N1026" s="1">
        <v>188.0</v>
      </c>
      <c r="O1026" s="1">
        <v>291.0</v>
      </c>
      <c r="P1026" s="1">
        <v>1.0</v>
      </c>
      <c r="Q1026" s="1" t="b">
        <v>1</v>
      </c>
      <c r="R1026" s="1">
        <v>100.0</v>
      </c>
      <c r="S1026" s="1" t="s">
        <v>353</v>
      </c>
      <c r="T1026" s="1" t="s">
        <v>423</v>
      </c>
      <c r="U1026" s="1"/>
    </row>
    <row r="1027">
      <c r="A1027" s="218">
        <v>45222.92762559028</v>
      </c>
      <c r="B1027" s="1" t="s">
        <v>60</v>
      </c>
      <c r="C1027" s="1" t="s">
        <v>176</v>
      </c>
      <c r="D1027" s="1">
        <v>1.0</v>
      </c>
      <c r="E1027" s="1">
        <v>7.0</v>
      </c>
      <c r="F1027" s="1" t="s">
        <v>1388</v>
      </c>
      <c r="G1027" s="218">
        <v>45227.5</v>
      </c>
      <c r="H1027" s="1" t="s">
        <v>56</v>
      </c>
      <c r="I1027" s="1" t="s">
        <v>99</v>
      </c>
      <c r="J1027" s="219"/>
      <c r="K1027" s="219"/>
      <c r="L1027" s="219"/>
      <c r="M1027" s="219"/>
      <c r="N1027" s="1">
        <v>183.0</v>
      </c>
      <c r="O1027" s="1">
        <v>339.0</v>
      </c>
      <c r="P1027" s="1">
        <v>1.0</v>
      </c>
      <c r="Q1027" s="1" t="b">
        <v>1</v>
      </c>
      <c r="R1027" s="1">
        <v>100.0</v>
      </c>
      <c r="S1027" s="1" t="s">
        <v>351</v>
      </c>
      <c r="T1027" s="1" t="s">
        <v>423</v>
      </c>
      <c r="U1027" s="1"/>
    </row>
    <row r="1028">
      <c r="A1028" s="218">
        <v>45222.92762559028</v>
      </c>
      <c r="B1028" s="1" t="s">
        <v>60</v>
      </c>
      <c r="C1028" s="1" t="s">
        <v>179</v>
      </c>
      <c r="D1028" s="1">
        <v>7.0</v>
      </c>
      <c r="E1028" s="1">
        <v>0.0</v>
      </c>
      <c r="F1028" s="1" t="s">
        <v>1394</v>
      </c>
      <c r="G1028" s="218">
        <v>45227.5</v>
      </c>
      <c r="H1028" s="1" t="s">
        <v>70</v>
      </c>
      <c r="I1028" s="1" t="s">
        <v>92</v>
      </c>
      <c r="J1028" s="219">
        <v>-10.5</v>
      </c>
      <c r="K1028" s="219">
        <v>-9.5</v>
      </c>
      <c r="L1028" s="219">
        <v>-420.0</v>
      </c>
      <c r="M1028" s="219" t="s">
        <v>1363</v>
      </c>
      <c r="N1028" s="1">
        <v>302.0</v>
      </c>
      <c r="O1028" s="1">
        <v>113.0</v>
      </c>
      <c r="P1028" s="1">
        <v>1.0</v>
      </c>
      <c r="Q1028" s="1" t="b">
        <v>0</v>
      </c>
      <c r="R1028" s="1">
        <v>100.0</v>
      </c>
      <c r="S1028" s="1" t="s">
        <v>296</v>
      </c>
      <c r="T1028" s="1" t="s">
        <v>422</v>
      </c>
      <c r="U1028" s="1"/>
    </row>
    <row r="1029">
      <c r="A1029" s="218">
        <v>45222.92762559028</v>
      </c>
      <c r="B1029" s="1" t="s">
        <v>60</v>
      </c>
      <c r="C1029" s="1" t="s">
        <v>139</v>
      </c>
      <c r="D1029" s="1">
        <v>5.0</v>
      </c>
      <c r="E1029" s="1">
        <v>2.0</v>
      </c>
      <c r="F1029" s="1" t="s">
        <v>1395</v>
      </c>
      <c r="G1029" s="218">
        <v>45227.5</v>
      </c>
      <c r="H1029" s="1" t="s">
        <v>57</v>
      </c>
      <c r="I1029" s="1" t="s">
        <v>40</v>
      </c>
      <c r="J1029" s="219">
        <v>-19.5</v>
      </c>
      <c r="K1029" s="219">
        <v>-19.5</v>
      </c>
      <c r="L1029" s="219">
        <v>800.0</v>
      </c>
      <c r="M1029" s="219" t="s">
        <v>1396</v>
      </c>
      <c r="N1029" s="1">
        <v>255.0</v>
      </c>
      <c r="O1029" s="1">
        <v>102.0</v>
      </c>
      <c r="P1029" s="1">
        <v>1.0</v>
      </c>
      <c r="Q1029" s="1" t="b">
        <v>1</v>
      </c>
      <c r="R1029" s="1">
        <v>100.0</v>
      </c>
      <c r="S1029" s="1" t="s">
        <v>407</v>
      </c>
      <c r="T1029" s="1" t="s">
        <v>423</v>
      </c>
      <c r="U1029" s="1"/>
    </row>
    <row r="1030">
      <c r="A1030" s="218">
        <v>45222.92762559028</v>
      </c>
      <c r="B1030" s="1" t="s">
        <v>60</v>
      </c>
      <c r="C1030" s="1" t="s">
        <v>137</v>
      </c>
      <c r="D1030" s="1">
        <v>7.0</v>
      </c>
      <c r="E1030" s="1">
        <v>1.0</v>
      </c>
      <c r="F1030" s="1"/>
      <c r="G1030" s="218"/>
      <c r="H1030" s="1"/>
      <c r="I1030" s="1"/>
      <c r="J1030" s="219"/>
      <c r="K1030" s="219"/>
      <c r="L1030" s="219"/>
      <c r="M1030" s="219"/>
      <c r="N1030" s="1">
        <v>245.0</v>
      </c>
      <c r="O1030" s="1">
        <v>132.0</v>
      </c>
      <c r="P1030" s="1">
        <v>3.0</v>
      </c>
      <c r="Q1030" s="1" t="b">
        <v>1</v>
      </c>
      <c r="R1030" s="1">
        <v>100.0</v>
      </c>
      <c r="S1030" s="1" t="s">
        <v>292</v>
      </c>
      <c r="T1030" s="1" t="s">
        <v>422</v>
      </c>
      <c r="U1030" s="1"/>
    </row>
    <row r="1031">
      <c r="A1031" s="218">
        <v>45222.92762559028</v>
      </c>
      <c r="B1031" s="1" t="s">
        <v>60</v>
      </c>
      <c r="C1031" s="1" t="s">
        <v>177</v>
      </c>
      <c r="D1031" s="1">
        <v>2.0</v>
      </c>
      <c r="E1031" s="1">
        <v>6.0</v>
      </c>
      <c r="F1031" s="1"/>
      <c r="G1031" s="218"/>
      <c r="H1031" s="1"/>
      <c r="I1031" s="1"/>
      <c r="J1031" s="219"/>
      <c r="K1031" s="219"/>
      <c r="L1031" s="219"/>
      <c r="M1031" s="219"/>
      <c r="N1031" s="1">
        <v>129.0</v>
      </c>
      <c r="O1031" s="1">
        <v>232.0</v>
      </c>
      <c r="P1031" s="1">
        <v>3.0</v>
      </c>
      <c r="Q1031" s="1" t="b">
        <v>1</v>
      </c>
      <c r="R1031" s="1">
        <v>100.0</v>
      </c>
      <c r="S1031" s="1" t="s">
        <v>352</v>
      </c>
      <c r="T1031" s="1" t="s">
        <v>423</v>
      </c>
      <c r="U1031" s="1"/>
    </row>
    <row r="1032">
      <c r="A1032" s="218">
        <v>45222.92762559028</v>
      </c>
      <c r="B1032" s="1"/>
      <c r="C1032" s="1"/>
      <c r="D1032" s="1"/>
      <c r="E1032" s="1"/>
      <c r="F1032" s="1"/>
      <c r="G1032" s="218"/>
      <c r="H1032" s="1"/>
      <c r="I1032" s="1"/>
      <c r="J1032" s="219"/>
      <c r="K1032" s="219"/>
      <c r="L1032" s="219"/>
      <c r="M1032" s="219"/>
      <c r="N1032" s="1"/>
      <c r="O1032" s="1"/>
      <c r="P1032" s="1"/>
      <c r="Q1032" s="1"/>
      <c r="R1032" s="1"/>
      <c r="S1032" s="1" t="e">
        <v>#N/A</v>
      </c>
      <c r="T1032" s="1" t="e">
        <v>#N/A</v>
      </c>
      <c r="U1032" s="1"/>
    </row>
    <row r="1033">
      <c r="A1033" s="218">
        <v>45222.92762559028</v>
      </c>
      <c r="B1033" s="1" t="s">
        <v>46</v>
      </c>
      <c r="C1033" s="1" t="s">
        <v>187</v>
      </c>
      <c r="D1033" s="1">
        <v>5.0</v>
      </c>
      <c r="E1033" s="1">
        <v>2.0</v>
      </c>
      <c r="F1033" s="1" t="s">
        <v>1390</v>
      </c>
      <c r="G1033" s="218">
        <v>45227.64583333333</v>
      </c>
      <c r="H1033" s="1" t="s">
        <v>60</v>
      </c>
      <c r="I1033" s="1" t="s">
        <v>76</v>
      </c>
      <c r="J1033" s="219">
        <v>4.5</v>
      </c>
      <c r="K1033" s="219">
        <v>4.5</v>
      </c>
      <c r="L1033" s="219">
        <v>172.0</v>
      </c>
      <c r="M1033" s="219" t="s">
        <v>151</v>
      </c>
      <c r="N1033" s="1">
        <v>207.0</v>
      </c>
      <c r="O1033" s="1">
        <v>97.0</v>
      </c>
      <c r="P1033" s="1">
        <v>1.0</v>
      </c>
      <c r="Q1033" s="1" t="b">
        <v>0</v>
      </c>
      <c r="R1033" s="1">
        <v>100.0</v>
      </c>
      <c r="S1033" s="1" t="s">
        <v>301</v>
      </c>
      <c r="T1033" s="1" t="s">
        <v>422</v>
      </c>
      <c r="U1033" s="1"/>
    </row>
    <row r="1034">
      <c r="A1034" s="218">
        <v>45222.92762559028</v>
      </c>
      <c r="B1034" s="1" t="s">
        <v>46</v>
      </c>
      <c r="C1034" s="1" t="s">
        <v>182</v>
      </c>
      <c r="D1034" s="1">
        <v>6.0</v>
      </c>
      <c r="E1034" s="1">
        <v>1.0</v>
      </c>
      <c r="F1034" s="1" t="s">
        <v>1397</v>
      </c>
      <c r="G1034" s="218">
        <v>45227.66666666667</v>
      </c>
      <c r="H1034" s="1" t="s">
        <v>125</v>
      </c>
      <c r="I1034" s="1" t="s">
        <v>36</v>
      </c>
      <c r="J1034" s="219">
        <v>-10.5</v>
      </c>
      <c r="K1034" s="219">
        <v>-10.5</v>
      </c>
      <c r="L1034" s="219">
        <v>-480.0</v>
      </c>
      <c r="M1034" s="219" t="s">
        <v>68</v>
      </c>
      <c r="N1034" s="1">
        <v>215.0</v>
      </c>
      <c r="O1034" s="1">
        <v>136.0</v>
      </c>
      <c r="P1034" s="1">
        <v>1.0</v>
      </c>
      <c r="Q1034" s="1" t="b">
        <v>0</v>
      </c>
      <c r="R1034" s="1">
        <v>100.0</v>
      </c>
      <c r="S1034" s="1" t="s">
        <v>407</v>
      </c>
      <c r="T1034" s="1" t="s">
        <v>423</v>
      </c>
      <c r="U1034" s="1"/>
    </row>
    <row r="1035">
      <c r="A1035" s="218">
        <v>45222.92762559028</v>
      </c>
      <c r="B1035" s="1" t="s">
        <v>46</v>
      </c>
      <c r="C1035" s="1" t="s">
        <v>183</v>
      </c>
      <c r="D1035" s="1">
        <v>5.0</v>
      </c>
      <c r="E1035" s="1">
        <v>2.0</v>
      </c>
      <c r="F1035" s="1" t="s">
        <v>1398</v>
      </c>
      <c r="G1035" s="218">
        <v>45227.72916666667</v>
      </c>
      <c r="H1035" s="1" t="s">
        <v>59</v>
      </c>
      <c r="I1035" s="1" t="s">
        <v>1142</v>
      </c>
      <c r="J1035" s="219">
        <v>5.0</v>
      </c>
      <c r="K1035" s="219">
        <v>5.0</v>
      </c>
      <c r="L1035" s="219">
        <v>170.0</v>
      </c>
      <c r="M1035" s="219" t="s">
        <v>1399</v>
      </c>
      <c r="N1035" s="1">
        <v>184.0</v>
      </c>
      <c r="O1035" s="1">
        <v>179.0</v>
      </c>
      <c r="P1035" s="1">
        <v>1.0</v>
      </c>
      <c r="Q1035" s="1" t="b">
        <v>1</v>
      </c>
      <c r="R1035" s="1">
        <v>100.0</v>
      </c>
      <c r="S1035" s="1" t="s">
        <v>353</v>
      </c>
      <c r="T1035" s="1" t="s">
        <v>423</v>
      </c>
      <c r="U1035" s="1"/>
    </row>
    <row r="1036">
      <c r="A1036" s="218">
        <v>45222.92762559028</v>
      </c>
      <c r="B1036" s="1" t="s">
        <v>46</v>
      </c>
      <c r="C1036" s="1" t="s">
        <v>181</v>
      </c>
      <c r="D1036" s="1">
        <v>5.0</v>
      </c>
      <c r="E1036" s="1">
        <v>2.0</v>
      </c>
      <c r="F1036" s="1" t="s">
        <v>1386</v>
      </c>
      <c r="G1036" s="218">
        <v>45227.79166666667</v>
      </c>
      <c r="H1036" s="1" t="s">
        <v>56</v>
      </c>
      <c r="I1036" s="1" t="s">
        <v>935</v>
      </c>
      <c r="J1036" s="219">
        <v>-5.5</v>
      </c>
      <c r="K1036" s="219">
        <v>-6.0</v>
      </c>
      <c r="L1036" s="219">
        <v>-238.0</v>
      </c>
      <c r="M1036" s="219" t="s">
        <v>73</v>
      </c>
      <c r="N1036" s="1">
        <v>186.0</v>
      </c>
      <c r="O1036" s="1">
        <v>122.0</v>
      </c>
      <c r="P1036" s="1">
        <v>1.0</v>
      </c>
      <c r="Q1036" s="1" t="b">
        <v>0</v>
      </c>
      <c r="R1036" s="1">
        <v>100.0</v>
      </c>
      <c r="S1036" s="1" t="s">
        <v>355</v>
      </c>
      <c r="T1036" s="1" t="s">
        <v>423</v>
      </c>
      <c r="U1036" s="1"/>
    </row>
    <row r="1037">
      <c r="A1037" s="218">
        <v>45222.92762559028</v>
      </c>
      <c r="B1037" s="1" t="s">
        <v>46</v>
      </c>
      <c r="C1037" s="1" t="s">
        <v>180</v>
      </c>
      <c r="D1037" s="1">
        <v>7.0</v>
      </c>
      <c r="E1037" s="1">
        <v>0.0</v>
      </c>
      <c r="F1037" s="1" t="s">
        <v>1400</v>
      </c>
      <c r="G1037" s="218">
        <v>45227.79166666667</v>
      </c>
      <c r="H1037" s="1" t="s">
        <v>70</v>
      </c>
      <c r="I1037" s="1" t="s">
        <v>96</v>
      </c>
      <c r="J1037" s="219">
        <v>-26.5</v>
      </c>
      <c r="K1037" s="219">
        <v>-26.5</v>
      </c>
      <c r="L1037" s="219">
        <v>-4500.0</v>
      </c>
      <c r="M1037" s="219" t="s">
        <v>954</v>
      </c>
      <c r="N1037" s="1">
        <v>281.0</v>
      </c>
      <c r="O1037" s="1">
        <v>132.0</v>
      </c>
      <c r="P1037" s="1">
        <v>1.0</v>
      </c>
      <c r="Q1037" s="1" t="b">
        <v>0</v>
      </c>
      <c r="R1037" s="1">
        <v>100.0</v>
      </c>
      <c r="S1037" s="1" t="s">
        <v>354</v>
      </c>
      <c r="T1037" s="1" t="s">
        <v>422</v>
      </c>
      <c r="U1037" s="1"/>
    </row>
    <row r="1038">
      <c r="A1038" s="218">
        <v>45222.92762559028</v>
      </c>
      <c r="B1038" s="1" t="s">
        <v>46</v>
      </c>
      <c r="C1038" s="1" t="s">
        <v>184</v>
      </c>
      <c r="D1038" s="1">
        <v>2.0</v>
      </c>
      <c r="E1038" s="1">
        <v>5.0</v>
      </c>
      <c r="F1038" s="1" t="s">
        <v>1401</v>
      </c>
      <c r="G1038" s="218">
        <v>45227.5</v>
      </c>
      <c r="H1038" s="1" t="s">
        <v>125</v>
      </c>
      <c r="I1038" s="1" t="s">
        <v>76</v>
      </c>
      <c r="J1038" s="219">
        <v>14.0</v>
      </c>
      <c r="K1038" s="219">
        <v>14.0</v>
      </c>
      <c r="L1038" s="219">
        <v>430.0</v>
      </c>
      <c r="M1038" s="219" t="s">
        <v>114</v>
      </c>
      <c r="N1038" s="1">
        <v>186.0</v>
      </c>
      <c r="O1038" s="1">
        <v>222.0</v>
      </c>
      <c r="P1038" s="1">
        <v>1.0</v>
      </c>
      <c r="Q1038" s="1" t="b">
        <v>1</v>
      </c>
      <c r="R1038" s="1">
        <v>100.0</v>
      </c>
      <c r="S1038" s="1" t="s">
        <v>292</v>
      </c>
      <c r="T1038" s="1" t="s">
        <v>422</v>
      </c>
      <c r="U1038" s="1"/>
    </row>
    <row r="1039">
      <c r="A1039" s="218">
        <v>45222.92762559028</v>
      </c>
      <c r="B1039" s="1" t="s">
        <v>46</v>
      </c>
      <c r="C1039" s="1" t="s">
        <v>188</v>
      </c>
      <c r="D1039" s="1">
        <v>3.0</v>
      </c>
      <c r="E1039" s="1">
        <v>5.0</v>
      </c>
      <c r="F1039" s="1"/>
      <c r="G1039" s="218"/>
      <c r="H1039" s="1"/>
      <c r="I1039" s="1"/>
      <c r="J1039" s="219"/>
      <c r="K1039" s="219"/>
      <c r="L1039" s="219"/>
      <c r="M1039" s="219"/>
      <c r="N1039" s="1">
        <v>240.0</v>
      </c>
      <c r="O1039" s="1">
        <v>203.0</v>
      </c>
      <c r="P1039" s="1">
        <v>3.0</v>
      </c>
      <c r="Q1039" s="1" t="b">
        <v>1</v>
      </c>
      <c r="R1039" s="1">
        <v>100.0</v>
      </c>
      <c r="S1039" s="1" t="s">
        <v>296</v>
      </c>
      <c r="T1039" s="1" t="s">
        <v>422</v>
      </c>
      <c r="U1039" s="1"/>
    </row>
    <row r="1040">
      <c r="A1040" s="218">
        <v>45222.92762559028</v>
      </c>
      <c r="B1040" s="1" t="s">
        <v>46</v>
      </c>
      <c r="C1040" s="1" t="s">
        <v>186</v>
      </c>
      <c r="D1040" s="1">
        <v>3.0</v>
      </c>
      <c r="E1040" s="1">
        <v>5.0</v>
      </c>
      <c r="F1040" s="1"/>
      <c r="G1040" s="218"/>
      <c r="H1040" s="1"/>
      <c r="I1040" s="1"/>
      <c r="J1040" s="219"/>
      <c r="K1040" s="219"/>
      <c r="L1040" s="219"/>
      <c r="M1040" s="219"/>
      <c r="N1040" s="1">
        <v>163.0</v>
      </c>
      <c r="O1040" s="1">
        <v>222.0</v>
      </c>
      <c r="P1040" s="1">
        <v>3.0</v>
      </c>
      <c r="Q1040" s="1" t="b">
        <v>1</v>
      </c>
      <c r="R1040" s="1">
        <v>100.0</v>
      </c>
      <c r="S1040" s="1" t="s">
        <v>282</v>
      </c>
      <c r="T1040" s="1" t="s">
        <v>422</v>
      </c>
      <c r="U1040" s="1"/>
    </row>
    <row r="1041">
      <c r="A1041" s="218">
        <v>45222.92762559028</v>
      </c>
      <c r="B1041" s="1" t="s">
        <v>46</v>
      </c>
      <c r="C1041" s="1" t="s">
        <v>189</v>
      </c>
      <c r="D1041" s="1">
        <v>1.0</v>
      </c>
      <c r="E1041" s="1">
        <v>7.0</v>
      </c>
      <c r="F1041" s="1"/>
      <c r="G1041" s="218"/>
      <c r="H1041" s="1"/>
      <c r="I1041" s="1"/>
      <c r="J1041" s="219"/>
      <c r="K1041" s="219"/>
      <c r="L1041" s="219"/>
      <c r="M1041" s="219"/>
      <c r="N1041" s="1">
        <v>123.0</v>
      </c>
      <c r="O1041" s="1">
        <v>235.0</v>
      </c>
      <c r="P1041" s="1">
        <v>3.0</v>
      </c>
      <c r="Q1041" s="1" t="b">
        <v>1</v>
      </c>
      <c r="R1041" s="1">
        <v>100.0</v>
      </c>
      <c r="S1041" s="1" t="s">
        <v>352</v>
      </c>
      <c r="T1041" s="1" t="s">
        <v>423</v>
      </c>
      <c r="U1041" s="1"/>
    </row>
    <row r="1042">
      <c r="A1042" s="218">
        <v>45222.92762559028</v>
      </c>
      <c r="B1042" s="1" t="s">
        <v>46</v>
      </c>
      <c r="C1042" s="1" t="s">
        <v>185</v>
      </c>
      <c r="D1042" s="1">
        <v>6.0</v>
      </c>
      <c r="E1042" s="1">
        <v>2.0</v>
      </c>
      <c r="F1042" s="1"/>
      <c r="G1042" s="218"/>
      <c r="H1042" s="1"/>
      <c r="I1042" s="1"/>
      <c r="J1042" s="219"/>
      <c r="K1042" s="219"/>
      <c r="L1042" s="219"/>
      <c r="M1042" s="219"/>
      <c r="N1042" s="1">
        <v>225.0</v>
      </c>
      <c r="O1042" s="1">
        <v>126.0</v>
      </c>
      <c r="P1042" s="1">
        <v>3.0</v>
      </c>
      <c r="Q1042" s="1" t="b">
        <v>1</v>
      </c>
      <c r="R1042" s="1">
        <v>100.0</v>
      </c>
      <c r="S1042" s="1" t="s">
        <v>351</v>
      </c>
      <c r="T1042" s="1" t="s">
        <v>423</v>
      </c>
      <c r="U1042" s="1"/>
    </row>
    <row r="1043">
      <c r="A1043" s="218">
        <v>45222.92762559028</v>
      </c>
      <c r="B1043" s="1"/>
      <c r="C1043" s="1"/>
      <c r="D1043" s="1"/>
      <c r="E1043" s="1"/>
      <c r="F1043" s="1"/>
      <c r="G1043" s="218"/>
      <c r="H1043" s="1"/>
      <c r="I1043" s="1"/>
      <c r="J1043" s="219"/>
      <c r="K1043" s="219"/>
      <c r="L1043" s="219"/>
      <c r="M1043" s="219"/>
      <c r="N1043" s="1"/>
      <c r="O1043" s="1"/>
      <c r="P1043" s="1"/>
      <c r="Q1043" s="1"/>
      <c r="R1043" s="1"/>
      <c r="S1043" s="1" t="e">
        <v>#N/A</v>
      </c>
      <c r="T1043" s="1" t="e">
        <v>#N/A</v>
      </c>
      <c r="U1043" s="1"/>
    </row>
    <row r="1044">
      <c r="A1044" s="218">
        <v>45222.92762559028</v>
      </c>
      <c r="B1044" s="1" t="s">
        <v>70</v>
      </c>
      <c r="C1044" s="1" t="s">
        <v>194</v>
      </c>
      <c r="D1044" s="1">
        <v>2.0</v>
      </c>
      <c r="E1044" s="1">
        <v>6.0</v>
      </c>
      <c r="F1044" s="1" t="s">
        <v>1364</v>
      </c>
      <c r="G1044" s="218">
        <v>45224.83333333333</v>
      </c>
      <c r="H1044" s="1" t="s">
        <v>35</v>
      </c>
      <c r="I1044" s="1" t="s">
        <v>36</v>
      </c>
      <c r="J1044" s="219">
        <v>1.5</v>
      </c>
      <c r="K1044" s="219">
        <v>3.5</v>
      </c>
      <c r="L1044" s="219">
        <v>146.0</v>
      </c>
      <c r="M1044" s="219" t="s">
        <v>1365</v>
      </c>
      <c r="N1044" s="1">
        <v>131.0</v>
      </c>
      <c r="O1044" s="1">
        <v>211.0</v>
      </c>
      <c r="P1044" s="1">
        <v>1.0</v>
      </c>
      <c r="Q1044" s="1" t="b">
        <v>1</v>
      </c>
      <c r="R1044" s="1">
        <v>100.0</v>
      </c>
      <c r="S1044" s="1" t="s">
        <v>351</v>
      </c>
      <c r="T1044" s="1" t="s">
        <v>423</v>
      </c>
      <c r="U1044" s="1"/>
    </row>
    <row r="1045">
      <c r="A1045" s="218">
        <v>45222.92762559028</v>
      </c>
      <c r="B1045" s="1" t="s">
        <v>70</v>
      </c>
      <c r="C1045" s="1" t="s">
        <v>191</v>
      </c>
      <c r="D1045" s="1">
        <v>4.0</v>
      </c>
      <c r="E1045" s="1">
        <v>3.0</v>
      </c>
      <c r="F1045" s="1" t="s">
        <v>1402</v>
      </c>
      <c r="G1045" s="218">
        <v>45227.58333333333</v>
      </c>
      <c r="H1045" s="1" t="s">
        <v>61</v>
      </c>
      <c r="I1045" s="1" t="s">
        <v>1019</v>
      </c>
      <c r="J1045" s="219">
        <v>-10.0</v>
      </c>
      <c r="K1045" s="219">
        <v>-10.0</v>
      </c>
      <c r="L1045" s="219">
        <v>-380.0</v>
      </c>
      <c r="M1045" s="219" t="s">
        <v>1403</v>
      </c>
      <c r="N1045" s="1">
        <v>213.0</v>
      </c>
      <c r="O1045" s="1">
        <v>144.0</v>
      </c>
      <c r="P1045" s="1">
        <v>1.0</v>
      </c>
      <c r="Q1045" s="1" t="b">
        <v>1</v>
      </c>
      <c r="R1045" s="1">
        <v>100.0</v>
      </c>
      <c r="S1045" s="1" t="s">
        <v>301</v>
      </c>
      <c r="T1045" s="1" t="s">
        <v>422</v>
      </c>
      <c r="U1045" s="1"/>
    </row>
    <row r="1046">
      <c r="A1046" s="218">
        <v>45222.92762559028</v>
      </c>
      <c r="B1046" s="1" t="s">
        <v>70</v>
      </c>
      <c r="C1046" s="1" t="s">
        <v>198</v>
      </c>
      <c r="D1046" s="1">
        <v>4.0</v>
      </c>
      <c r="E1046" s="1">
        <v>3.0</v>
      </c>
      <c r="F1046" s="1" t="s">
        <v>1404</v>
      </c>
      <c r="G1046" s="218">
        <v>45227.64583333333</v>
      </c>
      <c r="H1046" s="1" t="s">
        <v>62</v>
      </c>
      <c r="I1046" s="1" t="s">
        <v>935</v>
      </c>
      <c r="J1046" s="219">
        <v>-18.0</v>
      </c>
      <c r="K1046" s="219">
        <v>-17.0</v>
      </c>
      <c r="L1046" s="219">
        <v>600.0</v>
      </c>
      <c r="M1046" s="219" t="s">
        <v>1405</v>
      </c>
      <c r="N1046" s="1">
        <v>203.0</v>
      </c>
      <c r="O1046" s="1">
        <v>176.0</v>
      </c>
      <c r="P1046" s="1">
        <v>1.0</v>
      </c>
      <c r="Q1046" s="1" t="b">
        <v>1</v>
      </c>
      <c r="R1046" s="1">
        <v>100.0</v>
      </c>
      <c r="S1046" s="1" t="s">
        <v>407</v>
      </c>
      <c r="T1046" s="1" t="s">
        <v>423</v>
      </c>
      <c r="U1046" s="1"/>
    </row>
    <row r="1047">
      <c r="A1047" s="218">
        <v>45222.92762559028</v>
      </c>
      <c r="B1047" s="1" t="s">
        <v>70</v>
      </c>
      <c r="C1047" s="1" t="s">
        <v>197</v>
      </c>
      <c r="D1047" s="1">
        <v>1.0</v>
      </c>
      <c r="E1047" s="1">
        <v>6.0</v>
      </c>
      <c r="F1047" s="1" t="s">
        <v>1367</v>
      </c>
      <c r="G1047" s="218">
        <v>45227.64583333333</v>
      </c>
      <c r="H1047" s="1" t="s">
        <v>35</v>
      </c>
      <c r="I1047" s="1" t="s">
        <v>935</v>
      </c>
      <c r="J1047" s="219"/>
      <c r="K1047" s="219"/>
      <c r="L1047" s="219"/>
      <c r="M1047" s="219"/>
      <c r="N1047" s="1">
        <v>145.0</v>
      </c>
      <c r="O1047" s="1">
        <v>267.0</v>
      </c>
      <c r="P1047" s="1">
        <v>1.0</v>
      </c>
      <c r="Q1047" s="1" t="b">
        <v>1</v>
      </c>
      <c r="R1047" s="1">
        <v>100.0</v>
      </c>
      <c r="S1047" s="1" t="s">
        <v>355</v>
      </c>
      <c r="T1047" s="1" t="s">
        <v>423</v>
      </c>
      <c r="U1047" s="1"/>
    </row>
    <row r="1048">
      <c r="A1048" s="218">
        <v>45222.92762559028</v>
      </c>
      <c r="B1048" s="1" t="s">
        <v>70</v>
      </c>
      <c r="C1048" s="1" t="s">
        <v>196</v>
      </c>
      <c r="D1048" s="1">
        <v>5.0</v>
      </c>
      <c r="E1048" s="1">
        <v>2.0</v>
      </c>
      <c r="F1048" s="1" t="s">
        <v>1406</v>
      </c>
      <c r="G1048" s="218">
        <v>45227.79166666667</v>
      </c>
      <c r="H1048" s="1" t="s">
        <v>61</v>
      </c>
      <c r="I1048" s="1" t="s">
        <v>76</v>
      </c>
      <c r="J1048" s="219">
        <v>4.5</v>
      </c>
      <c r="K1048" s="219">
        <v>3.5</v>
      </c>
      <c r="L1048" s="219">
        <v>-160.0</v>
      </c>
      <c r="M1048" s="219" t="s">
        <v>845</v>
      </c>
      <c r="N1048" s="1">
        <v>219.0</v>
      </c>
      <c r="O1048" s="1">
        <v>165.0</v>
      </c>
      <c r="P1048" s="1">
        <v>1.0</v>
      </c>
      <c r="Q1048" s="1" t="b">
        <v>0</v>
      </c>
      <c r="R1048" s="1">
        <v>100.0</v>
      </c>
      <c r="S1048" s="1" t="s">
        <v>292</v>
      </c>
      <c r="T1048" s="1" t="s">
        <v>422</v>
      </c>
      <c r="U1048" s="1"/>
    </row>
    <row r="1049">
      <c r="A1049" s="218">
        <v>45222.92762559028</v>
      </c>
      <c r="B1049" s="1" t="s">
        <v>70</v>
      </c>
      <c r="C1049" s="1" t="s">
        <v>193</v>
      </c>
      <c r="D1049" s="1">
        <v>2.0</v>
      </c>
      <c r="E1049" s="1">
        <v>5.0</v>
      </c>
      <c r="F1049" s="1" t="s">
        <v>1400</v>
      </c>
      <c r="G1049" s="218">
        <v>45227.79166666667</v>
      </c>
      <c r="H1049" s="1" t="s">
        <v>46</v>
      </c>
      <c r="I1049" s="1" t="s">
        <v>96</v>
      </c>
      <c r="J1049" s="219">
        <v>26.5</v>
      </c>
      <c r="K1049" s="219">
        <v>26.5</v>
      </c>
      <c r="L1049" s="219">
        <v>-4500.0</v>
      </c>
      <c r="M1049" s="219" t="s">
        <v>954</v>
      </c>
      <c r="N1049" s="1">
        <v>149.0</v>
      </c>
      <c r="O1049" s="1">
        <v>258.0</v>
      </c>
      <c r="P1049" s="1">
        <v>1.0</v>
      </c>
      <c r="Q1049" s="1" t="b">
        <v>1</v>
      </c>
      <c r="R1049" s="1">
        <v>100.0</v>
      </c>
      <c r="S1049" s="1" t="s">
        <v>354</v>
      </c>
      <c r="T1049" s="1" t="s">
        <v>422</v>
      </c>
      <c r="U1049" s="1"/>
    </row>
    <row r="1050">
      <c r="A1050" s="218">
        <v>45222.92762559028</v>
      </c>
      <c r="B1050" s="1" t="s">
        <v>70</v>
      </c>
      <c r="C1050" s="1" t="s">
        <v>192</v>
      </c>
      <c r="D1050" s="1">
        <v>5.0</v>
      </c>
      <c r="E1050" s="1">
        <v>2.0</v>
      </c>
      <c r="F1050" s="1" t="s">
        <v>1394</v>
      </c>
      <c r="G1050" s="218">
        <v>45227.5</v>
      </c>
      <c r="H1050" s="1" t="s">
        <v>60</v>
      </c>
      <c r="I1050" s="1" t="s">
        <v>92</v>
      </c>
      <c r="J1050" s="219">
        <v>10.5</v>
      </c>
      <c r="K1050" s="219">
        <v>9.5</v>
      </c>
      <c r="L1050" s="219">
        <v>-420.0</v>
      </c>
      <c r="M1050" s="219" t="s">
        <v>1363</v>
      </c>
      <c r="N1050" s="1">
        <v>248.0</v>
      </c>
      <c r="O1050" s="1">
        <v>192.0</v>
      </c>
      <c r="P1050" s="1">
        <v>1.0</v>
      </c>
      <c r="Q1050" s="1" t="b">
        <v>1</v>
      </c>
      <c r="R1050" s="1">
        <v>100.0</v>
      </c>
      <c r="S1050" s="1" t="s">
        <v>296</v>
      </c>
      <c r="T1050" s="1" t="s">
        <v>422</v>
      </c>
      <c r="U1050" s="1"/>
    </row>
    <row r="1051">
      <c r="A1051" s="218">
        <v>45222.92762559028</v>
      </c>
      <c r="B1051" s="1" t="s">
        <v>70</v>
      </c>
      <c r="C1051" s="1" t="s">
        <v>195</v>
      </c>
      <c r="D1051" s="1">
        <v>2.0</v>
      </c>
      <c r="E1051" s="1">
        <v>5.0</v>
      </c>
      <c r="F1051" s="1" t="s">
        <v>1389</v>
      </c>
      <c r="G1051" s="218">
        <v>45227.5</v>
      </c>
      <c r="H1051" s="1" t="s">
        <v>56</v>
      </c>
      <c r="I1051" s="1" t="s">
        <v>86</v>
      </c>
      <c r="J1051" s="219">
        <v>27.5</v>
      </c>
      <c r="K1051" s="219">
        <v>30.5</v>
      </c>
      <c r="L1051" s="219">
        <v>1600.0</v>
      </c>
      <c r="M1051" s="219" t="s">
        <v>867</v>
      </c>
      <c r="N1051" s="1">
        <v>125.0</v>
      </c>
      <c r="O1051" s="1">
        <v>205.0</v>
      </c>
      <c r="P1051" s="1">
        <v>1.0</v>
      </c>
      <c r="Q1051" s="1" t="b">
        <v>0</v>
      </c>
      <c r="R1051" s="1">
        <v>100.0</v>
      </c>
      <c r="S1051" s="1" t="s">
        <v>282</v>
      </c>
      <c r="T1051" s="1" t="s">
        <v>422</v>
      </c>
      <c r="U1051" s="1"/>
    </row>
    <row r="1052">
      <c r="A1052" s="218">
        <v>45222.92762559028</v>
      </c>
      <c r="B1052" s="1" t="s">
        <v>70</v>
      </c>
      <c r="C1052" s="1" t="s">
        <v>190</v>
      </c>
      <c r="D1052" s="1">
        <v>3.0</v>
      </c>
      <c r="E1052" s="1">
        <v>5.0</v>
      </c>
      <c r="F1052" s="1"/>
      <c r="G1052" s="218"/>
      <c r="H1052" s="1"/>
      <c r="I1052" s="1"/>
      <c r="J1052" s="219"/>
      <c r="K1052" s="219"/>
      <c r="L1052" s="219"/>
      <c r="M1052" s="219"/>
      <c r="N1052" s="1">
        <v>157.0</v>
      </c>
      <c r="O1052" s="1">
        <v>225.0</v>
      </c>
      <c r="P1052" s="1">
        <v>3.0</v>
      </c>
      <c r="Q1052" s="1" t="b">
        <v>1</v>
      </c>
      <c r="R1052" s="1">
        <v>100.0</v>
      </c>
      <c r="S1052" s="1" t="s">
        <v>353</v>
      </c>
      <c r="T1052" s="1" t="s">
        <v>423</v>
      </c>
      <c r="U1052" s="1"/>
    </row>
    <row r="1053">
      <c r="A1053" s="218">
        <v>45222.92762559028</v>
      </c>
      <c r="B1053" s="1" t="s">
        <v>70</v>
      </c>
      <c r="C1053" s="1" t="s">
        <v>199</v>
      </c>
      <c r="D1053" s="1">
        <v>3.0</v>
      </c>
      <c r="E1053" s="1">
        <v>5.0</v>
      </c>
      <c r="F1053" s="1"/>
      <c r="G1053" s="218"/>
      <c r="H1053" s="1"/>
      <c r="I1053" s="1"/>
      <c r="J1053" s="219"/>
      <c r="K1053" s="219"/>
      <c r="L1053" s="219"/>
      <c r="M1053" s="219"/>
      <c r="N1053" s="1">
        <v>207.0</v>
      </c>
      <c r="O1053" s="1">
        <v>231.0</v>
      </c>
      <c r="P1053" s="1">
        <v>3.0</v>
      </c>
      <c r="Q1053" s="1" t="b">
        <v>1</v>
      </c>
      <c r="R1053" s="1">
        <v>100.0</v>
      </c>
      <c r="S1053" s="1" t="s">
        <v>352</v>
      </c>
      <c r="T1053" s="1" t="s">
        <v>423</v>
      </c>
      <c r="U1053" s="1"/>
    </row>
    <row r="1054">
      <c r="A1054" s="218">
        <v>45222.92762559028</v>
      </c>
      <c r="B1054" s="1"/>
      <c r="C1054" s="1"/>
      <c r="D1054" s="1"/>
      <c r="E1054" s="1"/>
      <c r="F1054" s="1"/>
      <c r="G1054" s="218"/>
      <c r="H1054" s="1"/>
      <c r="I1054" s="1"/>
      <c r="J1054" s="219"/>
      <c r="K1054" s="219"/>
      <c r="L1054" s="219"/>
      <c r="M1054" s="219"/>
      <c r="N1054" s="1"/>
      <c r="O1054" s="1"/>
      <c r="P1054" s="1"/>
      <c r="Q1054" s="1"/>
      <c r="R1054" s="1"/>
      <c r="S1054" s="1" t="e">
        <v>#N/A</v>
      </c>
      <c r="T1054" s="1" t="e">
        <v>#N/A</v>
      </c>
      <c r="U1054" s="1"/>
    </row>
    <row r="1055">
      <c r="A1055" s="218">
        <v>45222.92762559028</v>
      </c>
      <c r="B1055" s="1" t="s">
        <v>57</v>
      </c>
      <c r="C1055" s="1" t="s">
        <v>201</v>
      </c>
      <c r="D1055" s="1">
        <v>5.0</v>
      </c>
      <c r="E1055" s="1">
        <v>3.0</v>
      </c>
      <c r="F1055" s="1" t="s">
        <v>1407</v>
      </c>
      <c r="G1055" s="218">
        <v>45223.79166666667</v>
      </c>
      <c r="H1055" s="1" t="s">
        <v>69</v>
      </c>
      <c r="I1055" s="1" t="s">
        <v>99</v>
      </c>
      <c r="J1055" s="219">
        <v>3.0</v>
      </c>
      <c r="K1055" s="219">
        <v>2.5</v>
      </c>
      <c r="L1055" s="219">
        <v>110.0</v>
      </c>
      <c r="M1055" s="219" t="s">
        <v>845</v>
      </c>
      <c r="N1055" s="1">
        <v>238.0</v>
      </c>
      <c r="O1055" s="1">
        <v>169.0</v>
      </c>
      <c r="P1055" s="1">
        <v>1.0</v>
      </c>
      <c r="Q1055" s="1" t="b">
        <v>0</v>
      </c>
      <c r="R1055" s="1">
        <v>100.0</v>
      </c>
      <c r="S1055" s="1" t="s">
        <v>351</v>
      </c>
      <c r="T1055" s="1" t="s">
        <v>423</v>
      </c>
      <c r="U1055" s="1"/>
    </row>
    <row r="1056">
      <c r="A1056" s="218">
        <v>45222.92762559028</v>
      </c>
      <c r="B1056" s="1" t="s">
        <v>57</v>
      </c>
      <c r="C1056" s="1" t="s">
        <v>214</v>
      </c>
      <c r="D1056" s="1">
        <v>6.0</v>
      </c>
      <c r="E1056" s="1">
        <v>2.0</v>
      </c>
      <c r="F1056" s="1" t="s">
        <v>1408</v>
      </c>
      <c r="G1056" s="218">
        <v>45227.64583333333</v>
      </c>
      <c r="H1056" s="1" t="s">
        <v>62</v>
      </c>
      <c r="I1056" s="1" t="s">
        <v>99</v>
      </c>
      <c r="J1056" s="219">
        <v>-7.0</v>
      </c>
      <c r="K1056" s="219">
        <v>-7.0</v>
      </c>
      <c r="L1056" s="219">
        <v>215.0</v>
      </c>
      <c r="M1056" s="219" t="s">
        <v>1409</v>
      </c>
      <c r="N1056" s="1">
        <v>180.0</v>
      </c>
      <c r="O1056" s="1">
        <v>111.0</v>
      </c>
      <c r="P1056" s="1">
        <v>1.0</v>
      </c>
      <c r="Q1056" s="1" t="b">
        <v>1</v>
      </c>
      <c r="R1056" s="1">
        <v>100.0</v>
      </c>
      <c r="S1056" s="1" t="s">
        <v>352</v>
      </c>
      <c r="T1056" s="1" t="s">
        <v>423</v>
      </c>
      <c r="U1056" s="1"/>
    </row>
    <row r="1057">
      <c r="A1057" s="218">
        <v>45222.92762559028</v>
      </c>
      <c r="B1057" s="1" t="s">
        <v>57</v>
      </c>
      <c r="C1057" s="1" t="s">
        <v>204</v>
      </c>
      <c r="D1057" s="1">
        <v>6.0</v>
      </c>
      <c r="E1057" s="1">
        <v>2.0</v>
      </c>
      <c r="F1057" s="1" t="s">
        <v>1410</v>
      </c>
      <c r="G1057" s="218">
        <v>45227.66666666667</v>
      </c>
      <c r="H1057" s="1" t="s">
        <v>69</v>
      </c>
      <c r="I1057" s="1" t="s">
        <v>287</v>
      </c>
      <c r="J1057" s="219">
        <v>-7.0</v>
      </c>
      <c r="K1057" s="219">
        <v>-10.0</v>
      </c>
      <c r="L1057" s="219">
        <v>-410.0</v>
      </c>
      <c r="M1057" s="219" t="s">
        <v>1363</v>
      </c>
      <c r="N1057" s="1">
        <v>363.0</v>
      </c>
      <c r="O1057" s="1">
        <v>244.0</v>
      </c>
      <c r="P1057" s="1">
        <v>1.0</v>
      </c>
      <c r="Q1057" s="1" t="b">
        <v>1</v>
      </c>
      <c r="R1057" s="1">
        <v>100.0</v>
      </c>
      <c r="S1057" s="1" t="s">
        <v>354</v>
      </c>
      <c r="T1057" s="1" t="s">
        <v>422</v>
      </c>
      <c r="U1057" s="1"/>
    </row>
    <row r="1058">
      <c r="A1058" s="218">
        <v>45222.92762559028</v>
      </c>
      <c r="B1058" s="1" t="s">
        <v>57</v>
      </c>
      <c r="C1058" s="1" t="s">
        <v>206</v>
      </c>
      <c r="D1058" s="1">
        <v>4.0</v>
      </c>
      <c r="E1058" s="1">
        <v>3.0</v>
      </c>
      <c r="F1058" s="1" t="s">
        <v>1379</v>
      </c>
      <c r="G1058" s="218">
        <v>45227.75</v>
      </c>
      <c r="H1058" s="1" t="s">
        <v>58</v>
      </c>
      <c r="I1058" s="1" t="s">
        <v>981</v>
      </c>
      <c r="J1058" s="219">
        <v>3.5</v>
      </c>
      <c r="K1058" s="219">
        <v>3.5</v>
      </c>
      <c r="L1058" s="219">
        <v>-180.0</v>
      </c>
      <c r="M1058" s="219" t="s">
        <v>1380</v>
      </c>
      <c r="N1058" s="1">
        <v>208.0</v>
      </c>
      <c r="O1058" s="1">
        <v>159.0</v>
      </c>
      <c r="P1058" s="1">
        <v>1.0</v>
      </c>
      <c r="Q1058" s="1" t="b">
        <v>1</v>
      </c>
      <c r="R1058" s="1">
        <v>100.0</v>
      </c>
      <c r="S1058" s="1" t="s">
        <v>355</v>
      </c>
      <c r="T1058" s="1" t="s">
        <v>423</v>
      </c>
      <c r="U1058" s="1"/>
    </row>
    <row r="1059">
      <c r="A1059" s="218">
        <v>45222.92762559028</v>
      </c>
      <c r="B1059" s="1" t="s">
        <v>57</v>
      </c>
      <c r="C1059" s="1" t="s">
        <v>200</v>
      </c>
      <c r="D1059" s="1">
        <v>7.0</v>
      </c>
      <c r="E1059" s="1">
        <v>0.0</v>
      </c>
      <c r="F1059" s="1" t="s">
        <v>1411</v>
      </c>
      <c r="G1059" s="218">
        <v>45227.8125</v>
      </c>
      <c r="H1059" s="1" t="s">
        <v>69</v>
      </c>
      <c r="I1059" s="1" t="s">
        <v>90</v>
      </c>
      <c r="J1059" s="219">
        <v>-14.0</v>
      </c>
      <c r="K1059" s="219">
        <v>-14.0</v>
      </c>
      <c r="L1059" s="219">
        <v>-630.0</v>
      </c>
      <c r="M1059" s="219" t="s">
        <v>867</v>
      </c>
      <c r="N1059" s="1">
        <v>236.0</v>
      </c>
      <c r="O1059" s="1">
        <v>70.0</v>
      </c>
      <c r="P1059" s="1">
        <v>1.0</v>
      </c>
      <c r="Q1059" s="1" t="b">
        <v>0</v>
      </c>
      <c r="R1059" s="1">
        <v>100.0</v>
      </c>
      <c r="S1059" s="1" t="s">
        <v>282</v>
      </c>
      <c r="T1059" s="1" t="s">
        <v>422</v>
      </c>
      <c r="U1059" s="1"/>
    </row>
    <row r="1060">
      <c r="A1060" s="218">
        <v>45222.92762559028</v>
      </c>
      <c r="B1060" s="1" t="s">
        <v>57</v>
      </c>
      <c r="C1060" s="1" t="s">
        <v>202</v>
      </c>
      <c r="D1060" s="1">
        <v>6.0</v>
      </c>
      <c r="E1060" s="1">
        <v>1.0</v>
      </c>
      <c r="F1060" s="1" t="s">
        <v>1412</v>
      </c>
      <c r="G1060" s="218">
        <v>45227.9375</v>
      </c>
      <c r="H1060" s="1" t="s">
        <v>62</v>
      </c>
      <c r="I1060" s="1" t="s">
        <v>96</v>
      </c>
      <c r="J1060" s="219">
        <v>9.0</v>
      </c>
      <c r="K1060" s="219">
        <v>9.0</v>
      </c>
      <c r="L1060" s="219">
        <v>275.0</v>
      </c>
      <c r="M1060" s="219" t="s">
        <v>203</v>
      </c>
      <c r="N1060" s="1">
        <v>250.0</v>
      </c>
      <c r="O1060" s="1">
        <v>184.0</v>
      </c>
      <c r="P1060" s="1">
        <v>1.0</v>
      </c>
      <c r="Q1060" s="1" t="b">
        <v>1</v>
      </c>
      <c r="R1060" s="1">
        <v>100.0</v>
      </c>
      <c r="S1060" s="1" t="s">
        <v>353</v>
      </c>
      <c r="T1060" s="1" t="s">
        <v>423</v>
      </c>
      <c r="U1060" s="1"/>
    </row>
    <row r="1061">
      <c r="A1061" s="218">
        <v>45222.92762559028</v>
      </c>
      <c r="B1061" s="1" t="s">
        <v>57</v>
      </c>
      <c r="C1061" s="1" t="s">
        <v>210</v>
      </c>
      <c r="D1061" s="1">
        <v>3.0</v>
      </c>
      <c r="E1061" s="1">
        <v>4.0</v>
      </c>
      <c r="F1061" s="1" t="s">
        <v>1372</v>
      </c>
      <c r="G1061" s="218">
        <v>45227.5</v>
      </c>
      <c r="H1061" s="1" t="s">
        <v>35</v>
      </c>
      <c r="I1061" s="1" t="s">
        <v>36</v>
      </c>
      <c r="J1061" s="219">
        <v>16.5</v>
      </c>
      <c r="K1061" s="219">
        <v>16.5</v>
      </c>
      <c r="L1061" s="219">
        <v>640.0</v>
      </c>
      <c r="M1061" s="219" t="s">
        <v>969</v>
      </c>
      <c r="N1061" s="1">
        <v>202.0</v>
      </c>
      <c r="O1061" s="1">
        <v>219.0</v>
      </c>
      <c r="P1061" s="1">
        <v>1.0</v>
      </c>
      <c r="Q1061" s="1" t="b">
        <v>1</v>
      </c>
      <c r="R1061" s="1">
        <v>100.0</v>
      </c>
      <c r="S1061" s="1" t="s">
        <v>296</v>
      </c>
      <c r="T1061" s="1" t="s">
        <v>422</v>
      </c>
      <c r="U1061" s="1"/>
    </row>
    <row r="1062">
      <c r="A1062" s="218">
        <v>45222.92762559028</v>
      </c>
      <c r="B1062" s="1" t="s">
        <v>57</v>
      </c>
      <c r="C1062" s="1" t="s">
        <v>208</v>
      </c>
      <c r="D1062" s="1">
        <v>4.0</v>
      </c>
      <c r="E1062" s="1">
        <v>3.0</v>
      </c>
      <c r="F1062" s="1" t="s">
        <v>1413</v>
      </c>
      <c r="G1062" s="218">
        <v>45227.5</v>
      </c>
      <c r="H1062" s="1" t="s">
        <v>125</v>
      </c>
      <c r="I1062" s="1" t="s">
        <v>82</v>
      </c>
      <c r="J1062" s="219">
        <v>20.0</v>
      </c>
      <c r="K1062" s="219">
        <v>20.0</v>
      </c>
      <c r="L1062" s="219">
        <v>-1200.0</v>
      </c>
      <c r="M1062" s="219" t="s">
        <v>1414</v>
      </c>
      <c r="N1062" s="1">
        <v>162.0</v>
      </c>
      <c r="O1062" s="1">
        <v>155.0</v>
      </c>
      <c r="P1062" s="1">
        <v>1.0</v>
      </c>
      <c r="Q1062" s="1" t="b">
        <v>0</v>
      </c>
      <c r="R1062" s="1">
        <v>100.0</v>
      </c>
      <c r="S1062" s="1" t="s">
        <v>301</v>
      </c>
      <c r="T1062" s="1" t="s">
        <v>422</v>
      </c>
      <c r="U1062" s="1"/>
    </row>
    <row r="1063">
      <c r="A1063" s="218">
        <v>45222.92762559028</v>
      </c>
      <c r="B1063" s="1" t="s">
        <v>57</v>
      </c>
      <c r="C1063" s="1" t="s">
        <v>207</v>
      </c>
      <c r="D1063" s="1">
        <v>3.0</v>
      </c>
      <c r="E1063" s="1">
        <v>4.0</v>
      </c>
      <c r="F1063" s="1" t="s">
        <v>1395</v>
      </c>
      <c r="G1063" s="218">
        <v>45227.5</v>
      </c>
      <c r="H1063" s="1" t="s">
        <v>60</v>
      </c>
      <c r="I1063" s="1" t="s">
        <v>40</v>
      </c>
      <c r="J1063" s="219">
        <v>19.5</v>
      </c>
      <c r="K1063" s="219">
        <v>19.5</v>
      </c>
      <c r="L1063" s="219">
        <v>800.0</v>
      </c>
      <c r="M1063" s="219" t="s">
        <v>1396</v>
      </c>
      <c r="N1063" s="1">
        <v>166.0</v>
      </c>
      <c r="O1063" s="1">
        <v>218.0</v>
      </c>
      <c r="P1063" s="1">
        <v>1.0</v>
      </c>
      <c r="Q1063" s="1" t="b">
        <v>0</v>
      </c>
      <c r="R1063" s="1">
        <v>100.0</v>
      </c>
      <c r="S1063" s="1" t="s">
        <v>407</v>
      </c>
      <c r="T1063" s="1" t="s">
        <v>423</v>
      </c>
      <c r="U1063" s="1"/>
    </row>
    <row r="1064">
      <c r="A1064" s="218">
        <v>45222.92762559028</v>
      </c>
      <c r="B1064" s="1" t="s">
        <v>57</v>
      </c>
      <c r="C1064" s="1" t="s">
        <v>213</v>
      </c>
      <c r="D1064" s="1">
        <v>2.0</v>
      </c>
      <c r="E1064" s="1">
        <v>6.0</v>
      </c>
      <c r="F1064" s="1"/>
      <c r="G1064" s="218"/>
      <c r="H1064" s="1"/>
      <c r="I1064" s="1"/>
      <c r="J1064" s="219"/>
      <c r="K1064" s="219"/>
      <c r="L1064" s="219"/>
      <c r="M1064" s="219"/>
      <c r="N1064" s="1">
        <v>212.0</v>
      </c>
      <c r="O1064" s="1">
        <v>183.0</v>
      </c>
      <c r="P1064" s="1">
        <v>3.0</v>
      </c>
      <c r="Q1064" s="1" t="b">
        <v>1</v>
      </c>
      <c r="R1064" s="1">
        <v>100.0</v>
      </c>
      <c r="S1064" s="1" t="s">
        <v>292</v>
      </c>
      <c r="T1064" s="1" t="s">
        <v>422</v>
      </c>
      <c r="U1064" s="1"/>
    </row>
    <row r="1065">
      <c r="A1065" s="218">
        <v>45222.92762559028</v>
      </c>
      <c r="B1065" s="1"/>
      <c r="C1065" s="1"/>
      <c r="D1065" s="1"/>
      <c r="E1065" s="1"/>
      <c r="F1065" s="1"/>
      <c r="G1065" s="218"/>
      <c r="H1065" s="1"/>
      <c r="I1065" s="1"/>
      <c r="J1065" s="219"/>
      <c r="K1065" s="219"/>
      <c r="L1065" s="219"/>
      <c r="M1065" s="219"/>
      <c r="N1065" s="1"/>
      <c r="O1065" s="1"/>
      <c r="P1065" s="1"/>
      <c r="Q1065" s="1"/>
      <c r="R1065" s="1"/>
      <c r="S1065" s="1" t="e">
        <v>#N/A</v>
      </c>
      <c r="T1065" s="1" t="e">
        <v>#N/A</v>
      </c>
      <c r="U1065" s="1"/>
    </row>
    <row r="1066">
      <c r="A1066" s="218">
        <v>45222.92762559028</v>
      </c>
      <c r="B1066" s="1" t="s">
        <v>67</v>
      </c>
      <c r="C1066" s="1" t="s">
        <v>220</v>
      </c>
      <c r="D1066" s="1">
        <v>4.0</v>
      </c>
      <c r="E1066" s="1">
        <v>4.0</v>
      </c>
      <c r="F1066" s="1" t="s">
        <v>1415</v>
      </c>
      <c r="G1066" s="218">
        <v>45224.79166666667</v>
      </c>
      <c r="H1066" s="1" t="s">
        <v>125</v>
      </c>
      <c r="I1066" s="1"/>
      <c r="J1066" s="219"/>
      <c r="K1066" s="219"/>
      <c r="L1066" s="219"/>
      <c r="M1066" s="219"/>
      <c r="N1066" s="1">
        <v>171.0</v>
      </c>
      <c r="O1066" s="1">
        <v>216.0</v>
      </c>
      <c r="P1066" s="1">
        <v>1.0</v>
      </c>
      <c r="Q1066" s="1" t="b">
        <v>0</v>
      </c>
      <c r="R1066" s="1">
        <v>100.0</v>
      </c>
      <c r="S1066" s="1" t="s">
        <v>351</v>
      </c>
      <c r="T1066" s="1" t="s">
        <v>423</v>
      </c>
      <c r="U1066" s="1"/>
    </row>
    <row r="1067">
      <c r="A1067" s="218">
        <v>45222.92762559028</v>
      </c>
      <c r="B1067" s="1" t="s">
        <v>67</v>
      </c>
      <c r="C1067" s="1" t="s">
        <v>221</v>
      </c>
      <c r="D1067" s="1">
        <v>3.0</v>
      </c>
      <c r="E1067" s="1">
        <v>4.0</v>
      </c>
      <c r="F1067" s="1" t="s">
        <v>1375</v>
      </c>
      <c r="G1067" s="218">
        <v>45227.625</v>
      </c>
      <c r="H1067" s="1" t="s">
        <v>58</v>
      </c>
      <c r="I1067" s="1" t="s">
        <v>935</v>
      </c>
      <c r="J1067" s="219">
        <v>7.5</v>
      </c>
      <c r="K1067" s="219">
        <v>7.5</v>
      </c>
      <c r="L1067" s="219">
        <v>-298.0</v>
      </c>
      <c r="M1067" s="219" t="s">
        <v>871</v>
      </c>
      <c r="N1067" s="1">
        <v>242.0</v>
      </c>
      <c r="O1067" s="1">
        <v>248.0</v>
      </c>
      <c r="P1067" s="1">
        <v>1.0</v>
      </c>
      <c r="Q1067" s="1" t="b">
        <v>0</v>
      </c>
      <c r="R1067" s="1">
        <v>100.0</v>
      </c>
      <c r="S1067" s="1" t="s">
        <v>407</v>
      </c>
      <c r="T1067" s="1" t="s">
        <v>423</v>
      </c>
      <c r="U1067" s="1"/>
    </row>
    <row r="1068">
      <c r="A1068" s="218">
        <v>45222.92762559028</v>
      </c>
      <c r="B1068" s="1" t="s">
        <v>67</v>
      </c>
      <c r="C1068" s="1" t="s">
        <v>222</v>
      </c>
      <c r="D1068" s="1">
        <v>2.0</v>
      </c>
      <c r="E1068" s="1">
        <v>5.0</v>
      </c>
      <c r="F1068" s="1" t="s">
        <v>1369</v>
      </c>
      <c r="G1068" s="218">
        <v>45227.64583333333</v>
      </c>
      <c r="H1068" s="1" t="s">
        <v>35</v>
      </c>
      <c r="I1068" s="1" t="s">
        <v>96</v>
      </c>
      <c r="J1068" s="219">
        <v>3.5</v>
      </c>
      <c r="K1068" s="219">
        <v>3.0</v>
      </c>
      <c r="L1068" s="219">
        <v>125.0</v>
      </c>
      <c r="M1068" s="219" t="s">
        <v>843</v>
      </c>
      <c r="N1068" s="1">
        <v>161.0</v>
      </c>
      <c r="O1068" s="1">
        <v>209.0</v>
      </c>
      <c r="P1068" s="1">
        <v>1.0</v>
      </c>
      <c r="Q1068" s="1" t="b">
        <v>0</v>
      </c>
      <c r="R1068" s="1">
        <v>100.0</v>
      </c>
      <c r="S1068" s="1" t="s">
        <v>282</v>
      </c>
      <c r="T1068" s="1" t="s">
        <v>422</v>
      </c>
      <c r="U1068" s="1"/>
    </row>
    <row r="1069">
      <c r="A1069" s="218">
        <v>45222.92762559028</v>
      </c>
      <c r="B1069" s="1" t="s">
        <v>67</v>
      </c>
      <c r="C1069" s="1" t="s">
        <v>218</v>
      </c>
      <c r="D1069" s="1">
        <v>2.0</v>
      </c>
      <c r="E1069" s="1">
        <v>5.0</v>
      </c>
      <c r="F1069" s="1" t="s">
        <v>1416</v>
      </c>
      <c r="G1069" s="218">
        <v>45227.70833333333</v>
      </c>
      <c r="H1069" s="1" t="s">
        <v>69</v>
      </c>
      <c r="I1069" s="1" t="s">
        <v>935</v>
      </c>
      <c r="J1069" s="219">
        <v>-2.0</v>
      </c>
      <c r="K1069" s="219">
        <v>-2.0</v>
      </c>
      <c r="L1069" s="219">
        <v>110.0</v>
      </c>
      <c r="M1069" s="219" t="s">
        <v>1396</v>
      </c>
      <c r="N1069" s="1">
        <v>139.0</v>
      </c>
      <c r="O1069" s="1">
        <v>229.0</v>
      </c>
      <c r="P1069" s="1">
        <v>1.0</v>
      </c>
      <c r="Q1069" s="1" t="b">
        <v>1</v>
      </c>
      <c r="R1069" s="1">
        <v>100.0</v>
      </c>
      <c r="S1069" s="1" t="s">
        <v>353</v>
      </c>
      <c r="T1069" s="1" t="s">
        <v>423</v>
      </c>
      <c r="U1069" s="1"/>
    </row>
    <row r="1070">
      <c r="A1070" s="218">
        <v>45222.92762559028</v>
      </c>
      <c r="B1070" s="1" t="s">
        <v>67</v>
      </c>
      <c r="C1070" s="1" t="s">
        <v>205</v>
      </c>
      <c r="D1070" s="1">
        <v>4.0</v>
      </c>
      <c r="E1070" s="1">
        <v>3.0</v>
      </c>
      <c r="F1070" s="1" t="s">
        <v>1391</v>
      </c>
      <c r="G1070" s="218">
        <v>45227.70833333333</v>
      </c>
      <c r="H1070" s="1" t="s">
        <v>60</v>
      </c>
      <c r="I1070" s="1" t="s">
        <v>935</v>
      </c>
      <c r="J1070" s="219">
        <v>-10.0</v>
      </c>
      <c r="K1070" s="219">
        <v>-10.0</v>
      </c>
      <c r="L1070" s="219">
        <v>320.0</v>
      </c>
      <c r="M1070" s="219" t="s">
        <v>73</v>
      </c>
      <c r="N1070" s="1">
        <v>248.0</v>
      </c>
      <c r="O1070" s="1">
        <v>136.0</v>
      </c>
      <c r="P1070" s="1">
        <v>1.0</v>
      </c>
      <c r="Q1070" s="1" t="b">
        <v>1</v>
      </c>
      <c r="R1070" s="1">
        <v>100.0</v>
      </c>
      <c r="S1070" s="1" t="s">
        <v>355</v>
      </c>
      <c r="T1070" s="1" t="s">
        <v>423</v>
      </c>
      <c r="U1070" s="1"/>
    </row>
    <row r="1071">
      <c r="A1071" s="218">
        <v>45222.92762559028</v>
      </c>
      <c r="B1071" s="1" t="s">
        <v>67</v>
      </c>
      <c r="C1071" s="1" t="s">
        <v>225</v>
      </c>
      <c r="D1071" s="1">
        <v>6.0</v>
      </c>
      <c r="E1071" s="1">
        <v>1.0</v>
      </c>
      <c r="F1071" s="1" t="s">
        <v>1417</v>
      </c>
      <c r="G1071" s="218">
        <v>45227.8125</v>
      </c>
      <c r="H1071" s="1"/>
      <c r="I1071" s="1" t="s">
        <v>945</v>
      </c>
      <c r="J1071" s="219">
        <v>-24.5</v>
      </c>
      <c r="K1071" s="219">
        <v>-24.5</v>
      </c>
      <c r="L1071" s="219">
        <v>1200.0</v>
      </c>
      <c r="M1071" s="219" t="s">
        <v>908</v>
      </c>
      <c r="N1071" s="1">
        <v>278.0</v>
      </c>
      <c r="O1071" s="1">
        <v>164.0</v>
      </c>
      <c r="P1071" s="1">
        <v>1.0</v>
      </c>
      <c r="Q1071" s="1" t="b">
        <v>0</v>
      </c>
      <c r="R1071" s="1">
        <v>100.0</v>
      </c>
      <c r="S1071" s="1" t="s">
        <v>292</v>
      </c>
      <c r="T1071" s="1" t="s">
        <v>422</v>
      </c>
      <c r="U1071" s="1"/>
    </row>
    <row r="1072">
      <c r="A1072" s="218">
        <v>45222.92762559028</v>
      </c>
      <c r="B1072" s="1" t="s">
        <v>67</v>
      </c>
      <c r="C1072" s="1" t="s">
        <v>216</v>
      </c>
      <c r="D1072" s="1">
        <v>6.0</v>
      </c>
      <c r="E1072" s="1">
        <v>1.0</v>
      </c>
      <c r="F1072" s="1" t="s">
        <v>1418</v>
      </c>
      <c r="G1072" s="218">
        <v>45227.83333333333</v>
      </c>
      <c r="H1072" s="1" t="s">
        <v>59</v>
      </c>
      <c r="I1072" s="1" t="s">
        <v>900</v>
      </c>
      <c r="J1072" s="219">
        <v>-11.5</v>
      </c>
      <c r="K1072" s="219">
        <v>-11.5</v>
      </c>
      <c r="L1072" s="219">
        <v>-425.0</v>
      </c>
      <c r="M1072" s="219" t="s">
        <v>908</v>
      </c>
      <c r="N1072" s="1">
        <v>251.0</v>
      </c>
      <c r="O1072" s="1">
        <v>157.0</v>
      </c>
      <c r="P1072" s="1">
        <v>1.0</v>
      </c>
      <c r="Q1072" s="1" t="b">
        <v>1</v>
      </c>
      <c r="R1072" s="1">
        <v>100.0</v>
      </c>
      <c r="S1072" s="1" t="s">
        <v>301</v>
      </c>
      <c r="T1072" s="1" t="s">
        <v>422</v>
      </c>
      <c r="U1072" s="1"/>
    </row>
    <row r="1073">
      <c r="A1073" s="218">
        <v>45222.92762559028</v>
      </c>
      <c r="B1073" s="1" t="s">
        <v>67</v>
      </c>
      <c r="C1073" s="1" t="s">
        <v>217</v>
      </c>
      <c r="D1073" s="1">
        <v>4.0</v>
      </c>
      <c r="E1073" s="1">
        <v>3.0</v>
      </c>
      <c r="F1073" s="1" t="s">
        <v>1419</v>
      </c>
      <c r="G1073" s="218">
        <v>45227.9375</v>
      </c>
      <c r="H1073" s="1" t="s">
        <v>62</v>
      </c>
      <c r="I1073" s="1" t="s">
        <v>76</v>
      </c>
      <c r="J1073" s="219">
        <v>5.5</v>
      </c>
      <c r="K1073" s="219">
        <v>3.5</v>
      </c>
      <c r="L1073" s="219">
        <v>-166.0</v>
      </c>
      <c r="M1073" s="219" t="s">
        <v>104</v>
      </c>
      <c r="N1073" s="1">
        <v>223.0</v>
      </c>
      <c r="O1073" s="1">
        <v>144.0</v>
      </c>
      <c r="P1073" s="1">
        <v>1.0</v>
      </c>
      <c r="Q1073" s="1" t="b">
        <v>0</v>
      </c>
      <c r="R1073" s="1">
        <v>100.0</v>
      </c>
      <c r="S1073" s="1" t="s">
        <v>354</v>
      </c>
      <c r="T1073" s="1" t="s">
        <v>422</v>
      </c>
      <c r="U1073" s="1"/>
    </row>
    <row r="1074">
      <c r="A1074" s="218">
        <v>45222.92762559028</v>
      </c>
      <c r="B1074" s="1" t="s">
        <v>67</v>
      </c>
      <c r="C1074" s="1" t="s">
        <v>223</v>
      </c>
      <c r="D1074" s="1">
        <v>4.0</v>
      </c>
      <c r="E1074" s="1">
        <v>4.0</v>
      </c>
      <c r="F1074" s="1"/>
      <c r="G1074" s="218"/>
      <c r="H1074" s="1"/>
      <c r="I1074" s="1"/>
      <c r="J1074" s="219"/>
      <c r="K1074" s="219"/>
      <c r="L1074" s="219"/>
      <c r="M1074" s="219"/>
      <c r="N1074" s="1">
        <v>235.0</v>
      </c>
      <c r="O1074" s="1">
        <v>184.0</v>
      </c>
      <c r="P1074" s="1">
        <v>3.0</v>
      </c>
      <c r="Q1074" s="1" t="b">
        <v>1</v>
      </c>
      <c r="R1074" s="1">
        <v>100.0</v>
      </c>
      <c r="S1074" s="1" t="s">
        <v>296</v>
      </c>
      <c r="T1074" s="1" t="s">
        <v>422</v>
      </c>
      <c r="U1074" s="1"/>
    </row>
    <row r="1075">
      <c r="A1075" s="218">
        <v>45222.92762559028</v>
      </c>
      <c r="B1075" s="1" t="s">
        <v>67</v>
      </c>
      <c r="C1075" s="1" t="s">
        <v>226</v>
      </c>
      <c r="D1075" s="1">
        <v>4.0</v>
      </c>
      <c r="E1075" s="1">
        <v>4.0</v>
      </c>
      <c r="F1075" s="1"/>
      <c r="G1075" s="218"/>
      <c r="H1075" s="1"/>
      <c r="I1075" s="1"/>
      <c r="J1075" s="219"/>
      <c r="K1075" s="219"/>
      <c r="L1075" s="219"/>
      <c r="M1075" s="219"/>
      <c r="N1075" s="1">
        <v>178.0</v>
      </c>
      <c r="O1075" s="1">
        <v>200.0</v>
      </c>
      <c r="P1075" s="1">
        <v>3.0</v>
      </c>
      <c r="Q1075" s="1" t="b">
        <v>1</v>
      </c>
      <c r="R1075" s="1">
        <v>100.0</v>
      </c>
      <c r="S1075" s="1" t="s">
        <v>352</v>
      </c>
      <c r="T1075" s="1" t="s">
        <v>423</v>
      </c>
      <c r="U1075" s="1"/>
    </row>
    <row r="1076">
      <c r="A1076" s="218">
        <v>45222.92762559028</v>
      </c>
      <c r="B1076" s="1"/>
      <c r="C1076" s="1"/>
      <c r="D1076" s="1"/>
      <c r="E1076" s="1"/>
      <c r="F1076" s="1"/>
      <c r="G1076" s="218"/>
      <c r="H1076" s="1"/>
      <c r="I1076" s="1"/>
      <c r="J1076" s="219"/>
      <c r="K1076" s="219"/>
      <c r="L1076" s="219"/>
      <c r="M1076" s="219"/>
      <c r="N1076" s="1"/>
      <c r="O1076" s="1"/>
      <c r="P1076" s="1"/>
      <c r="Q1076" s="1"/>
      <c r="R1076" s="1"/>
      <c r="S1076" s="1" t="e">
        <v>#N/A</v>
      </c>
      <c r="T1076" s="1" t="e">
        <v>#N/A</v>
      </c>
      <c r="U1076" s="1"/>
    </row>
    <row r="1077">
      <c r="A1077" s="218">
        <v>45222.92762559028</v>
      </c>
      <c r="B1077" s="1" t="s">
        <v>59</v>
      </c>
      <c r="C1077" s="1" t="s">
        <v>232</v>
      </c>
      <c r="D1077" s="1">
        <v>6.0</v>
      </c>
      <c r="E1077" s="1">
        <v>1.0</v>
      </c>
      <c r="F1077" s="1" t="s">
        <v>1420</v>
      </c>
      <c r="G1077" s="218">
        <v>45225.8125</v>
      </c>
      <c r="H1077" s="1" t="s">
        <v>62</v>
      </c>
      <c r="I1077" s="1" t="s">
        <v>36</v>
      </c>
      <c r="J1077" s="219">
        <v>2.5</v>
      </c>
      <c r="K1077" s="219">
        <v>2.5</v>
      </c>
      <c r="L1077" s="219">
        <v>112.0</v>
      </c>
      <c r="M1077" s="219" t="s">
        <v>994</v>
      </c>
      <c r="N1077" s="1">
        <v>216.0</v>
      </c>
      <c r="O1077" s="1">
        <v>160.0</v>
      </c>
      <c r="P1077" s="1">
        <v>1.0</v>
      </c>
      <c r="Q1077" s="1" t="b">
        <v>1</v>
      </c>
      <c r="R1077" s="1">
        <v>100.0</v>
      </c>
      <c r="S1077" s="1" t="s">
        <v>355</v>
      </c>
      <c r="T1077" s="1" t="s">
        <v>423</v>
      </c>
      <c r="U1077" s="1"/>
    </row>
    <row r="1078">
      <c r="A1078" s="218">
        <v>45222.92762559028</v>
      </c>
      <c r="B1078" s="1" t="s">
        <v>59</v>
      </c>
      <c r="C1078" s="1" t="s">
        <v>238</v>
      </c>
      <c r="D1078" s="1">
        <v>4.0</v>
      </c>
      <c r="E1078" s="1">
        <v>4.0</v>
      </c>
      <c r="F1078" s="1" t="s">
        <v>1421</v>
      </c>
      <c r="G1078" s="218">
        <v>45227.54166666667</v>
      </c>
      <c r="H1078" s="1" t="s">
        <v>61</v>
      </c>
      <c r="I1078" s="1" t="s">
        <v>935</v>
      </c>
      <c r="J1078" s="219"/>
      <c r="K1078" s="219"/>
      <c r="L1078" s="219"/>
      <c r="M1078" s="219"/>
      <c r="N1078" s="1">
        <v>146.0</v>
      </c>
      <c r="O1078" s="1">
        <v>156.0</v>
      </c>
      <c r="P1078" s="1">
        <v>1.0</v>
      </c>
      <c r="Q1078" s="1" t="b">
        <v>1</v>
      </c>
      <c r="R1078" s="1">
        <v>100.0</v>
      </c>
      <c r="S1078" s="1" t="s">
        <v>352</v>
      </c>
      <c r="T1078" s="1" t="s">
        <v>423</v>
      </c>
      <c r="U1078" s="1"/>
    </row>
    <row r="1079">
      <c r="A1079" s="218">
        <v>45222.92762559028</v>
      </c>
      <c r="B1079" s="1" t="s">
        <v>59</v>
      </c>
      <c r="C1079" s="1" t="s">
        <v>231</v>
      </c>
      <c r="D1079" s="1">
        <v>6.0</v>
      </c>
      <c r="E1079" s="1">
        <v>1.0</v>
      </c>
      <c r="F1079" s="1" t="s">
        <v>1368</v>
      </c>
      <c r="G1079" s="218">
        <v>45227.64583333333</v>
      </c>
      <c r="H1079" s="1" t="s">
        <v>35</v>
      </c>
      <c r="I1079" s="1" t="s">
        <v>92</v>
      </c>
      <c r="J1079" s="219">
        <v>5.5</v>
      </c>
      <c r="K1079" s="219">
        <v>5.5</v>
      </c>
      <c r="L1079" s="219">
        <v>-225.0</v>
      </c>
      <c r="M1079" s="219" t="s">
        <v>874</v>
      </c>
      <c r="N1079" s="1">
        <v>164.0</v>
      </c>
      <c r="O1079" s="1">
        <v>105.0</v>
      </c>
      <c r="P1079" s="1">
        <v>1.0</v>
      </c>
      <c r="Q1079" s="1" t="b">
        <v>1</v>
      </c>
      <c r="R1079" s="1">
        <v>100.0</v>
      </c>
      <c r="S1079" s="1" t="s">
        <v>354</v>
      </c>
      <c r="T1079" s="1" t="s">
        <v>422</v>
      </c>
      <c r="U1079" s="1"/>
    </row>
    <row r="1080">
      <c r="A1080" s="218">
        <v>45222.92762559028</v>
      </c>
      <c r="B1080" s="1" t="s">
        <v>59</v>
      </c>
      <c r="C1080" s="1" t="s">
        <v>230</v>
      </c>
      <c r="D1080" s="1">
        <v>3.0</v>
      </c>
      <c r="E1080" s="1">
        <v>4.0</v>
      </c>
      <c r="F1080" s="1" t="s">
        <v>1385</v>
      </c>
      <c r="G1080" s="218">
        <v>45227.64583333333</v>
      </c>
      <c r="H1080" s="1" t="s">
        <v>56</v>
      </c>
      <c r="I1080" s="1" t="s">
        <v>935</v>
      </c>
      <c r="J1080" s="219">
        <v>1.5</v>
      </c>
      <c r="K1080" s="219">
        <v>1.0</v>
      </c>
      <c r="L1080" s="219">
        <v>-114.0</v>
      </c>
      <c r="M1080" s="219" t="s">
        <v>151</v>
      </c>
      <c r="N1080" s="1">
        <v>162.0</v>
      </c>
      <c r="O1080" s="1">
        <v>210.0</v>
      </c>
      <c r="P1080" s="1">
        <v>1.0</v>
      </c>
      <c r="Q1080" s="1" t="b">
        <v>1</v>
      </c>
      <c r="R1080" s="1">
        <v>100.0</v>
      </c>
      <c r="S1080" s="1" t="s">
        <v>296</v>
      </c>
      <c r="T1080" s="1" t="s">
        <v>422</v>
      </c>
      <c r="U1080" s="1"/>
    </row>
    <row r="1081">
      <c r="A1081" s="218">
        <v>45222.92762559028</v>
      </c>
      <c r="B1081" s="1" t="s">
        <v>59</v>
      </c>
      <c r="C1081" s="1" t="s">
        <v>227</v>
      </c>
      <c r="D1081" s="1">
        <v>3.0</v>
      </c>
      <c r="E1081" s="1">
        <v>4.0</v>
      </c>
      <c r="F1081" s="1" t="s">
        <v>1398</v>
      </c>
      <c r="G1081" s="218">
        <v>45227.72916666667</v>
      </c>
      <c r="H1081" s="1" t="s">
        <v>46</v>
      </c>
      <c r="I1081" s="1" t="s">
        <v>1142</v>
      </c>
      <c r="J1081" s="219">
        <v>-5.0</v>
      </c>
      <c r="K1081" s="219">
        <v>-5.0</v>
      </c>
      <c r="L1081" s="219">
        <v>170.0</v>
      </c>
      <c r="M1081" s="219" t="s">
        <v>1399</v>
      </c>
      <c r="N1081" s="1">
        <v>208.0</v>
      </c>
      <c r="O1081" s="1">
        <v>216.0</v>
      </c>
      <c r="P1081" s="1">
        <v>1.0</v>
      </c>
      <c r="Q1081" s="1" t="b">
        <v>0</v>
      </c>
      <c r="R1081" s="1">
        <v>100.0</v>
      </c>
      <c r="S1081" s="1" t="s">
        <v>353</v>
      </c>
      <c r="T1081" s="1" t="s">
        <v>423</v>
      </c>
      <c r="U1081" s="1"/>
    </row>
    <row r="1082">
      <c r="A1082" s="218">
        <v>45222.92762559028</v>
      </c>
      <c r="B1082" s="1" t="s">
        <v>59</v>
      </c>
      <c r="C1082" s="1" t="s">
        <v>229</v>
      </c>
      <c r="D1082" s="1">
        <v>3.0</v>
      </c>
      <c r="E1082" s="1">
        <v>4.0</v>
      </c>
      <c r="F1082" s="1" t="s">
        <v>1418</v>
      </c>
      <c r="G1082" s="218">
        <v>45227.83333333333</v>
      </c>
      <c r="H1082" s="1" t="s">
        <v>67</v>
      </c>
      <c r="I1082" s="1" t="s">
        <v>900</v>
      </c>
      <c r="J1082" s="219">
        <v>11.5</v>
      </c>
      <c r="K1082" s="219">
        <v>11.5</v>
      </c>
      <c r="L1082" s="219">
        <v>-425.0</v>
      </c>
      <c r="M1082" s="219" t="s">
        <v>908</v>
      </c>
      <c r="N1082" s="1">
        <v>208.0</v>
      </c>
      <c r="O1082" s="1">
        <v>212.0</v>
      </c>
      <c r="P1082" s="1">
        <v>1.0</v>
      </c>
      <c r="Q1082" s="1" t="b">
        <v>0</v>
      </c>
      <c r="R1082" s="1">
        <v>100.0</v>
      </c>
      <c r="S1082" s="1" t="s">
        <v>301</v>
      </c>
      <c r="T1082" s="1" t="s">
        <v>422</v>
      </c>
      <c r="U1082" s="1"/>
    </row>
    <row r="1083">
      <c r="A1083" s="218">
        <v>45222.92762559028</v>
      </c>
      <c r="B1083" s="1" t="s">
        <v>59</v>
      </c>
      <c r="C1083" s="1" t="s">
        <v>236</v>
      </c>
      <c r="D1083" s="1">
        <v>1.0</v>
      </c>
      <c r="E1083" s="1">
        <v>6.0</v>
      </c>
      <c r="F1083" s="1" t="s">
        <v>1422</v>
      </c>
      <c r="G1083" s="218">
        <v>45227.5</v>
      </c>
      <c r="H1083" s="1" t="s">
        <v>62</v>
      </c>
      <c r="I1083" s="1" t="s">
        <v>900</v>
      </c>
      <c r="J1083" s="219">
        <v>12.5</v>
      </c>
      <c r="K1083" s="219">
        <v>13.0</v>
      </c>
      <c r="L1083" s="219">
        <v>370.0</v>
      </c>
      <c r="M1083" s="219" t="s">
        <v>73</v>
      </c>
      <c r="N1083" s="1">
        <v>144.0</v>
      </c>
      <c r="O1083" s="1">
        <v>213.0</v>
      </c>
      <c r="P1083" s="1">
        <v>1.0</v>
      </c>
      <c r="Q1083" s="1" t="b">
        <v>1</v>
      </c>
      <c r="R1083" s="1">
        <v>100.0</v>
      </c>
      <c r="S1083" s="1" t="s">
        <v>351</v>
      </c>
      <c r="T1083" s="1" t="s">
        <v>423</v>
      </c>
      <c r="U1083" s="1"/>
    </row>
    <row r="1084">
      <c r="A1084" s="218">
        <v>45222.92762559028</v>
      </c>
      <c r="B1084" s="1" t="s">
        <v>59</v>
      </c>
      <c r="C1084" s="1" t="s">
        <v>209</v>
      </c>
      <c r="D1084" s="1">
        <v>8.0</v>
      </c>
      <c r="E1084" s="1">
        <v>0.0</v>
      </c>
      <c r="F1084" s="1"/>
      <c r="G1084" s="218"/>
      <c r="H1084" s="1"/>
      <c r="I1084" s="1"/>
      <c r="J1084" s="219"/>
      <c r="K1084" s="219"/>
      <c r="L1084" s="219"/>
      <c r="M1084" s="219"/>
      <c r="N1084" s="1">
        <v>325.0</v>
      </c>
      <c r="O1084" s="1">
        <v>47.0</v>
      </c>
      <c r="P1084" s="1">
        <v>3.0</v>
      </c>
      <c r="Q1084" s="1" t="b">
        <v>1</v>
      </c>
      <c r="R1084" s="1">
        <v>100.0</v>
      </c>
      <c r="S1084" s="1" t="s">
        <v>282</v>
      </c>
      <c r="T1084" s="1" t="s">
        <v>422</v>
      </c>
      <c r="U1084" s="1"/>
    </row>
    <row r="1085">
      <c r="A1085" s="218">
        <v>45222.92762559028</v>
      </c>
      <c r="B1085" s="1" t="s">
        <v>59</v>
      </c>
      <c r="C1085" s="1" t="s">
        <v>237</v>
      </c>
      <c r="D1085" s="1">
        <v>7.0</v>
      </c>
      <c r="E1085" s="1">
        <v>1.0</v>
      </c>
      <c r="F1085" s="1"/>
      <c r="G1085" s="218"/>
      <c r="H1085" s="1"/>
      <c r="I1085" s="1"/>
      <c r="J1085" s="219"/>
      <c r="K1085" s="219"/>
      <c r="L1085" s="219"/>
      <c r="M1085" s="219"/>
      <c r="N1085" s="1">
        <v>271.0</v>
      </c>
      <c r="O1085" s="1">
        <v>186.0</v>
      </c>
      <c r="P1085" s="1">
        <v>3.0</v>
      </c>
      <c r="Q1085" s="1" t="b">
        <v>1</v>
      </c>
      <c r="R1085" s="1">
        <v>100.0</v>
      </c>
      <c r="S1085" s="1" t="s">
        <v>292</v>
      </c>
      <c r="T1085" s="1" t="s">
        <v>422</v>
      </c>
      <c r="U1085" s="1"/>
    </row>
    <row r="1086">
      <c r="A1086" s="218">
        <v>45222.92762559028</v>
      </c>
      <c r="B1086" s="1" t="s">
        <v>59</v>
      </c>
      <c r="C1086" s="1" t="s">
        <v>234</v>
      </c>
      <c r="D1086" s="1">
        <v>3.0</v>
      </c>
      <c r="E1086" s="1">
        <v>4.0</v>
      </c>
      <c r="F1086" s="1"/>
      <c r="G1086" s="218"/>
      <c r="H1086" s="1"/>
      <c r="I1086" s="1"/>
      <c r="J1086" s="219"/>
      <c r="K1086" s="219"/>
      <c r="L1086" s="219"/>
      <c r="M1086" s="219"/>
      <c r="N1086" s="1">
        <v>128.0</v>
      </c>
      <c r="O1086" s="1">
        <v>155.0</v>
      </c>
      <c r="P1086" s="1">
        <v>3.0</v>
      </c>
      <c r="Q1086" s="1" t="b">
        <v>1</v>
      </c>
      <c r="R1086" s="1">
        <v>100.0</v>
      </c>
      <c r="S1086" s="1" t="s">
        <v>407</v>
      </c>
      <c r="T1086" s="1" t="s">
        <v>423</v>
      </c>
      <c r="U1086" s="1"/>
    </row>
    <row r="1087">
      <c r="A1087" s="218">
        <v>45222.92762559028</v>
      </c>
      <c r="B1087" s="1"/>
      <c r="C1087" s="1"/>
      <c r="D1087" s="1"/>
      <c r="E1087" s="1"/>
      <c r="F1087" s="1"/>
      <c r="G1087" s="218"/>
      <c r="H1087" s="1"/>
      <c r="I1087" s="1"/>
      <c r="J1087" s="219"/>
      <c r="K1087" s="219"/>
      <c r="L1087" s="219"/>
      <c r="M1087" s="219"/>
      <c r="N1087" s="1"/>
      <c r="O1087" s="1"/>
      <c r="P1087" s="1"/>
      <c r="Q1087" s="1"/>
      <c r="R1087" s="1"/>
      <c r="S1087" s="1" t="e">
        <v>#N/A</v>
      </c>
      <c r="T1087" s="1" t="e">
        <v>#N/A</v>
      </c>
      <c r="U1087" s="1"/>
    </row>
    <row r="1088">
      <c r="A1088" s="218">
        <v>45222.92762559028</v>
      </c>
      <c r="B1088" s="1" t="s">
        <v>62</v>
      </c>
      <c r="C1088" s="1" t="s">
        <v>215</v>
      </c>
      <c r="D1088" s="1">
        <v>4.0</v>
      </c>
      <c r="E1088" s="1">
        <v>3.0</v>
      </c>
      <c r="F1088" s="1" t="s">
        <v>1373</v>
      </c>
      <c r="G1088" s="218">
        <v>45223.8125</v>
      </c>
      <c r="H1088" s="1" t="s">
        <v>58</v>
      </c>
      <c r="I1088" s="1" t="s">
        <v>40</v>
      </c>
      <c r="J1088" s="219">
        <v>1.5</v>
      </c>
      <c r="K1088" s="219">
        <v>4.0</v>
      </c>
      <c r="L1088" s="219">
        <v>-192.0</v>
      </c>
      <c r="M1088" s="219" t="s">
        <v>971</v>
      </c>
      <c r="N1088" s="1">
        <v>210.0</v>
      </c>
      <c r="O1088" s="1">
        <v>194.0</v>
      </c>
      <c r="P1088" s="1">
        <v>1.0</v>
      </c>
      <c r="Q1088" s="1" t="b">
        <v>1</v>
      </c>
      <c r="R1088" s="1">
        <v>100.0</v>
      </c>
      <c r="S1088" s="1" t="s">
        <v>351</v>
      </c>
      <c r="T1088" s="1" t="s">
        <v>423</v>
      </c>
      <c r="U1088" s="1"/>
    </row>
    <row r="1089">
      <c r="A1089" s="218">
        <v>45222.92762559028</v>
      </c>
      <c r="B1089" s="1" t="s">
        <v>62</v>
      </c>
      <c r="C1089" s="1" t="s">
        <v>245</v>
      </c>
      <c r="D1089" s="1">
        <v>5.0</v>
      </c>
      <c r="E1089" s="1">
        <v>2.0</v>
      </c>
      <c r="F1089" s="1" t="s">
        <v>1420</v>
      </c>
      <c r="G1089" s="218">
        <v>45225.8125</v>
      </c>
      <c r="H1089" s="1" t="s">
        <v>59</v>
      </c>
      <c r="I1089" s="1" t="s">
        <v>36</v>
      </c>
      <c r="J1089" s="219">
        <v>-2.5</v>
      </c>
      <c r="K1089" s="219">
        <v>-2.5</v>
      </c>
      <c r="L1089" s="219">
        <v>112.0</v>
      </c>
      <c r="M1089" s="219" t="s">
        <v>994</v>
      </c>
      <c r="N1089" s="1">
        <v>226.0</v>
      </c>
      <c r="O1089" s="1">
        <v>170.0</v>
      </c>
      <c r="P1089" s="1">
        <v>1.0</v>
      </c>
      <c r="Q1089" s="1" t="b">
        <v>0</v>
      </c>
      <c r="R1089" s="1">
        <v>100.0</v>
      </c>
      <c r="S1089" s="1" t="s">
        <v>355</v>
      </c>
      <c r="T1089" s="1" t="s">
        <v>423</v>
      </c>
      <c r="U1089" s="1"/>
    </row>
    <row r="1090">
      <c r="A1090" s="218">
        <v>45222.92762559028</v>
      </c>
      <c r="B1090" s="1" t="s">
        <v>62</v>
      </c>
      <c r="C1090" s="1" t="s">
        <v>240</v>
      </c>
      <c r="D1090" s="1">
        <v>6.0</v>
      </c>
      <c r="E1090" s="1">
        <v>2.0</v>
      </c>
      <c r="F1090" s="1" t="s">
        <v>1408</v>
      </c>
      <c r="G1090" s="218">
        <v>45227.64583333333</v>
      </c>
      <c r="H1090" s="1" t="s">
        <v>57</v>
      </c>
      <c r="I1090" s="1"/>
      <c r="J1090" s="219"/>
      <c r="K1090" s="219"/>
      <c r="L1090" s="219"/>
      <c r="M1090" s="219"/>
      <c r="N1090" s="1">
        <v>238.0</v>
      </c>
      <c r="O1090" s="1">
        <v>155.0</v>
      </c>
      <c r="P1090" s="1">
        <v>1.0</v>
      </c>
      <c r="Q1090" s="1" t="b">
        <v>0</v>
      </c>
      <c r="R1090" s="1">
        <v>100.0</v>
      </c>
      <c r="S1090" s="1" t="s">
        <v>352</v>
      </c>
      <c r="T1090" s="1" t="s">
        <v>423</v>
      </c>
      <c r="U1090" s="1"/>
    </row>
    <row r="1091">
      <c r="A1091" s="218">
        <v>45222.92762559028</v>
      </c>
      <c r="B1091" s="1" t="s">
        <v>62</v>
      </c>
      <c r="C1091" s="1" t="s">
        <v>246</v>
      </c>
      <c r="D1091" s="1">
        <v>1.0</v>
      </c>
      <c r="E1091" s="1">
        <v>6.0</v>
      </c>
      <c r="F1091" s="1" t="s">
        <v>1404</v>
      </c>
      <c r="G1091" s="218">
        <v>45227.64583333333</v>
      </c>
      <c r="H1091" s="1" t="s">
        <v>70</v>
      </c>
      <c r="I1091" s="1" t="s">
        <v>935</v>
      </c>
      <c r="J1091" s="219">
        <v>18.0</v>
      </c>
      <c r="K1091" s="219">
        <v>17.0</v>
      </c>
      <c r="L1091" s="219">
        <v>600.0</v>
      </c>
      <c r="M1091" s="219" t="s">
        <v>1405</v>
      </c>
      <c r="N1091" s="1">
        <v>122.0</v>
      </c>
      <c r="O1091" s="1">
        <v>169.0</v>
      </c>
      <c r="P1091" s="1">
        <v>1.0</v>
      </c>
      <c r="Q1091" s="1" t="b">
        <v>0</v>
      </c>
      <c r="R1091" s="1">
        <v>100.0</v>
      </c>
      <c r="S1091" s="1" t="s">
        <v>407</v>
      </c>
      <c r="T1091" s="1" t="s">
        <v>423</v>
      </c>
      <c r="U1091" s="1"/>
    </row>
    <row r="1092">
      <c r="A1092" s="218">
        <v>45222.92762559028</v>
      </c>
      <c r="B1092" s="1" t="s">
        <v>62</v>
      </c>
      <c r="C1092" s="1" t="s">
        <v>249</v>
      </c>
      <c r="D1092" s="1">
        <v>4.0</v>
      </c>
      <c r="E1092" s="1">
        <v>3.0</v>
      </c>
      <c r="F1092" s="1" t="s">
        <v>1377</v>
      </c>
      <c r="G1092" s="218">
        <v>45227.64583333333</v>
      </c>
      <c r="H1092" s="1" t="s">
        <v>58</v>
      </c>
      <c r="I1092" s="1" t="s">
        <v>945</v>
      </c>
      <c r="J1092" s="219">
        <v>6.5</v>
      </c>
      <c r="K1092" s="219">
        <v>6.5</v>
      </c>
      <c r="L1092" s="219">
        <v>190.0</v>
      </c>
      <c r="M1092" s="219" t="s">
        <v>122</v>
      </c>
      <c r="N1092" s="1">
        <v>188.0</v>
      </c>
      <c r="O1092" s="1">
        <v>180.0</v>
      </c>
      <c r="P1092" s="1">
        <v>1.0</v>
      </c>
      <c r="Q1092" s="1" t="b">
        <v>1</v>
      </c>
      <c r="R1092" s="1">
        <v>100.0</v>
      </c>
      <c r="S1092" s="1" t="s">
        <v>292</v>
      </c>
      <c r="T1092" s="1" t="s">
        <v>422</v>
      </c>
      <c r="U1092" s="1"/>
    </row>
    <row r="1093">
      <c r="A1093" s="218">
        <v>45222.92762559028</v>
      </c>
      <c r="B1093" s="1" t="s">
        <v>62</v>
      </c>
      <c r="C1093" s="1" t="s">
        <v>242</v>
      </c>
      <c r="D1093" s="1">
        <v>2.0</v>
      </c>
      <c r="E1093" s="1">
        <v>5.0</v>
      </c>
      <c r="F1093" s="1" t="s">
        <v>1423</v>
      </c>
      <c r="G1093" s="218">
        <v>45227.83333333333</v>
      </c>
      <c r="H1093" s="1" t="s">
        <v>61</v>
      </c>
      <c r="I1093" s="1" t="s">
        <v>36</v>
      </c>
      <c r="J1093" s="219">
        <v>5.5</v>
      </c>
      <c r="K1093" s="219">
        <v>7.5</v>
      </c>
      <c r="L1093" s="219">
        <v>265.0</v>
      </c>
      <c r="M1093" s="219" t="s">
        <v>840</v>
      </c>
      <c r="N1093" s="1">
        <v>189.0</v>
      </c>
      <c r="O1093" s="1">
        <v>182.0</v>
      </c>
      <c r="P1093" s="1">
        <v>1.0</v>
      </c>
      <c r="Q1093" s="1" t="b">
        <v>1</v>
      </c>
      <c r="R1093" s="1">
        <v>100.0</v>
      </c>
      <c r="S1093" s="1" t="s">
        <v>296</v>
      </c>
      <c r="T1093" s="1" t="s">
        <v>422</v>
      </c>
      <c r="U1093" s="1"/>
    </row>
    <row r="1094">
      <c r="A1094" s="218">
        <v>45222.92762559028</v>
      </c>
      <c r="B1094" s="1" t="s">
        <v>62</v>
      </c>
      <c r="C1094" s="1" t="s">
        <v>247</v>
      </c>
      <c r="D1094" s="1">
        <v>6.0</v>
      </c>
      <c r="E1094" s="1">
        <v>1.0</v>
      </c>
      <c r="F1094" s="1" t="s">
        <v>1419</v>
      </c>
      <c r="G1094" s="218">
        <v>45227.9375</v>
      </c>
      <c r="H1094" s="1" t="s">
        <v>67</v>
      </c>
      <c r="I1094" s="1" t="s">
        <v>76</v>
      </c>
      <c r="J1094" s="219">
        <v>-5.5</v>
      </c>
      <c r="K1094" s="219">
        <v>-3.5</v>
      </c>
      <c r="L1094" s="219">
        <v>-166.0</v>
      </c>
      <c r="M1094" s="219" t="s">
        <v>104</v>
      </c>
      <c r="N1094" s="1">
        <v>267.0</v>
      </c>
      <c r="O1094" s="1">
        <v>142.0</v>
      </c>
      <c r="P1094" s="1">
        <v>1.0</v>
      </c>
      <c r="Q1094" s="1" t="b">
        <v>1</v>
      </c>
      <c r="R1094" s="1">
        <v>100.0</v>
      </c>
      <c r="S1094" s="1" t="s">
        <v>354</v>
      </c>
      <c r="T1094" s="1" t="s">
        <v>422</v>
      </c>
      <c r="U1094" s="1"/>
    </row>
    <row r="1095">
      <c r="A1095" s="218">
        <v>45222.92762559028</v>
      </c>
      <c r="B1095" s="1" t="s">
        <v>62</v>
      </c>
      <c r="C1095" s="1" t="s">
        <v>241</v>
      </c>
      <c r="D1095" s="1">
        <v>6.0</v>
      </c>
      <c r="E1095" s="1">
        <v>1.0</v>
      </c>
      <c r="F1095" s="1" t="s">
        <v>1412</v>
      </c>
      <c r="G1095" s="218">
        <v>45227.9375</v>
      </c>
      <c r="H1095" s="1" t="s">
        <v>57</v>
      </c>
      <c r="I1095" s="1" t="s">
        <v>96</v>
      </c>
      <c r="J1095" s="219">
        <v>-9.0</v>
      </c>
      <c r="K1095" s="219">
        <v>-9.0</v>
      </c>
      <c r="L1095" s="219">
        <v>275.0</v>
      </c>
      <c r="M1095" s="219" t="s">
        <v>203</v>
      </c>
      <c r="N1095" s="1">
        <v>238.0</v>
      </c>
      <c r="O1095" s="1">
        <v>141.0</v>
      </c>
      <c r="P1095" s="1">
        <v>1.0</v>
      </c>
      <c r="Q1095" s="1" t="b">
        <v>0</v>
      </c>
      <c r="R1095" s="1">
        <v>100.0</v>
      </c>
      <c r="S1095" s="1" t="s">
        <v>353</v>
      </c>
      <c r="T1095" s="1" t="s">
        <v>423</v>
      </c>
      <c r="U1095" s="1"/>
    </row>
    <row r="1096">
      <c r="A1096" s="218">
        <v>45222.92762559028</v>
      </c>
      <c r="B1096" s="1" t="s">
        <v>62</v>
      </c>
      <c r="C1096" s="1" t="s">
        <v>244</v>
      </c>
      <c r="D1096" s="1">
        <v>5.0</v>
      </c>
      <c r="E1096" s="1">
        <v>2.0</v>
      </c>
      <c r="F1096" s="1" t="s">
        <v>1424</v>
      </c>
      <c r="G1096" s="218">
        <v>45227.5</v>
      </c>
      <c r="H1096" s="1" t="s">
        <v>125</v>
      </c>
      <c r="I1096" s="1" t="s">
        <v>888</v>
      </c>
      <c r="J1096" s="219">
        <v>-14.0</v>
      </c>
      <c r="K1096" s="219">
        <v>-14.0</v>
      </c>
      <c r="L1096" s="219">
        <v>-650.0</v>
      </c>
      <c r="M1096" s="219" t="s">
        <v>854</v>
      </c>
      <c r="N1096" s="1">
        <v>234.0</v>
      </c>
      <c r="O1096" s="1">
        <v>130.0</v>
      </c>
      <c r="P1096" s="1">
        <v>1.0</v>
      </c>
      <c r="Q1096" s="1" t="b">
        <v>1</v>
      </c>
      <c r="R1096" s="1">
        <v>100.0</v>
      </c>
      <c r="S1096" s="1" t="s">
        <v>282</v>
      </c>
      <c r="T1096" s="1" t="s">
        <v>422</v>
      </c>
      <c r="U1096" s="1"/>
    </row>
    <row r="1097">
      <c r="A1097" s="218">
        <v>45222.92762559028</v>
      </c>
      <c r="B1097" s="1" t="s">
        <v>62</v>
      </c>
      <c r="C1097" s="1" t="s">
        <v>248</v>
      </c>
      <c r="D1097" s="1">
        <v>4.0</v>
      </c>
      <c r="E1097" s="1">
        <v>3.0</v>
      </c>
      <c r="F1097" s="1" t="s">
        <v>1422</v>
      </c>
      <c r="G1097" s="218">
        <v>45227.5</v>
      </c>
      <c r="H1097" s="1" t="s">
        <v>59</v>
      </c>
      <c r="I1097" s="1" t="s">
        <v>900</v>
      </c>
      <c r="J1097" s="219">
        <v>-12.5</v>
      </c>
      <c r="K1097" s="219">
        <v>-13.0</v>
      </c>
      <c r="L1097" s="219">
        <v>370.0</v>
      </c>
      <c r="M1097" s="219" t="s">
        <v>73</v>
      </c>
      <c r="N1097" s="1">
        <v>204.0</v>
      </c>
      <c r="O1097" s="1">
        <v>213.0</v>
      </c>
      <c r="P1097" s="1">
        <v>1.0</v>
      </c>
      <c r="Q1097" s="1" t="b">
        <v>0</v>
      </c>
      <c r="R1097" s="1">
        <v>100.0</v>
      </c>
      <c r="S1097" s="1" t="s">
        <v>301</v>
      </c>
      <c r="T1097" s="1" t="s">
        <v>422</v>
      </c>
      <c r="U1097" s="1"/>
    </row>
    <row r="1098">
      <c r="A1098" s="218">
        <v>45222.92762559028</v>
      </c>
      <c r="B1098" s="1"/>
      <c r="C1098" s="1"/>
      <c r="D1098" s="1"/>
      <c r="E1098" s="1"/>
      <c r="F1098" s="1"/>
      <c r="G1098" s="218"/>
      <c r="H1098" s="1"/>
      <c r="I1098" s="1"/>
      <c r="J1098" s="219"/>
      <c r="K1098" s="219"/>
      <c r="L1098" s="219"/>
      <c r="M1098" s="219"/>
      <c r="N1098" s="1"/>
      <c r="O1098" s="1"/>
      <c r="P1098" s="1"/>
      <c r="Q1098" s="1"/>
      <c r="R1098" s="1"/>
      <c r="S1098" s="1" t="e">
        <v>#N/A</v>
      </c>
      <c r="T1098" s="1" t="e">
        <v>#N/A</v>
      </c>
      <c r="U1098" s="1"/>
    </row>
    <row r="1099">
      <c r="A1099" s="218">
        <v>45222.92762559028</v>
      </c>
      <c r="B1099" s="1" t="s">
        <v>69</v>
      </c>
      <c r="C1099" s="1" t="s">
        <v>250</v>
      </c>
      <c r="D1099" s="1">
        <v>3.0</v>
      </c>
      <c r="E1099" s="1">
        <v>5.0</v>
      </c>
      <c r="F1099" s="1" t="s">
        <v>1407</v>
      </c>
      <c r="G1099" s="218">
        <v>45223.79166666667</v>
      </c>
      <c r="H1099" s="1" t="s">
        <v>57</v>
      </c>
      <c r="I1099" s="1" t="s">
        <v>99</v>
      </c>
      <c r="J1099" s="219">
        <v>-3.0</v>
      </c>
      <c r="K1099" s="219">
        <v>-2.5</v>
      </c>
      <c r="L1099" s="219">
        <v>110.0</v>
      </c>
      <c r="M1099" s="219" t="s">
        <v>845</v>
      </c>
      <c r="N1099" s="1">
        <v>213.0</v>
      </c>
      <c r="O1099" s="1">
        <v>220.0</v>
      </c>
      <c r="P1099" s="1">
        <v>1.0</v>
      </c>
      <c r="Q1099" s="1" t="b">
        <v>1</v>
      </c>
      <c r="R1099" s="1">
        <v>100.0</v>
      </c>
      <c r="S1099" s="1" t="s">
        <v>351</v>
      </c>
      <c r="T1099" s="1" t="s">
        <v>423</v>
      </c>
      <c r="U1099" s="1"/>
    </row>
    <row r="1100">
      <c r="A1100" s="218">
        <v>45222.92762559028</v>
      </c>
      <c r="B1100" s="1" t="s">
        <v>69</v>
      </c>
      <c r="C1100" s="1" t="s">
        <v>252</v>
      </c>
      <c r="D1100" s="1">
        <v>2.0</v>
      </c>
      <c r="E1100" s="1">
        <v>5.0</v>
      </c>
      <c r="F1100" s="1" t="s">
        <v>1383</v>
      </c>
      <c r="G1100" s="218">
        <v>45226.8125</v>
      </c>
      <c r="H1100" s="1" t="s">
        <v>56</v>
      </c>
      <c r="I1100" s="1" t="s">
        <v>36</v>
      </c>
      <c r="J1100" s="219">
        <v>5.5</v>
      </c>
      <c r="K1100" s="219">
        <v>5.5</v>
      </c>
      <c r="L1100" s="219">
        <v>-215.0</v>
      </c>
      <c r="M1100" s="219" t="s">
        <v>843</v>
      </c>
      <c r="N1100" s="1">
        <v>102.0</v>
      </c>
      <c r="O1100" s="1">
        <v>159.0</v>
      </c>
      <c r="P1100" s="1">
        <v>1.0</v>
      </c>
      <c r="Q1100" s="1" t="b">
        <v>1</v>
      </c>
      <c r="R1100" s="1">
        <v>100.0</v>
      </c>
      <c r="S1100" s="1" t="s">
        <v>352</v>
      </c>
      <c r="T1100" s="1" t="s">
        <v>423</v>
      </c>
      <c r="U1100" s="1"/>
    </row>
    <row r="1101">
      <c r="A1101" s="218">
        <v>45222.92762559028</v>
      </c>
      <c r="B1101" s="1" t="s">
        <v>69</v>
      </c>
      <c r="C1101" s="1" t="s">
        <v>256</v>
      </c>
      <c r="D1101" s="1">
        <v>2.0</v>
      </c>
      <c r="E1101" s="1">
        <v>5.0</v>
      </c>
      <c r="F1101" s="1" t="s">
        <v>1384</v>
      </c>
      <c r="G1101" s="218">
        <v>45227.64583333333</v>
      </c>
      <c r="H1101" s="1" t="s">
        <v>56</v>
      </c>
      <c r="I1101" s="1"/>
      <c r="J1101" s="219">
        <v>17.5</v>
      </c>
      <c r="K1101" s="219">
        <v>17.5</v>
      </c>
      <c r="L1101" s="219">
        <v>660.0</v>
      </c>
      <c r="M1101" s="219" t="s">
        <v>852</v>
      </c>
      <c r="N1101" s="1">
        <v>172.0</v>
      </c>
      <c r="O1101" s="1">
        <v>172.0</v>
      </c>
      <c r="P1101" s="1">
        <v>1.0</v>
      </c>
      <c r="Q1101" s="1" t="b">
        <v>0</v>
      </c>
      <c r="R1101" s="1">
        <v>100.0</v>
      </c>
      <c r="S1101" s="1" t="s">
        <v>301</v>
      </c>
      <c r="T1101" s="1" t="s">
        <v>422</v>
      </c>
      <c r="U1101" s="1"/>
    </row>
    <row r="1102">
      <c r="A1102" s="218">
        <v>45222.92762559028</v>
      </c>
      <c r="B1102" s="1" t="s">
        <v>69</v>
      </c>
      <c r="C1102" s="1" t="s">
        <v>251</v>
      </c>
      <c r="D1102" s="1">
        <v>3.0</v>
      </c>
      <c r="E1102" s="1">
        <v>4.0</v>
      </c>
      <c r="F1102" s="1" t="s">
        <v>1410</v>
      </c>
      <c r="G1102" s="218">
        <v>45227.66666666667</v>
      </c>
      <c r="H1102" s="1" t="s">
        <v>57</v>
      </c>
      <c r="I1102" s="1"/>
      <c r="J1102" s="219">
        <v>7.0</v>
      </c>
      <c r="K1102" s="219">
        <v>10.0</v>
      </c>
      <c r="L1102" s="219">
        <v>-410.0</v>
      </c>
      <c r="M1102" s="219" t="s">
        <v>1363</v>
      </c>
      <c r="N1102" s="1">
        <v>209.0</v>
      </c>
      <c r="O1102" s="1">
        <v>218.0</v>
      </c>
      <c r="P1102" s="1">
        <v>1.0</v>
      </c>
      <c r="Q1102" s="1" t="b">
        <v>0</v>
      </c>
      <c r="R1102" s="1">
        <v>100.0</v>
      </c>
      <c r="S1102" s="1" t="s">
        <v>354</v>
      </c>
      <c r="T1102" s="1" t="s">
        <v>422</v>
      </c>
      <c r="U1102" s="1"/>
    </row>
    <row r="1103">
      <c r="A1103" s="218">
        <v>45222.92762559028</v>
      </c>
      <c r="B1103" s="1" t="s">
        <v>69</v>
      </c>
      <c r="C1103" s="1" t="s">
        <v>254</v>
      </c>
      <c r="D1103" s="1">
        <v>3.0</v>
      </c>
      <c r="E1103" s="1">
        <v>4.0</v>
      </c>
      <c r="F1103" s="1" t="s">
        <v>1416</v>
      </c>
      <c r="G1103" s="218">
        <v>45227.70833333333</v>
      </c>
      <c r="H1103" s="1" t="s">
        <v>67</v>
      </c>
      <c r="I1103" s="1" t="s">
        <v>935</v>
      </c>
      <c r="J1103" s="219">
        <v>2.0</v>
      </c>
      <c r="K1103" s="219">
        <v>2.0</v>
      </c>
      <c r="L1103" s="219">
        <v>110.0</v>
      </c>
      <c r="M1103" s="219" t="s">
        <v>1396</v>
      </c>
      <c r="N1103" s="1">
        <v>150.0</v>
      </c>
      <c r="O1103" s="1">
        <v>246.0</v>
      </c>
      <c r="P1103" s="1">
        <v>1.0</v>
      </c>
      <c r="Q1103" s="1" t="b">
        <v>0</v>
      </c>
      <c r="R1103" s="1">
        <v>100.0</v>
      </c>
      <c r="S1103" s="1" t="s">
        <v>355</v>
      </c>
      <c r="T1103" s="1" t="s">
        <v>423</v>
      </c>
      <c r="U1103" s="1"/>
    </row>
    <row r="1104">
      <c r="A1104" s="218">
        <v>45222.92762559028</v>
      </c>
      <c r="B1104" s="1" t="s">
        <v>69</v>
      </c>
      <c r="C1104" s="1" t="s">
        <v>243</v>
      </c>
      <c r="D1104" s="1">
        <v>7.0</v>
      </c>
      <c r="E1104" s="1">
        <v>0.0</v>
      </c>
      <c r="F1104" s="1" t="s">
        <v>1381</v>
      </c>
      <c r="G1104" s="218">
        <v>45227.79166666667</v>
      </c>
      <c r="H1104" s="1" t="s">
        <v>58</v>
      </c>
      <c r="I1104" s="1" t="s">
        <v>99</v>
      </c>
      <c r="J1104" s="219">
        <v>-11.5</v>
      </c>
      <c r="K1104" s="219">
        <v>-12.0</v>
      </c>
      <c r="L1104" s="219">
        <v>-485.0</v>
      </c>
      <c r="M1104" s="219" t="s">
        <v>874</v>
      </c>
      <c r="N1104" s="1">
        <v>239.0</v>
      </c>
      <c r="O1104" s="1">
        <v>94.0</v>
      </c>
      <c r="P1104" s="1">
        <v>1.0</v>
      </c>
      <c r="Q1104" s="1" t="b">
        <v>1</v>
      </c>
      <c r="R1104" s="1">
        <v>100.0</v>
      </c>
      <c r="S1104" s="1" t="s">
        <v>353</v>
      </c>
      <c r="T1104" s="1" t="s">
        <v>423</v>
      </c>
      <c r="U1104" s="1"/>
    </row>
    <row r="1105">
      <c r="A1105" s="218">
        <v>45222.92762559028</v>
      </c>
      <c r="B1105" s="1" t="s">
        <v>69</v>
      </c>
      <c r="C1105" s="1" t="s">
        <v>255</v>
      </c>
      <c r="D1105" s="1">
        <v>5.0</v>
      </c>
      <c r="E1105" s="1">
        <v>2.0</v>
      </c>
      <c r="F1105" s="1" t="s">
        <v>1411</v>
      </c>
      <c r="G1105" s="218">
        <v>45227.8125</v>
      </c>
      <c r="H1105" s="1" t="s">
        <v>57</v>
      </c>
      <c r="I1105" s="1" t="s">
        <v>90</v>
      </c>
      <c r="J1105" s="219">
        <v>14.0</v>
      </c>
      <c r="K1105" s="219">
        <v>14.0</v>
      </c>
      <c r="L1105" s="219">
        <v>-630.0</v>
      </c>
      <c r="M1105" s="219" t="s">
        <v>867</v>
      </c>
      <c r="N1105" s="1">
        <v>188.0</v>
      </c>
      <c r="O1105" s="1">
        <v>128.0</v>
      </c>
      <c r="P1105" s="1">
        <v>1.0</v>
      </c>
      <c r="Q1105" s="1" t="b">
        <v>1</v>
      </c>
      <c r="R1105" s="1">
        <v>100.0</v>
      </c>
      <c r="S1105" s="1" t="s">
        <v>282</v>
      </c>
      <c r="T1105" s="1" t="s">
        <v>422</v>
      </c>
      <c r="U1105" s="1"/>
    </row>
    <row r="1106">
      <c r="A1106" s="218">
        <v>45222.92762559028</v>
      </c>
      <c r="B1106" s="1" t="s">
        <v>69</v>
      </c>
      <c r="C1106" s="1" t="s">
        <v>257</v>
      </c>
      <c r="D1106" s="1">
        <v>3.0</v>
      </c>
      <c r="E1106" s="1">
        <v>4.0</v>
      </c>
      <c r="F1106" s="1" t="s">
        <v>1425</v>
      </c>
      <c r="G1106" s="218">
        <v>45227.5</v>
      </c>
      <c r="H1106" s="1"/>
      <c r="I1106" s="1" t="s">
        <v>96</v>
      </c>
      <c r="J1106" s="219">
        <v>-6.5</v>
      </c>
      <c r="K1106" s="219">
        <v>-6.5</v>
      </c>
      <c r="L1106" s="219">
        <v>240.0</v>
      </c>
      <c r="M1106" s="219" t="s">
        <v>954</v>
      </c>
      <c r="N1106" s="1">
        <v>239.0</v>
      </c>
      <c r="O1106" s="1">
        <v>198.0</v>
      </c>
      <c r="P1106" s="1">
        <v>1.0</v>
      </c>
      <c r="Q1106" s="1" t="b">
        <v>0</v>
      </c>
      <c r="R1106" s="1">
        <v>100.0</v>
      </c>
      <c r="S1106" s="1" t="s">
        <v>296</v>
      </c>
      <c r="T1106" s="1" t="s">
        <v>422</v>
      </c>
      <c r="U1106" s="1"/>
    </row>
    <row r="1107">
      <c r="A1107" s="218">
        <v>45222.92762559028</v>
      </c>
      <c r="B1107" s="1" t="s">
        <v>69</v>
      </c>
      <c r="C1107" s="1" t="s">
        <v>219</v>
      </c>
      <c r="D1107" s="1">
        <v>6.0</v>
      </c>
      <c r="E1107" s="1">
        <v>2.0</v>
      </c>
      <c r="F1107" s="1"/>
      <c r="G1107" s="218"/>
      <c r="H1107" s="1"/>
      <c r="I1107" s="1"/>
      <c r="J1107" s="219"/>
      <c r="K1107" s="219"/>
      <c r="L1107" s="219"/>
      <c r="M1107" s="219"/>
      <c r="N1107" s="1">
        <v>379.0</v>
      </c>
      <c r="O1107" s="1">
        <v>212.0</v>
      </c>
      <c r="P1107" s="1">
        <v>3.0</v>
      </c>
      <c r="Q1107" s="1" t="b">
        <v>1</v>
      </c>
      <c r="R1107" s="1">
        <v>100.0</v>
      </c>
      <c r="S1107" s="1" t="s">
        <v>292</v>
      </c>
      <c r="T1107" s="1" t="s">
        <v>422</v>
      </c>
      <c r="U1107" s="1"/>
    </row>
    <row r="1108">
      <c r="A1108" s="218">
        <v>45222.92762559028</v>
      </c>
      <c r="B1108" s="1" t="s">
        <v>69</v>
      </c>
      <c r="C1108" s="1" t="s">
        <v>253</v>
      </c>
      <c r="D1108" s="1">
        <v>4.0</v>
      </c>
      <c r="E1108" s="1">
        <v>4.0</v>
      </c>
      <c r="F1108" s="1"/>
      <c r="G1108" s="218"/>
      <c r="H1108" s="1"/>
      <c r="I1108" s="1"/>
      <c r="J1108" s="219"/>
      <c r="K1108" s="219"/>
      <c r="L1108" s="219"/>
      <c r="M1108" s="219"/>
      <c r="N1108" s="1">
        <v>224.0</v>
      </c>
      <c r="O1108" s="1">
        <v>274.0</v>
      </c>
      <c r="P1108" s="1">
        <v>3.0</v>
      </c>
      <c r="Q1108" s="1" t="b">
        <v>1</v>
      </c>
      <c r="R1108" s="1">
        <v>100.0</v>
      </c>
      <c r="S1108" s="1" t="s">
        <v>407</v>
      </c>
      <c r="T1108" s="1" t="s">
        <v>423</v>
      </c>
      <c r="U1108" s="1"/>
    </row>
    <row r="1109">
      <c r="A1109" s="218">
        <v>45222.92762559028</v>
      </c>
      <c r="B1109" s="1"/>
      <c r="C1109" s="1"/>
      <c r="D1109" s="1"/>
      <c r="E1109" s="1"/>
      <c r="F1109" s="1"/>
      <c r="G1109" s="218"/>
      <c r="H1109" s="1"/>
      <c r="I1109" s="1"/>
      <c r="J1109" s="219"/>
      <c r="K1109" s="219"/>
      <c r="L1109" s="219"/>
      <c r="M1109" s="219"/>
      <c r="N1109" s="1"/>
      <c r="O1109" s="1"/>
      <c r="P1109" s="1"/>
      <c r="Q1109" s="1"/>
      <c r="R1109" s="1"/>
      <c r="S1109" s="1" t="e">
        <v>#N/A</v>
      </c>
      <c r="T1109" s="1" t="e">
        <v>#N/A</v>
      </c>
      <c r="U1109" s="1"/>
    </row>
    <row r="1110">
      <c r="A1110" s="218">
        <v>45222.92762559028</v>
      </c>
      <c r="B1110" s="1" t="s">
        <v>125</v>
      </c>
      <c r="C1110" s="1" t="s">
        <v>260</v>
      </c>
      <c r="D1110" s="1">
        <v>6.0</v>
      </c>
      <c r="E1110" s="1">
        <v>2.0</v>
      </c>
      <c r="F1110" s="1" t="s">
        <v>1415</v>
      </c>
      <c r="G1110" s="218">
        <v>45224.79166666667</v>
      </c>
      <c r="H1110" s="1" t="s">
        <v>67</v>
      </c>
      <c r="I1110" s="1" t="s">
        <v>99</v>
      </c>
      <c r="J1110" s="219">
        <v>-4.5</v>
      </c>
      <c r="K1110" s="219">
        <v>-7.5</v>
      </c>
      <c r="L1110" s="219">
        <v>-335.0</v>
      </c>
      <c r="M1110" s="219" t="s">
        <v>867</v>
      </c>
      <c r="N1110" s="1">
        <v>216.0</v>
      </c>
      <c r="O1110" s="1">
        <v>153.0</v>
      </c>
      <c r="P1110" s="1">
        <v>1.0</v>
      </c>
      <c r="Q1110" s="1" t="b">
        <v>1</v>
      </c>
      <c r="R1110" s="1">
        <v>100.0</v>
      </c>
      <c r="S1110" s="1" t="s">
        <v>351</v>
      </c>
      <c r="T1110" s="1" t="s">
        <v>423</v>
      </c>
      <c r="U1110" s="1"/>
    </row>
    <row r="1111">
      <c r="A1111" s="218">
        <v>45222.92762559028</v>
      </c>
      <c r="B1111" s="1" t="s">
        <v>125</v>
      </c>
      <c r="C1111" s="1" t="s">
        <v>239</v>
      </c>
      <c r="D1111" s="1">
        <v>6.0</v>
      </c>
      <c r="E1111" s="1">
        <v>1.0</v>
      </c>
      <c r="F1111" s="1" t="s">
        <v>1376</v>
      </c>
      <c r="G1111" s="218">
        <v>45227.64583333333</v>
      </c>
      <c r="H1111" s="1" t="s">
        <v>58</v>
      </c>
      <c r="I1111" s="1" t="s">
        <v>82</v>
      </c>
      <c r="J1111" s="219">
        <v>-20.5</v>
      </c>
      <c r="K1111" s="219">
        <v>-16.0</v>
      </c>
      <c r="L1111" s="219">
        <v>540.0</v>
      </c>
      <c r="M1111" s="219" t="s">
        <v>937</v>
      </c>
      <c r="N1111" s="1">
        <v>241.0</v>
      </c>
      <c r="O1111" s="1">
        <v>122.0</v>
      </c>
      <c r="P1111" s="1">
        <v>1.0</v>
      </c>
      <c r="Q1111" s="1" t="b">
        <v>0</v>
      </c>
      <c r="R1111" s="1">
        <v>100.0</v>
      </c>
      <c r="S1111" s="1" t="s">
        <v>296</v>
      </c>
      <c r="T1111" s="1" t="s">
        <v>422</v>
      </c>
      <c r="U1111" s="1"/>
    </row>
    <row r="1112">
      <c r="A1112" s="218">
        <v>45222.92762559028</v>
      </c>
      <c r="B1112" s="1" t="s">
        <v>125</v>
      </c>
      <c r="C1112" s="1" t="s">
        <v>263</v>
      </c>
      <c r="D1112" s="1">
        <v>4.0</v>
      </c>
      <c r="E1112" s="1">
        <v>3.0</v>
      </c>
      <c r="F1112" s="1" t="s">
        <v>1397</v>
      </c>
      <c r="G1112" s="218">
        <v>45227.66666666667</v>
      </c>
      <c r="H1112" s="1" t="s">
        <v>46</v>
      </c>
      <c r="I1112" s="1" t="s">
        <v>36</v>
      </c>
      <c r="J1112" s="219">
        <v>10.5</v>
      </c>
      <c r="K1112" s="219">
        <v>10.5</v>
      </c>
      <c r="L1112" s="219">
        <v>-480.0</v>
      </c>
      <c r="M1112" s="219" t="s">
        <v>68</v>
      </c>
      <c r="N1112" s="1">
        <v>238.0</v>
      </c>
      <c r="O1112" s="1">
        <v>192.0</v>
      </c>
      <c r="P1112" s="1">
        <v>1.0</v>
      </c>
      <c r="Q1112" s="1" t="b">
        <v>1</v>
      </c>
      <c r="R1112" s="1">
        <v>100.0</v>
      </c>
      <c r="S1112" s="1" t="s">
        <v>407</v>
      </c>
      <c r="T1112" s="1" t="s">
        <v>423</v>
      </c>
      <c r="U1112" s="1"/>
    </row>
    <row r="1113">
      <c r="A1113" s="218">
        <v>45222.92762559028</v>
      </c>
      <c r="B1113" s="1" t="s">
        <v>125</v>
      </c>
      <c r="C1113" s="1" t="s">
        <v>259</v>
      </c>
      <c r="D1113" s="1">
        <v>4.0</v>
      </c>
      <c r="E1113" s="1">
        <v>3.0</v>
      </c>
      <c r="F1113" s="1" t="s">
        <v>1392</v>
      </c>
      <c r="G1113" s="218">
        <v>45227.83333333333</v>
      </c>
      <c r="H1113" s="1" t="s">
        <v>60</v>
      </c>
      <c r="I1113" s="1" t="s">
        <v>287</v>
      </c>
      <c r="J1113" s="219">
        <v>-6.5</v>
      </c>
      <c r="K1113" s="219">
        <v>-6.5</v>
      </c>
      <c r="L1113" s="219">
        <v>-258.0</v>
      </c>
      <c r="M1113" s="219" t="s">
        <v>845</v>
      </c>
      <c r="N1113" s="1">
        <v>230.0</v>
      </c>
      <c r="O1113" s="1">
        <v>209.0</v>
      </c>
      <c r="P1113" s="1">
        <v>1.0</v>
      </c>
      <c r="Q1113" s="1" t="b">
        <v>1</v>
      </c>
      <c r="R1113" s="1">
        <v>100.0</v>
      </c>
      <c r="S1113" s="1" t="s">
        <v>354</v>
      </c>
      <c r="T1113" s="1" t="s">
        <v>422</v>
      </c>
      <c r="U1113" s="1"/>
    </row>
    <row r="1114">
      <c r="A1114" s="218">
        <v>45222.92762559028</v>
      </c>
      <c r="B1114" s="1" t="s">
        <v>125</v>
      </c>
      <c r="C1114" s="1" t="s">
        <v>262</v>
      </c>
      <c r="D1114" s="1">
        <v>7.0</v>
      </c>
      <c r="E1114" s="1">
        <v>0.0</v>
      </c>
      <c r="F1114" s="1" t="s">
        <v>1426</v>
      </c>
      <c r="G1114" s="218">
        <v>45227.83333333333</v>
      </c>
      <c r="H1114" s="1" t="s">
        <v>61</v>
      </c>
      <c r="I1114" s="1" t="s">
        <v>40</v>
      </c>
      <c r="J1114" s="219">
        <v>-17.5</v>
      </c>
      <c r="K1114" s="219">
        <v>-17.5</v>
      </c>
      <c r="L1114" s="219">
        <v>625.0</v>
      </c>
      <c r="M1114" s="219" t="s">
        <v>1341</v>
      </c>
      <c r="N1114" s="1">
        <v>227.0</v>
      </c>
      <c r="O1114" s="1">
        <v>135.0</v>
      </c>
      <c r="P1114" s="1">
        <v>1.0</v>
      </c>
      <c r="Q1114" s="1" t="b">
        <v>1</v>
      </c>
      <c r="R1114" s="1">
        <v>100.0</v>
      </c>
      <c r="S1114" s="1" t="s">
        <v>355</v>
      </c>
      <c r="T1114" s="1" t="s">
        <v>423</v>
      </c>
      <c r="U1114" s="1"/>
    </row>
    <row r="1115">
      <c r="A1115" s="218">
        <v>45222.92762559028</v>
      </c>
      <c r="B1115" s="1" t="s">
        <v>125</v>
      </c>
      <c r="C1115" s="1" t="s">
        <v>258</v>
      </c>
      <c r="D1115" s="1">
        <v>1.0</v>
      </c>
      <c r="E1115" s="1">
        <v>6.0</v>
      </c>
      <c r="F1115" s="1" t="s">
        <v>1371</v>
      </c>
      <c r="G1115" s="218">
        <v>45227.9375</v>
      </c>
      <c r="H1115" s="1" t="s">
        <v>35</v>
      </c>
      <c r="I1115" s="1" t="s">
        <v>99</v>
      </c>
      <c r="J1115" s="219">
        <v>-1.5</v>
      </c>
      <c r="K1115" s="219">
        <v>-1.5</v>
      </c>
      <c r="L1115" s="219">
        <v>105.0</v>
      </c>
      <c r="M1115" s="219" t="s">
        <v>937</v>
      </c>
      <c r="N1115" s="1">
        <v>110.0</v>
      </c>
      <c r="O1115" s="1">
        <v>237.0</v>
      </c>
      <c r="P1115" s="1">
        <v>1.0</v>
      </c>
      <c r="Q1115" s="1" t="b">
        <v>1</v>
      </c>
      <c r="R1115" s="1">
        <v>100.0</v>
      </c>
      <c r="S1115" s="1" t="s">
        <v>353</v>
      </c>
      <c r="T1115" s="1" t="s">
        <v>423</v>
      </c>
      <c r="U1115" s="1"/>
    </row>
    <row r="1116">
      <c r="A1116" s="218">
        <v>45222.92762559028</v>
      </c>
      <c r="B1116" s="1" t="s">
        <v>125</v>
      </c>
      <c r="C1116" s="1" t="s">
        <v>264</v>
      </c>
      <c r="D1116" s="1">
        <v>4.0</v>
      </c>
      <c r="E1116" s="1">
        <v>3.0</v>
      </c>
      <c r="F1116" s="1" t="s">
        <v>1401</v>
      </c>
      <c r="G1116" s="218">
        <v>45227.5</v>
      </c>
      <c r="H1116" s="1" t="s">
        <v>46</v>
      </c>
      <c r="I1116" s="1" t="s">
        <v>76</v>
      </c>
      <c r="J1116" s="219">
        <v>-14.0</v>
      </c>
      <c r="K1116" s="219">
        <v>-14.0</v>
      </c>
      <c r="L1116" s="219">
        <v>430.0</v>
      </c>
      <c r="M1116" s="219" t="s">
        <v>114</v>
      </c>
      <c r="N1116" s="1">
        <v>226.0</v>
      </c>
      <c r="O1116" s="1">
        <v>139.0</v>
      </c>
      <c r="P1116" s="1">
        <v>1.0</v>
      </c>
      <c r="Q1116" s="1" t="b">
        <v>0</v>
      </c>
      <c r="R1116" s="1">
        <v>100.0</v>
      </c>
      <c r="S1116" s="1" t="s">
        <v>292</v>
      </c>
      <c r="T1116" s="1" t="s">
        <v>422</v>
      </c>
      <c r="U1116" s="1"/>
    </row>
    <row r="1117">
      <c r="A1117" s="218">
        <v>45222.92762559028</v>
      </c>
      <c r="B1117" s="1" t="s">
        <v>125</v>
      </c>
      <c r="C1117" s="1" t="s">
        <v>224</v>
      </c>
      <c r="D1117" s="1">
        <v>7.0</v>
      </c>
      <c r="E1117" s="1">
        <v>0.0</v>
      </c>
      <c r="F1117" s="1" t="s">
        <v>1413</v>
      </c>
      <c r="G1117" s="218">
        <v>45227.5</v>
      </c>
      <c r="H1117" s="1" t="s">
        <v>57</v>
      </c>
      <c r="I1117" s="1" t="s">
        <v>82</v>
      </c>
      <c r="J1117" s="219">
        <v>-20.0</v>
      </c>
      <c r="K1117" s="219">
        <v>-20.0</v>
      </c>
      <c r="L1117" s="219">
        <v>-1200.0</v>
      </c>
      <c r="M1117" s="219" t="s">
        <v>1414</v>
      </c>
      <c r="N1117" s="1">
        <v>291.0</v>
      </c>
      <c r="O1117" s="1">
        <v>130.0</v>
      </c>
      <c r="P1117" s="1">
        <v>1.0</v>
      </c>
      <c r="Q1117" s="1" t="b">
        <v>1</v>
      </c>
      <c r="R1117" s="1">
        <v>100.0</v>
      </c>
      <c r="S1117" s="1" t="s">
        <v>301</v>
      </c>
      <c r="T1117" s="1" t="s">
        <v>422</v>
      </c>
      <c r="U1117" s="1"/>
    </row>
    <row r="1118">
      <c r="A1118" s="218">
        <v>45222.92762559028</v>
      </c>
      <c r="B1118" s="1" t="s">
        <v>125</v>
      </c>
      <c r="C1118" s="1" t="s">
        <v>261</v>
      </c>
      <c r="D1118" s="1">
        <v>3.0</v>
      </c>
      <c r="E1118" s="1">
        <v>4.0</v>
      </c>
      <c r="F1118" s="1" t="s">
        <v>1424</v>
      </c>
      <c r="G1118" s="218">
        <v>45227.5</v>
      </c>
      <c r="H1118" s="1" t="s">
        <v>62</v>
      </c>
      <c r="I1118" s="1" t="s">
        <v>888</v>
      </c>
      <c r="J1118" s="219">
        <v>14.0</v>
      </c>
      <c r="K1118" s="219">
        <v>14.0</v>
      </c>
      <c r="L1118" s="219">
        <v>-650.0</v>
      </c>
      <c r="M1118" s="219" t="s">
        <v>854</v>
      </c>
      <c r="N1118" s="1">
        <v>141.0</v>
      </c>
      <c r="O1118" s="1">
        <v>181.0</v>
      </c>
      <c r="P1118" s="1">
        <v>1.0</v>
      </c>
      <c r="Q1118" s="1" t="b">
        <v>0</v>
      </c>
      <c r="R1118" s="1">
        <v>100.0</v>
      </c>
      <c r="S1118" s="1" t="s">
        <v>282</v>
      </c>
      <c r="T1118" s="1" t="s">
        <v>422</v>
      </c>
      <c r="U1118" s="1"/>
    </row>
    <row r="1119">
      <c r="A1119" s="218">
        <v>45222.92762559028</v>
      </c>
      <c r="B1119" s="1" t="s">
        <v>125</v>
      </c>
      <c r="C1119" s="1" t="s">
        <v>265</v>
      </c>
      <c r="D1119" s="1">
        <v>4.0</v>
      </c>
      <c r="E1119" s="1">
        <v>4.0</v>
      </c>
      <c r="F1119" s="1"/>
      <c r="G1119" s="218"/>
      <c r="H1119" s="1"/>
      <c r="I1119" s="1"/>
      <c r="J1119" s="219"/>
      <c r="K1119" s="219"/>
      <c r="L1119" s="219"/>
      <c r="M1119" s="219"/>
      <c r="N1119" s="1">
        <v>176.0</v>
      </c>
      <c r="O1119" s="1">
        <v>238.0</v>
      </c>
      <c r="P1119" s="1">
        <v>3.0</v>
      </c>
      <c r="Q1119" s="1" t="b">
        <v>1</v>
      </c>
      <c r="R1119" s="1">
        <v>100.0</v>
      </c>
      <c r="S1119" s="1" t="s">
        <v>352</v>
      </c>
      <c r="T1119" s="1" t="s">
        <v>423</v>
      </c>
      <c r="U1119" s="1"/>
    </row>
    <row r="1120">
      <c r="A1120" s="218">
        <v>45222.92762559028</v>
      </c>
      <c r="B1120" s="1"/>
      <c r="C1120" s="1"/>
      <c r="D1120" s="1"/>
      <c r="E1120" s="1"/>
      <c r="F1120" s="1"/>
      <c r="G1120" s="218"/>
      <c r="H1120" s="1"/>
      <c r="I1120" s="1"/>
      <c r="J1120" s="219"/>
      <c r="K1120" s="219"/>
      <c r="L1120" s="219"/>
      <c r="M1120" s="219"/>
      <c r="N1120" s="1"/>
      <c r="O1120" s="1"/>
      <c r="P1120" s="1"/>
      <c r="Q1120" s="1"/>
      <c r="R1120" s="1"/>
      <c r="S1120" s="1" t="e">
        <v>#N/A</v>
      </c>
      <c r="T1120" s="1" t="e">
        <v>#N/A</v>
      </c>
      <c r="U1120" s="1"/>
    </row>
    <row r="1121">
      <c r="A1121" s="218">
        <v>45222.92762559028</v>
      </c>
      <c r="B1121" s="1" t="s">
        <v>61</v>
      </c>
      <c r="C1121" s="1" t="s">
        <v>272</v>
      </c>
      <c r="D1121" s="1">
        <v>2.0</v>
      </c>
      <c r="E1121" s="1">
        <v>6.0</v>
      </c>
      <c r="F1121" s="1" t="s">
        <v>1421</v>
      </c>
      <c r="G1121" s="218">
        <v>45227.54166666667</v>
      </c>
      <c r="H1121" s="1" t="s">
        <v>59</v>
      </c>
      <c r="I1121" s="1" t="s">
        <v>935</v>
      </c>
      <c r="J1121" s="219">
        <v>-1.5</v>
      </c>
      <c r="K1121" s="219">
        <v>-1.5</v>
      </c>
      <c r="L1121" s="219">
        <v>-122.0</v>
      </c>
      <c r="M1121" s="219" t="s">
        <v>852</v>
      </c>
      <c r="N1121" s="1">
        <v>191.0</v>
      </c>
      <c r="O1121" s="1">
        <v>274.0</v>
      </c>
      <c r="P1121" s="1">
        <v>1.0</v>
      </c>
      <c r="Q1121" s="1" t="b">
        <v>0</v>
      </c>
      <c r="R1121" s="1">
        <v>100.0</v>
      </c>
      <c r="S1121" s="1" t="s">
        <v>352</v>
      </c>
      <c r="T1121" s="1" t="s">
        <v>423</v>
      </c>
      <c r="U1121" s="1"/>
    </row>
    <row r="1122">
      <c r="A1122" s="218">
        <v>45222.92762559028</v>
      </c>
      <c r="B1122" s="1" t="s">
        <v>61</v>
      </c>
      <c r="C1122" s="1" t="s">
        <v>268</v>
      </c>
      <c r="D1122" s="1">
        <v>4.0</v>
      </c>
      <c r="E1122" s="1">
        <v>3.0</v>
      </c>
      <c r="F1122" s="1" t="s">
        <v>1402</v>
      </c>
      <c r="G1122" s="218">
        <v>45227.58333333333</v>
      </c>
      <c r="H1122" s="1" t="s">
        <v>70</v>
      </c>
      <c r="I1122" s="1" t="s">
        <v>1019</v>
      </c>
      <c r="J1122" s="219">
        <v>10.0</v>
      </c>
      <c r="K1122" s="219">
        <v>10.0</v>
      </c>
      <c r="L1122" s="219">
        <v>-380.0</v>
      </c>
      <c r="M1122" s="219" t="s">
        <v>1403</v>
      </c>
      <c r="N1122" s="1">
        <v>178.0</v>
      </c>
      <c r="O1122" s="1">
        <v>165.0</v>
      </c>
      <c r="P1122" s="1">
        <v>1.0</v>
      </c>
      <c r="Q1122" s="1" t="b">
        <v>0</v>
      </c>
      <c r="R1122" s="1">
        <v>100.0</v>
      </c>
      <c r="S1122" s="1" t="s">
        <v>301</v>
      </c>
      <c r="T1122" s="1" t="s">
        <v>422</v>
      </c>
      <c r="U1122" s="1"/>
    </row>
    <row r="1123">
      <c r="A1123" s="218">
        <v>45222.92762559028</v>
      </c>
      <c r="B1123" s="1" t="s">
        <v>61</v>
      </c>
      <c r="C1123" s="1" t="s">
        <v>233</v>
      </c>
      <c r="D1123" s="1">
        <v>5.0</v>
      </c>
      <c r="E1123" s="1">
        <v>2.0</v>
      </c>
      <c r="F1123" s="1" t="s">
        <v>1406</v>
      </c>
      <c r="G1123" s="218">
        <v>45227.79166666667</v>
      </c>
      <c r="H1123" s="1" t="s">
        <v>70</v>
      </c>
      <c r="I1123" s="1" t="s">
        <v>76</v>
      </c>
      <c r="J1123" s="219">
        <v>-4.5</v>
      </c>
      <c r="K1123" s="219">
        <v>-3.5</v>
      </c>
      <c r="L1123" s="219">
        <v>-160.0</v>
      </c>
      <c r="M1123" s="219" t="s">
        <v>845</v>
      </c>
      <c r="N1123" s="1">
        <v>221.0</v>
      </c>
      <c r="O1123" s="1">
        <v>136.0</v>
      </c>
      <c r="P1123" s="1">
        <v>1.0</v>
      </c>
      <c r="Q1123" s="1" t="b">
        <v>1</v>
      </c>
      <c r="R1123" s="1">
        <v>100.0</v>
      </c>
      <c r="S1123" s="1" t="s">
        <v>292</v>
      </c>
      <c r="T1123" s="1" t="s">
        <v>422</v>
      </c>
      <c r="U1123" s="1"/>
    </row>
    <row r="1124">
      <c r="A1124" s="218">
        <v>45222.92762559028</v>
      </c>
      <c r="B1124" s="1" t="s">
        <v>61</v>
      </c>
      <c r="C1124" s="1" t="s">
        <v>269</v>
      </c>
      <c r="D1124" s="1">
        <v>4.0</v>
      </c>
      <c r="E1124" s="1">
        <v>3.0</v>
      </c>
      <c r="F1124" s="1" t="s">
        <v>1382</v>
      </c>
      <c r="G1124" s="218">
        <v>45227.8125</v>
      </c>
      <c r="H1124" s="1" t="s">
        <v>58</v>
      </c>
      <c r="I1124" s="1" t="s">
        <v>82</v>
      </c>
      <c r="J1124" s="219">
        <v>17.5</v>
      </c>
      <c r="K1124" s="219">
        <v>17.5</v>
      </c>
      <c r="L1124" s="219">
        <v>680.0</v>
      </c>
      <c r="M1124" s="219" t="s">
        <v>908</v>
      </c>
      <c r="N1124" s="1">
        <v>241.0</v>
      </c>
      <c r="O1124" s="1">
        <v>251.0</v>
      </c>
      <c r="P1124" s="1">
        <v>1.0</v>
      </c>
      <c r="Q1124" s="1" t="b">
        <v>0</v>
      </c>
      <c r="R1124" s="1">
        <v>100.0</v>
      </c>
      <c r="S1124" s="1" t="s">
        <v>354</v>
      </c>
      <c r="T1124" s="1" t="s">
        <v>422</v>
      </c>
      <c r="U1124" s="1"/>
    </row>
    <row r="1125">
      <c r="A1125" s="218">
        <v>45222.92762559028</v>
      </c>
      <c r="B1125" s="1" t="s">
        <v>61</v>
      </c>
      <c r="C1125" s="1" t="s">
        <v>270</v>
      </c>
      <c r="D1125" s="1">
        <v>4.0</v>
      </c>
      <c r="E1125" s="1">
        <v>3.0</v>
      </c>
      <c r="F1125" s="1" t="s">
        <v>1426</v>
      </c>
      <c r="G1125" s="218">
        <v>45227.83333333333</v>
      </c>
      <c r="H1125" s="1" t="s">
        <v>125</v>
      </c>
      <c r="I1125" s="1" t="s">
        <v>40</v>
      </c>
      <c r="J1125" s="219">
        <v>17.5</v>
      </c>
      <c r="K1125" s="219">
        <v>17.5</v>
      </c>
      <c r="L1125" s="219">
        <v>625.0</v>
      </c>
      <c r="M1125" s="219" t="s">
        <v>1341</v>
      </c>
      <c r="N1125" s="1">
        <v>169.0</v>
      </c>
      <c r="O1125" s="1">
        <v>178.0</v>
      </c>
      <c r="P1125" s="1">
        <v>1.0</v>
      </c>
      <c r="Q1125" s="1" t="b">
        <v>0</v>
      </c>
      <c r="R1125" s="1">
        <v>100.0</v>
      </c>
      <c r="S1125" s="1" t="s">
        <v>355</v>
      </c>
      <c r="T1125" s="1" t="s">
        <v>423</v>
      </c>
      <c r="U1125" s="1"/>
    </row>
    <row r="1126">
      <c r="A1126" s="218">
        <v>45222.92762559028</v>
      </c>
      <c r="B1126" s="1" t="s">
        <v>61</v>
      </c>
      <c r="C1126" s="1" t="s">
        <v>267</v>
      </c>
      <c r="D1126" s="1">
        <v>5.0</v>
      </c>
      <c r="E1126" s="1">
        <v>2.0</v>
      </c>
      <c r="F1126" s="1" t="s">
        <v>1423</v>
      </c>
      <c r="G1126" s="218">
        <v>45227.83333333333</v>
      </c>
      <c r="H1126" s="1" t="s">
        <v>62</v>
      </c>
      <c r="I1126" s="1" t="s">
        <v>36</v>
      </c>
      <c r="J1126" s="219">
        <v>-5.5</v>
      </c>
      <c r="K1126" s="219">
        <v>-7.5</v>
      </c>
      <c r="L1126" s="219">
        <v>265.0</v>
      </c>
      <c r="M1126" s="219" t="s">
        <v>840</v>
      </c>
      <c r="N1126" s="1">
        <v>204.0</v>
      </c>
      <c r="O1126" s="1">
        <v>182.0</v>
      </c>
      <c r="P1126" s="1">
        <v>1.0</v>
      </c>
      <c r="Q1126" s="1" t="b">
        <v>0</v>
      </c>
      <c r="R1126" s="1">
        <v>100.0</v>
      </c>
      <c r="S1126" s="1" t="s">
        <v>296</v>
      </c>
      <c r="T1126" s="1" t="s">
        <v>422</v>
      </c>
      <c r="U1126" s="1"/>
    </row>
    <row r="1127">
      <c r="A1127" s="218">
        <v>45222.92762559028</v>
      </c>
      <c r="B1127" s="1" t="s">
        <v>61</v>
      </c>
      <c r="C1127" s="1" t="s">
        <v>273</v>
      </c>
      <c r="D1127" s="1">
        <v>3.0</v>
      </c>
      <c r="E1127" s="1">
        <v>5.0</v>
      </c>
      <c r="F1127" s="1"/>
      <c r="G1127" s="218"/>
      <c r="H1127" s="1"/>
      <c r="I1127" s="1"/>
      <c r="J1127" s="219"/>
      <c r="K1127" s="219"/>
      <c r="L1127" s="219"/>
      <c r="M1127" s="219"/>
      <c r="N1127" s="1">
        <v>282.0</v>
      </c>
      <c r="O1127" s="1">
        <v>272.0</v>
      </c>
      <c r="P1127" s="1">
        <v>3.0</v>
      </c>
      <c r="Q1127" s="1" t="b">
        <v>0</v>
      </c>
      <c r="R1127" s="1">
        <v>100.0</v>
      </c>
      <c r="S1127" s="1" t="s">
        <v>353</v>
      </c>
      <c r="T1127" s="1" t="s">
        <v>423</v>
      </c>
      <c r="U1127" s="1"/>
    </row>
    <row r="1128">
      <c r="A1128" s="218">
        <v>45222.92762559028</v>
      </c>
      <c r="B1128" s="1" t="s">
        <v>61</v>
      </c>
      <c r="C1128" s="1" t="s">
        <v>266</v>
      </c>
      <c r="D1128" s="1">
        <v>6.0</v>
      </c>
      <c r="E1128" s="1">
        <v>2.0</v>
      </c>
      <c r="F1128" s="1"/>
      <c r="G1128" s="218"/>
      <c r="H1128" s="1"/>
      <c r="I1128" s="1"/>
      <c r="J1128" s="219"/>
      <c r="K1128" s="219"/>
      <c r="L1128" s="219"/>
      <c r="M1128" s="219"/>
      <c r="N1128" s="1">
        <v>156.0</v>
      </c>
      <c r="O1128" s="1">
        <v>116.0</v>
      </c>
      <c r="P1128" s="1">
        <v>3.0</v>
      </c>
      <c r="Q1128" s="1" t="b">
        <v>1</v>
      </c>
      <c r="R1128" s="1">
        <v>100.0</v>
      </c>
      <c r="S1128" s="1" t="s">
        <v>282</v>
      </c>
      <c r="T1128" s="1" t="s">
        <v>422</v>
      </c>
      <c r="U1128" s="1"/>
    </row>
    <row r="1129">
      <c r="A1129" s="218">
        <v>45222.92762559028</v>
      </c>
      <c r="B1129" s="1" t="s">
        <v>61</v>
      </c>
      <c r="C1129" s="1" t="s">
        <v>271</v>
      </c>
      <c r="D1129" s="1">
        <v>2.0</v>
      </c>
      <c r="E1129" s="1">
        <v>6.0</v>
      </c>
      <c r="F1129" s="1"/>
      <c r="G1129" s="218"/>
      <c r="H1129" s="1"/>
      <c r="I1129" s="1"/>
      <c r="J1129" s="219"/>
      <c r="K1129" s="219"/>
      <c r="L1129" s="219"/>
      <c r="M1129" s="219"/>
      <c r="N1129" s="1">
        <v>232.0</v>
      </c>
      <c r="O1129" s="1">
        <v>301.0</v>
      </c>
      <c r="P1129" s="1">
        <v>3.0</v>
      </c>
      <c r="Q1129" s="1" t="b">
        <v>1</v>
      </c>
      <c r="R1129" s="1">
        <v>100.0</v>
      </c>
      <c r="S1129" s="1" t="s">
        <v>407</v>
      </c>
      <c r="T1129" s="1" t="s">
        <v>423</v>
      </c>
      <c r="U1129" s="1"/>
    </row>
    <row r="1130">
      <c r="A1130" s="218">
        <v>45229.9276258912</v>
      </c>
      <c r="B1130" s="1" t="s">
        <v>35</v>
      </c>
      <c r="C1130" s="1" t="s">
        <v>75</v>
      </c>
      <c r="D1130" s="1">
        <v>1.0</v>
      </c>
      <c r="E1130" s="1">
        <v>7.0</v>
      </c>
      <c r="F1130" s="1" t="s">
        <v>1427</v>
      </c>
      <c r="G1130" s="218">
        <v>45231.8125</v>
      </c>
      <c r="H1130" s="1" t="s">
        <v>46</v>
      </c>
      <c r="I1130" s="1" t="s">
        <v>40</v>
      </c>
      <c r="J1130" s="219">
        <v>3.5</v>
      </c>
      <c r="K1130" s="219">
        <v>3.5</v>
      </c>
      <c r="L1130" s="219">
        <v>146.0</v>
      </c>
      <c r="M1130" s="219" t="s">
        <v>1336</v>
      </c>
      <c r="N1130" s="1">
        <v>100.0</v>
      </c>
      <c r="O1130" s="1">
        <v>264.0</v>
      </c>
      <c r="P1130" s="1">
        <v>1.0</v>
      </c>
      <c r="Q1130" s="1" t="b">
        <v>0</v>
      </c>
      <c r="R1130" s="1">
        <v>100.0</v>
      </c>
      <c r="S1130" s="1" t="s">
        <v>352</v>
      </c>
      <c r="T1130" s="1" t="s">
        <v>423</v>
      </c>
      <c r="U1130" s="1"/>
    </row>
    <row r="1131">
      <c r="A1131" s="218">
        <v>45229.9276258912</v>
      </c>
      <c r="B1131" s="1" t="s">
        <v>35</v>
      </c>
      <c r="C1131" s="1" t="s">
        <v>78</v>
      </c>
      <c r="D1131" s="1">
        <v>0.0</v>
      </c>
      <c r="E1131" s="1">
        <v>8.0</v>
      </c>
      <c r="F1131" s="1" t="s">
        <v>1428</v>
      </c>
      <c r="G1131" s="218">
        <v>45234.54166666667</v>
      </c>
      <c r="H1131" s="1"/>
      <c r="I1131" s="1" t="s">
        <v>935</v>
      </c>
      <c r="J1131" s="219"/>
      <c r="K1131" s="219"/>
      <c r="L1131" s="219"/>
      <c r="M1131" s="219"/>
      <c r="N1131" s="1">
        <v>128.0</v>
      </c>
      <c r="O1131" s="1">
        <v>218.0</v>
      </c>
      <c r="P1131" s="1">
        <v>1.0</v>
      </c>
      <c r="Q1131" s="1" t="b">
        <v>0</v>
      </c>
      <c r="R1131" s="1">
        <v>100.0</v>
      </c>
      <c r="S1131" s="1" t="s">
        <v>351</v>
      </c>
      <c r="T1131" s="1" t="s">
        <v>423</v>
      </c>
      <c r="U1131" s="1"/>
    </row>
    <row r="1132">
      <c r="A1132" s="218">
        <v>45229.9276258912</v>
      </c>
      <c r="B1132" s="1" t="s">
        <v>35</v>
      </c>
      <c r="C1132" s="1" t="s">
        <v>81</v>
      </c>
      <c r="D1132" s="1">
        <v>2.0</v>
      </c>
      <c r="E1132" s="1">
        <v>6.0</v>
      </c>
      <c r="F1132" s="1" t="s">
        <v>1429</v>
      </c>
      <c r="G1132" s="218">
        <v>45234.58333333333</v>
      </c>
      <c r="H1132" s="1" t="s">
        <v>59</v>
      </c>
      <c r="I1132" s="1" t="s">
        <v>935</v>
      </c>
      <c r="J1132" s="219">
        <v>7.0</v>
      </c>
      <c r="K1132" s="219">
        <v>7.0</v>
      </c>
      <c r="L1132" s="219">
        <v>-275.0</v>
      </c>
      <c r="M1132" s="219" t="s">
        <v>1361</v>
      </c>
      <c r="N1132" s="1">
        <v>153.0</v>
      </c>
      <c r="O1132" s="1">
        <v>304.0</v>
      </c>
      <c r="P1132" s="1">
        <v>1.0</v>
      </c>
      <c r="Q1132" s="1" t="b">
        <v>0</v>
      </c>
      <c r="R1132" s="1">
        <v>100.0</v>
      </c>
      <c r="S1132" s="1" t="s">
        <v>407</v>
      </c>
      <c r="T1132" s="1" t="s">
        <v>423</v>
      </c>
      <c r="U1132" s="1"/>
    </row>
    <row r="1133">
      <c r="A1133" s="218">
        <v>45229.9276258912</v>
      </c>
      <c r="B1133" s="1" t="s">
        <v>35</v>
      </c>
      <c r="C1133" s="1" t="s">
        <v>63</v>
      </c>
      <c r="D1133" s="1">
        <v>8.0</v>
      </c>
      <c r="E1133" s="1">
        <v>0.0</v>
      </c>
      <c r="F1133" s="1" t="s">
        <v>1430</v>
      </c>
      <c r="G1133" s="218">
        <v>45234.64583333333</v>
      </c>
      <c r="H1133" s="1" t="s">
        <v>59</v>
      </c>
      <c r="I1133" s="1" t="s">
        <v>86</v>
      </c>
      <c r="J1133" s="219">
        <v>-17.5</v>
      </c>
      <c r="K1133" s="219">
        <v>-16.5</v>
      </c>
      <c r="L1133" s="219">
        <v>590.0</v>
      </c>
      <c r="M1133" s="219" t="s">
        <v>104</v>
      </c>
      <c r="N1133" s="1">
        <v>324.0</v>
      </c>
      <c r="O1133" s="1">
        <v>118.0</v>
      </c>
      <c r="P1133" s="1">
        <v>1.0</v>
      </c>
      <c r="Q1133" s="1" t="b">
        <v>1</v>
      </c>
      <c r="R1133" s="1">
        <v>100.0</v>
      </c>
      <c r="S1133" s="1" t="s">
        <v>292</v>
      </c>
      <c r="T1133" s="1" t="s">
        <v>422</v>
      </c>
      <c r="U1133" s="1"/>
    </row>
    <row r="1134">
      <c r="A1134" s="218">
        <v>45229.9276258912</v>
      </c>
      <c r="B1134" s="1" t="s">
        <v>35</v>
      </c>
      <c r="C1134" s="1" t="s">
        <v>38</v>
      </c>
      <c r="D1134" s="1">
        <v>7.0</v>
      </c>
      <c r="E1134" s="1">
        <v>1.0</v>
      </c>
      <c r="F1134" s="1" t="s">
        <v>1431</v>
      </c>
      <c r="G1134" s="218">
        <v>45234.72916666667</v>
      </c>
      <c r="H1134" s="1" t="s">
        <v>69</v>
      </c>
      <c r="I1134" s="1" t="s">
        <v>287</v>
      </c>
      <c r="J1134" s="219">
        <v>-23.5</v>
      </c>
      <c r="K1134" s="219">
        <v>-23.5</v>
      </c>
      <c r="L1134" s="219">
        <v>1400.0</v>
      </c>
      <c r="M1134" s="219" t="s">
        <v>203</v>
      </c>
      <c r="N1134" s="1">
        <v>364.0</v>
      </c>
      <c r="O1134" s="1">
        <v>125.0</v>
      </c>
      <c r="P1134" s="1">
        <v>1.0</v>
      </c>
      <c r="Q1134" s="1" t="b">
        <v>1</v>
      </c>
      <c r="R1134" s="1">
        <v>100.0</v>
      </c>
      <c r="S1134" s="1" t="s">
        <v>354</v>
      </c>
      <c r="T1134" s="1" t="s">
        <v>422</v>
      </c>
      <c r="U1134" s="1"/>
    </row>
    <row r="1135">
      <c r="A1135" s="218">
        <v>45229.9276258912</v>
      </c>
      <c r="B1135" s="1" t="s">
        <v>35</v>
      </c>
      <c r="C1135" s="1" t="s">
        <v>88</v>
      </c>
      <c r="D1135" s="1">
        <v>3.0</v>
      </c>
      <c r="E1135" s="1">
        <v>5.0</v>
      </c>
      <c r="F1135" s="1" t="s">
        <v>1432</v>
      </c>
      <c r="G1135" s="218">
        <v>45234.75</v>
      </c>
      <c r="H1135" s="1" t="s">
        <v>57</v>
      </c>
      <c r="I1135" s="1" t="s">
        <v>1433</v>
      </c>
      <c r="J1135" s="219">
        <v>10.5</v>
      </c>
      <c r="K1135" s="219">
        <v>10.5</v>
      </c>
      <c r="L1135" s="219">
        <v>-400.0</v>
      </c>
      <c r="M1135" s="219" t="s">
        <v>971</v>
      </c>
      <c r="N1135" s="1">
        <v>233.0</v>
      </c>
      <c r="O1135" s="1">
        <v>262.0</v>
      </c>
      <c r="P1135" s="1">
        <v>1.0</v>
      </c>
      <c r="Q1135" s="1" t="b">
        <v>0</v>
      </c>
      <c r="R1135" s="1">
        <v>100.0</v>
      </c>
      <c r="S1135" s="1" t="s">
        <v>353</v>
      </c>
      <c r="T1135" s="1" t="s">
        <v>423</v>
      </c>
      <c r="U1135" s="1"/>
    </row>
    <row r="1136">
      <c r="A1136" s="218">
        <v>45229.9276258912</v>
      </c>
      <c r="B1136" s="1" t="s">
        <v>35</v>
      </c>
      <c r="C1136" s="1" t="s">
        <v>71</v>
      </c>
      <c r="D1136" s="1">
        <v>4.0</v>
      </c>
      <c r="E1136" s="1">
        <v>4.0</v>
      </c>
      <c r="F1136" s="1" t="s">
        <v>1434</v>
      </c>
      <c r="G1136" s="218">
        <v>45234.75</v>
      </c>
      <c r="H1136" s="1" t="s">
        <v>58</v>
      </c>
      <c r="I1136" s="1" t="s">
        <v>981</v>
      </c>
      <c r="J1136" s="219">
        <v>-4.5</v>
      </c>
      <c r="K1136" s="219">
        <v>-4.5</v>
      </c>
      <c r="L1136" s="219">
        <v>164.0</v>
      </c>
      <c r="M1136" s="219" t="s">
        <v>840</v>
      </c>
      <c r="N1136" s="1">
        <v>275.0</v>
      </c>
      <c r="O1136" s="1">
        <v>247.0</v>
      </c>
      <c r="P1136" s="1">
        <v>1.0</v>
      </c>
      <c r="Q1136" s="1" t="b">
        <v>0</v>
      </c>
      <c r="R1136" s="1">
        <v>100.0</v>
      </c>
      <c r="S1136" s="1" t="s">
        <v>355</v>
      </c>
      <c r="T1136" s="1" t="s">
        <v>423</v>
      </c>
      <c r="U1136" s="1"/>
    </row>
    <row r="1137">
      <c r="A1137" s="218">
        <v>45229.9276258912</v>
      </c>
      <c r="B1137" s="1" t="s">
        <v>35</v>
      </c>
      <c r="C1137" s="1" t="s">
        <v>79</v>
      </c>
      <c r="D1137" s="1">
        <v>6.0</v>
      </c>
      <c r="E1137" s="1">
        <v>2.0</v>
      </c>
      <c r="F1137" s="1" t="s">
        <v>1435</v>
      </c>
      <c r="G1137" s="218">
        <v>45234.83333333333</v>
      </c>
      <c r="H1137" s="1" t="s">
        <v>61</v>
      </c>
      <c r="I1137" s="1" t="s">
        <v>900</v>
      </c>
      <c r="J1137" s="219">
        <v>-4.5</v>
      </c>
      <c r="K1137" s="219">
        <v>-4.5</v>
      </c>
      <c r="L1137" s="219">
        <v>-194.0</v>
      </c>
      <c r="M1137" s="219" t="s">
        <v>867</v>
      </c>
      <c r="N1137" s="1">
        <v>283.0</v>
      </c>
      <c r="O1137" s="1">
        <v>160.0</v>
      </c>
      <c r="P1137" s="1">
        <v>1.0</v>
      </c>
      <c r="Q1137" s="1" t="b">
        <v>1</v>
      </c>
      <c r="R1137" s="1">
        <v>100.0</v>
      </c>
      <c r="S1137" s="1" t="s">
        <v>301</v>
      </c>
      <c r="T1137" s="1" t="s">
        <v>422</v>
      </c>
      <c r="U1137" s="1"/>
    </row>
    <row r="1138">
      <c r="A1138" s="218">
        <v>45229.9276258912</v>
      </c>
      <c r="B1138" s="1" t="s">
        <v>35</v>
      </c>
      <c r="C1138" s="1" t="s">
        <v>80</v>
      </c>
      <c r="D1138" s="1">
        <v>5.0</v>
      </c>
      <c r="E1138" s="1">
        <v>3.0</v>
      </c>
      <c r="F1138" s="1" t="s">
        <v>1436</v>
      </c>
      <c r="G1138" s="218">
        <v>45234.5</v>
      </c>
      <c r="H1138" s="1" t="s">
        <v>60</v>
      </c>
      <c r="I1138" s="1" t="s">
        <v>96</v>
      </c>
      <c r="J1138" s="219">
        <v>-1.5</v>
      </c>
      <c r="K1138" s="219">
        <v>-3.5</v>
      </c>
      <c r="L1138" s="219">
        <v>-164.0</v>
      </c>
      <c r="M1138" s="219" t="s">
        <v>1437</v>
      </c>
      <c r="N1138" s="1">
        <v>162.0</v>
      </c>
      <c r="O1138" s="1">
        <v>149.0</v>
      </c>
      <c r="P1138" s="1">
        <v>1.0</v>
      </c>
      <c r="Q1138" s="1" t="b">
        <v>0</v>
      </c>
      <c r="R1138" s="1">
        <v>100.0</v>
      </c>
      <c r="S1138" s="1" t="s">
        <v>282</v>
      </c>
      <c r="T1138" s="1" t="s">
        <v>422</v>
      </c>
      <c r="U1138" s="1"/>
    </row>
    <row r="1139">
      <c r="A1139" s="218">
        <v>45229.9276258912</v>
      </c>
      <c r="B1139" s="1" t="s">
        <v>35</v>
      </c>
      <c r="C1139" s="1" t="s">
        <v>74</v>
      </c>
      <c r="D1139" s="1">
        <v>6.0</v>
      </c>
      <c r="E1139" s="1">
        <v>2.0</v>
      </c>
      <c r="F1139" s="1" t="s">
        <v>1438</v>
      </c>
      <c r="G1139" s="218">
        <v>45234.5</v>
      </c>
      <c r="H1139" s="1" t="s">
        <v>125</v>
      </c>
      <c r="I1139" s="1" t="s">
        <v>92</v>
      </c>
      <c r="J1139" s="219">
        <v>6.5</v>
      </c>
      <c r="K1139" s="219">
        <v>5.5</v>
      </c>
      <c r="L1139" s="219">
        <v>164.0</v>
      </c>
      <c r="M1139" s="219" t="s">
        <v>845</v>
      </c>
      <c r="N1139" s="1">
        <v>299.0</v>
      </c>
      <c r="O1139" s="1">
        <v>127.0</v>
      </c>
      <c r="P1139" s="1">
        <v>1.0</v>
      </c>
      <c r="Q1139" s="1" t="b">
        <v>0</v>
      </c>
      <c r="R1139" s="1">
        <v>100.0</v>
      </c>
      <c r="S1139" s="1" t="s">
        <v>296</v>
      </c>
      <c r="T1139" s="1" t="s">
        <v>422</v>
      </c>
      <c r="U1139" s="1"/>
    </row>
    <row r="1140">
      <c r="A1140" s="218">
        <v>45229.9276258912</v>
      </c>
      <c r="B1140" s="1"/>
      <c r="C1140" s="1"/>
      <c r="D1140" s="1"/>
      <c r="E1140" s="1"/>
      <c r="F1140" s="1"/>
      <c r="G1140" s="218"/>
      <c r="H1140" s="1"/>
      <c r="I1140" s="1"/>
      <c r="J1140" s="219"/>
      <c r="K1140" s="219"/>
      <c r="L1140" s="219"/>
      <c r="M1140" s="219"/>
      <c r="N1140" s="1"/>
      <c r="O1140" s="1"/>
      <c r="P1140" s="1"/>
      <c r="Q1140" s="1"/>
      <c r="R1140" s="1"/>
      <c r="S1140" s="1" t="e">
        <v>#N/A</v>
      </c>
      <c r="T1140" s="1" t="e">
        <v>#N/A</v>
      </c>
      <c r="U1140" s="1"/>
    </row>
    <row r="1141">
      <c r="A1141" s="218">
        <v>45229.9276258912</v>
      </c>
      <c r="B1141" s="1" t="s">
        <v>58</v>
      </c>
      <c r="C1141" s="1" t="s">
        <v>117</v>
      </c>
      <c r="D1141" s="1">
        <v>4.0</v>
      </c>
      <c r="E1141" s="1">
        <v>4.0</v>
      </c>
      <c r="F1141" s="1" t="s">
        <v>1439</v>
      </c>
      <c r="G1141" s="218">
        <v>45230.79166666667</v>
      </c>
      <c r="H1141" s="1" t="s">
        <v>125</v>
      </c>
      <c r="I1141" s="1" t="s">
        <v>40</v>
      </c>
      <c r="J1141" s="219">
        <v>-1.5</v>
      </c>
      <c r="K1141" s="219">
        <v>-3.5</v>
      </c>
      <c r="L1141" s="219">
        <v>-176.0</v>
      </c>
      <c r="M1141" s="219" t="s">
        <v>867</v>
      </c>
      <c r="N1141" s="1">
        <v>194.0</v>
      </c>
      <c r="O1141" s="1">
        <v>170.0</v>
      </c>
      <c r="P1141" s="1">
        <v>1.0</v>
      </c>
      <c r="Q1141" s="1" t="b">
        <v>0</v>
      </c>
      <c r="R1141" s="1">
        <v>100.0</v>
      </c>
      <c r="S1141" s="1" t="s">
        <v>352</v>
      </c>
      <c r="T1141" s="1" t="s">
        <v>423</v>
      </c>
      <c r="U1141" s="1"/>
    </row>
    <row r="1142">
      <c r="A1142" s="218">
        <v>45229.9276258912</v>
      </c>
      <c r="B1142" s="1" t="s">
        <v>58</v>
      </c>
      <c r="C1142" s="1" t="s">
        <v>105</v>
      </c>
      <c r="D1142" s="1">
        <v>3.0</v>
      </c>
      <c r="E1142" s="1">
        <v>5.0</v>
      </c>
      <c r="F1142" s="1" t="s">
        <v>1440</v>
      </c>
      <c r="G1142" s="218">
        <v>45233.83333333333</v>
      </c>
      <c r="H1142" s="1" t="s">
        <v>46</v>
      </c>
      <c r="I1142" s="1" t="s">
        <v>99</v>
      </c>
      <c r="J1142" s="219">
        <v>7.5</v>
      </c>
      <c r="K1142" s="219">
        <v>7.0</v>
      </c>
      <c r="L1142" s="219">
        <v>215.0</v>
      </c>
      <c r="M1142" s="219" t="s">
        <v>122</v>
      </c>
      <c r="N1142" s="1">
        <v>222.0</v>
      </c>
      <c r="O1142" s="1">
        <v>265.0</v>
      </c>
      <c r="P1142" s="1">
        <v>1.0</v>
      </c>
      <c r="Q1142" s="1" t="b">
        <v>0</v>
      </c>
      <c r="R1142" s="1">
        <v>100.0</v>
      </c>
      <c r="S1142" s="1" t="s">
        <v>353</v>
      </c>
      <c r="T1142" s="1" t="s">
        <v>423</v>
      </c>
      <c r="U1142" s="1"/>
    </row>
    <row r="1143">
      <c r="A1143" s="218">
        <v>45229.9276258912</v>
      </c>
      <c r="B1143" s="1" t="s">
        <v>58</v>
      </c>
      <c r="C1143" s="1" t="s">
        <v>118</v>
      </c>
      <c r="D1143" s="1">
        <v>6.0</v>
      </c>
      <c r="E1143" s="1">
        <v>2.0</v>
      </c>
      <c r="F1143" s="1" t="s">
        <v>1441</v>
      </c>
      <c r="G1143" s="218">
        <v>45234.625</v>
      </c>
      <c r="H1143" s="1" t="s">
        <v>69</v>
      </c>
      <c r="I1143" s="1" t="s">
        <v>935</v>
      </c>
      <c r="J1143" s="219">
        <v>-13.5</v>
      </c>
      <c r="K1143" s="219">
        <v>-13.5</v>
      </c>
      <c r="L1143" s="219">
        <v>375.0</v>
      </c>
      <c r="M1143" s="219" t="s">
        <v>1363</v>
      </c>
      <c r="N1143" s="1">
        <v>294.0</v>
      </c>
      <c r="O1143" s="1">
        <v>201.0</v>
      </c>
      <c r="P1143" s="1">
        <v>1.0</v>
      </c>
      <c r="Q1143" s="1" t="b">
        <v>1</v>
      </c>
      <c r="R1143" s="1">
        <v>100.0</v>
      </c>
      <c r="S1143" s="1" t="s">
        <v>407</v>
      </c>
      <c r="T1143" s="1" t="s">
        <v>423</v>
      </c>
      <c r="U1143" s="1"/>
    </row>
    <row r="1144">
      <c r="A1144" s="218">
        <v>45229.9276258912</v>
      </c>
      <c r="B1144" s="1" t="s">
        <v>58</v>
      </c>
      <c r="C1144" s="1" t="s">
        <v>116</v>
      </c>
      <c r="D1144" s="1">
        <v>5.0</v>
      </c>
      <c r="E1144" s="1">
        <v>3.0</v>
      </c>
      <c r="F1144" s="1" t="s">
        <v>1442</v>
      </c>
      <c r="G1144" s="218">
        <v>45234.64583333333</v>
      </c>
      <c r="H1144" s="1" t="s">
        <v>46</v>
      </c>
      <c r="I1144" s="1" t="s">
        <v>888</v>
      </c>
      <c r="J1144" s="219">
        <v>-3.0</v>
      </c>
      <c r="K1144" s="219">
        <v>-3.0</v>
      </c>
      <c r="L1144" s="219">
        <v>120.0</v>
      </c>
      <c r="M1144" s="219" t="s">
        <v>1361</v>
      </c>
      <c r="N1144" s="1">
        <v>169.0</v>
      </c>
      <c r="O1144" s="1">
        <v>182.0</v>
      </c>
      <c r="P1144" s="1">
        <v>1.0</v>
      </c>
      <c r="Q1144" s="1" t="b">
        <v>1</v>
      </c>
      <c r="R1144" s="1">
        <v>100.0</v>
      </c>
      <c r="S1144" s="1" t="s">
        <v>282</v>
      </c>
      <c r="T1144" s="1" t="s">
        <v>422</v>
      </c>
      <c r="U1144" s="1"/>
    </row>
    <row r="1145">
      <c r="A1145" s="218">
        <v>45229.9276258912</v>
      </c>
      <c r="B1145" s="1" t="s">
        <v>58</v>
      </c>
      <c r="C1145" s="1" t="s">
        <v>113</v>
      </c>
      <c r="D1145" s="1">
        <v>4.0</v>
      </c>
      <c r="E1145" s="1">
        <v>4.0</v>
      </c>
      <c r="F1145" s="1" t="s">
        <v>1443</v>
      </c>
      <c r="G1145" s="218">
        <v>45234.64583333333</v>
      </c>
      <c r="H1145" s="1" t="s">
        <v>60</v>
      </c>
      <c r="I1145" s="1" t="s">
        <v>900</v>
      </c>
      <c r="J1145" s="219">
        <v>9.5</v>
      </c>
      <c r="K1145" s="219">
        <v>9.5</v>
      </c>
      <c r="L1145" s="219">
        <v>320.0</v>
      </c>
      <c r="M1145" s="219" t="s">
        <v>854</v>
      </c>
      <c r="N1145" s="1">
        <v>209.0</v>
      </c>
      <c r="O1145" s="1">
        <v>183.0</v>
      </c>
      <c r="P1145" s="1">
        <v>1.0</v>
      </c>
      <c r="Q1145" s="1" t="b">
        <v>0</v>
      </c>
      <c r="R1145" s="1">
        <v>100.0</v>
      </c>
      <c r="S1145" s="1" t="s">
        <v>301</v>
      </c>
      <c r="T1145" s="1" t="s">
        <v>422</v>
      </c>
      <c r="U1145" s="1"/>
    </row>
    <row r="1146">
      <c r="A1146" s="218">
        <v>45229.9276258912</v>
      </c>
      <c r="B1146" s="1" t="s">
        <v>58</v>
      </c>
      <c r="C1146" s="1" t="s">
        <v>112</v>
      </c>
      <c r="D1146" s="1">
        <v>4.0</v>
      </c>
      <c r="E1146" s="1">
        <v>4.0</v>
      </c>
      <c r="F1146" s="1" t="s">
        <v>1444</v>
      </c>
      <c r="G1146" s="218">
        <v>45234.66666666667</v>
      </c>
      <c r="H1146" s="1"/>
      <c r="I1146" s="1" t="s">
        <v>945</v>
      </c>
      <c r="J1146" s="219">
        <v>-13.5</v>
      </c>
      <c r="K1146" s="219">
        <v>-13.5</v>
      </c>
      <c r="L1146" s="219">
        <v>-610.0</v>
      </c>
      <c r="M1146" s="219" t="s">
        <v>874</v>
      </c>
      <c r="N1146" s="1">
        <v>214.0</v>
      </c>
      <c r="O1146" s="1">
        <v>180.0</v>
      </c>
      <c r="P1146" s="1">
        <v>1.0</v>
      </c>
      <c r="Q1146" s="1" t="b">
        <v>1</v>
      </c>
      <c r="R1146" s="1">
        <v>100.0</v>
      </c>
      <c r="S1146" s="1" t="s">
        <v>292</v>
      </c>
      <c r="T1146" s="1" t="s">
        <v>422</v>
      </c>
      <c r="U1146" s="1"/>
    </row>
    <row r="1147">
      <c r="A1147" s="218">
        <v>45229.9276258912</v>
      </c>
      <c r="B1147" s="1" t="s">
        <v>58</v>
      </c>
      <c r="C1147" s="1" t="s">
        <v>111</v>
      </c>
      <c r="D1147" s="1">
        <v>4.0</v>
      </c>
      <c r="E1147" s="1">
        <v>4.0</v>
      </c>
      <c r="F1147" s="1" t="s">
        <v>1434</v>
      </c>
      <c r="G1147" s="218">
        <v>45234.75</v>
      </c>
      <c r="H1147" s="1" t="s">
        <v>35</v>
      </c>
      <c r="I1147" s="1" t="s">
        <v>981</v>
      </c>
      <c r="J1147" s="219">
        <v>4.5</v>
      </c>
      <c r="K1147" s="219">
        <v>4.5</v>
      </c>
      <c r="L1147" s="219">
        <v>164.0</v>
      </c>
      <c r="M1147" s="219" t="s">
        <v>840</v>
      </c>
      <c r="N1147" s="1">
        <v>197.0</v>
      </c>
      <c r="O1147" s="1">
        <v>225.0</v>
      </c>
      <c r="P1147" s="1">
        <v>1.0</v>
      </c>
      <c r="Q1147" s="1" t="b">
        <v>1</v>
      </c>
      <c r="R1147" s="1">
        <v>100.0</v>
      </c>
      <c r="S1147" s="1" t="s">
        <v>355</v>
      </c>
      <c r="T1147" s="1" t="s">
        <v>423</v>
      </c>
      <c r="U1147" s="1"/>
    </row>
    <row r="1148">
      <c r="A1148" s="218">
        <v>45229.9276258912</v>
      </c>
      <c r="B1148" s="1" t="s">
        <v>58</v>
      </c>
      <c r="C1148" s="1" t="s">
        <v>102</v>
      </c>
      <c r="D1148" s="1">
        <v>8.0</v>
      </c>
      <c r="E1148" s="1">
        <v>0.0</v>
      </c>
      <c r="F1148" s="1" t="s">
        <v>1445</v>
      </c>
      <c r="G1148" s="218">
        <v>45234.75</v>
      </c>
      <c r="H1148" s="1" t="s">
        <v>69</v>
      </c>
      <c r="I1148" s="1" t="s">
        <v>99</v>
      </c>
      <c r="J1148" s="219">
        <v>-16.5</v>
      </c>
      <c r="K1148" s="219">
        <v>-16.5</v>
      </c>
      <c r="L1148" s="219">
        <v>570.0</v>
      </c>
      <c r="M1148" s="219" t="s">
        <v>104</v>
      </c>
      <c r="N1148" s="1">
        <v>296.0</v>
      </c>
      <c r="O1148" s="1">
        <v>167.0</v>
      </c>
      <c r="P1148" s="1">
        <v>1.0</v>
      </c>
      <c r="Q1148" s="1" t="b">
        <v>1</v>
      </c>
      <c r="R1148" s="1">
        <v>100.0</v>
      </c>
      <c r="S1148" s="1" t="s">
        <v>351</v>
      </c>
      <c r="T1148" s="1" t="s">
        <v>423</v>
      </c>
      <c r="U1148" s="1"/>
    </row>
    <row r="1149">
      <c r="A1149" s="218">
        <v>45229.9276258912</v>
      </c>
      <c r="B1149" s="1" t="s">
        <v>58</v>
      </c>
      <c r="C1149" s="1" t="s">
        <v>119</v>
      </c>
      <c r="D1149" s="1">
        <v>5.0</v>
      </c>
      <c r="E1149" s="1">
        <v>3.0</v>
      </c>
      <c r="F1149" s="1" t="s">
        <v>1446</v>
      </c>
      <c r="G1149" s="218">
        <v>45234.79166666667</v>
      </c>
      <c r="H1149" s="1"/>
      <c r="I1149" s="1" t="s">
        <v>96</v>
      </c>
      <c r="J1149" s="219">
        <v>8.0</v>
      </c>
      <c r="K1149" s="219">
        <v>9.0</v>
      </c>
      <c r="L1149" s="219">
        <v>270.0</v>
      </c>
      <c r="M1149" s="219" t="s">
        <v>845</v>
      </c>
      <c r="N1149" s="1">
        <v>199.0</v>
      </c>
      <c r="O1149" s="1">
        <v>205.0</v>
      </c>
      <c r="P1149" s="1">
        <v>1.0</v>
      </c>
      <c r="Q1149" s="1" t="b">
        <v>1</v>
      </c>
      <c r="R1149" s="1">
        <v>100.0</v>
      </c>
      <c r="S1149" s="1" t="s">
        <v>296</v>
      </c>
      <c r="T1149" s="1" t="s">
        <v>422</v>
      </c>
      <c r="U1149" s="1"/>
    </row>
    <row r="1150">
      <c r="A1150" s="218">
        <v>45229.9276258912</v>
      </c>
      <c r="B1150" s="1" t="s">
        <v>58</v>
      </c>
      <c r="C1150" s="1" t="s">
        <v>109</v>
      </c>
      <c r="D1150" s="1">
        <v>6.0</v>
      </c>
      <c r="E1150" s="1">
        <v>2.0</v>
      </c>
      <c r="F1150" s="1" t="s">
        <v>1447</v>
      </c>
      <c r="G1150" s="218">
        <v>45234.9375</v>
      </c>
      <c r="H1150" s="1" t="s">
        <v>67</v>
      </c>
      <c r="I1150" s="1" t="s">
        <v>96</v>
      </c>
      <c r="J1150" s="219">
        <v>-1.5</v>
      </c>
      <c r="K1150" s="219">
        <v>-1.5</v>
      </c>
      <c r="L1150" s="219">
        <v>-128.0</v>
      </c>
      <c r="M1150" s="219" t="s">
        <v>114</v>
      </c>
      <c r="N1150" s="1">
        <v>247.0</v>
      </c>
      <c r="O1150" s="1">
        <v>120.0</v>
      </c>
      <c r="P1150" s="1">
        <v>1.0</v>
      </c>
      <c r="Q1150" s="1" t="b">
        <v>0</v>
      </c>
      <c r="R1150" s="1">
        <v>100.0</v>
      </c>
      <c r="S1150" s="1" t="s">
        <v>354</v>
      </c>
      <c r="T1150" s="1" t="s">
        <v>422</v>
      </c>
      <c r="U1150" s="1"/>
    </row>
    <row r="1151">
      <c r="A1151" s="218">
        <v>45229.9276258912</v>
      </c>
      <c r="B1151" s="1"/>
      <c r="C1151" s="1"/>
      <c r="D1151" s="1"/>
      <c r="E1151" s="1"/>
      <c r="F1151" s="1"/>
      <c r="G1151" s="218"/>
      <c r="H1151" s="1"/>
      <c r="I1151" s="1"/>
      <c r="J1151" s="219"/>
      <c r="K1151" s="219"/>
      <c r="L1151" s="219"/>
      <c r="M1151" s="219"/>
      <c r="N1151" s="1"/>
      <c r="O1151" s="1"/>
      <c r="P1151" s="1"/>
      <c r="Q1151" s="1"/>
      <c r="R1151" s="1"/>
      <c r="S1151" s="1" t="e">
        <v>#N/A</v>
      </c>
      <c r="T1151" s="1" t="e">
        <v>#N/A</v>
      </c>
      <c r="U1151" s="1"/>
    </row>
    <row r="1152">
      <c r="A1152" s="218">
        <v>45229.9276258912</v>
      </c>
      <c r="B1152" s="1" t="s">
        <v>56</v>
      </c>
      <c r="C1152" s="1" t="s">
        <v>120</v>
      </c>
      <c r="D1152" s="1">
        <v>7.0</v>
      </c>
      <c r="E1152" s="1">
        <v>1.0</v>
      </c>
      <c r="F1152" s="1" t="s">
        <v>1448</v>
      </c>
      <c r="G1152" s="218">
        <v>45230.8125</v>
      </c>
      <c r="H1152" s="1" t="s">
        <v>70</v>
      </c>
      <c r="I1152" s="1" t="s">
        <v>36</v>
      </c>
      <c r="J1152" s="219">
        <v>-13.5</v>
      </c>
      <c r="K1152" s="219">
        <v>-15.5</v>
      </c>
      <c r="L1152" s="219">
        <v>500.0</v>
      </c>
      <c r="M1152" s="219" t="s">
        <v>845</v>
      </c>
      <c r="N1152" s="1">
        <v>279.0</v>
      </c>
      <c r="O1152" s="1">
        <v>161.0</v>
      </c>
      <c r="P1152" s="1">
        <v>1.0</v>
      </c>
      <c r="Q1152" s="1" t="b">
        <v>1</v>
      </c>
      <c r="R1152" s="1">
        <v>100.0</v>
      </c>
      <c r="S1152" s="1" t="s">
        <v>352</v>
      </c>
      <c r="T1152" s="1" t="s">
        <v>423</v>
      </c>
      <c r="U1152" s="1"/>
    </row>
    <row r="1153">
      <c r="A1153" s="218">
        <v>45229.9276258912</v>
      </c>
      <c r="B1153" s="1" t="s">
        <v>56</v>
      </c>
      <c r="C1153" s="1" t="s">
        <v>130</v>
      </c>
      <c r="D1153" s="1">
        <v>4.0</v>
      </c>
      <c r="E1153" s="1">
        <v>4.0</v>
      </c>
      <c r="F1153" s="1" t="s">
        <v>1449</v>
      </c>
      <c r="G1153" s="218">
        <v>45233.8125</v>
      </c>
      <c r="H1153" s="1" t="s">
        <v>62</v>
      </c>
      <c r="I1153" s="1" t="s">
        <v>76</v>
      </c>
      <c r="J1153" s="219">
        <v>-7.5</v>
      </c>
      <c r="K1153" s="219">
        <v>-3.0</v>
      </c>
      <c r="L1153" s="219">
        <v>126.0</v>
      </c>
      <c r="M1153" s="219" t="s">
        <v>845</v>
      </c>
      <c r="N1153" s="1">
        <v>211.0</v>
      </c>
      <c r="O1153" s="1">
        <v>193.0</v>
      </c>
      <c r="P1153" s="1">
        <v>1.0</v>
      </c>
      <c r="Q1153" s="1" t="b">
        <v>1</v>
      </c>
      <c r="R1153" s="1">
        <v>100.0</v>
      </c>
      <c r="S1153" s="1" t="s">
        <v>301</v>
      </c>
      <c r="T1153" s="1" t="s">
        <v>422</v>
      </c>
      <c r="U1153" s="1"/>
    </row>
    <row r="1154">
      <c r="A1154" s="218">
        <v>45229.9276258912</v>
      </c>
      <c r="B1154" s="1" t="s">
        <v>56</v>
      </c>
      <c r="C1154" s="1" t="s">
        <v>123</v>
      </c>
      <c r="D1154" s="1">
        <v>2.0</v>
      </c>
      <c r="E1154" s="1">
        <v>6.0</v>
      </c>
      <c r="F1154" s="1" t="s">
        <v>1450</v>
      </c>
      <c r="G1154" s="218">
        <v>45234.60416666667</v>
      </c>
      <c r="H1154" s="1" t="s">
        <v>69</v>
      </c>
      <c r="I1154" s="1" t="s">
        <v>99</v>
      </c>
      <c r="J1154" s="219">
        <v>18.5</v>
      </c>
      <c r="K1154" s="219">
        <v>18.5</v>
      </c>
      <c r="L1154" s="219">
        <v>860.0</v>
      </c>
      <c r="M1154" s="219" t="s">
        <v>212</v>
      </c>
      <c r="N1154" s="1">
        <v>161.0</v>
      </c>
      <c r="O1154" s="1">
        <v>204.0</v>
      </c>
      <c r="P1154" s="1">
        <v>1.0</v>
      </c>
      <c r="Q1154" s="1" t="b">
        <v>1</v>
      </c>
      <c r="R1154" s="1">
        <v>100.0</v>
      </c>
      <c r="S1154" s="1" t="s">
        <v>351</v>
      </c>
      <c r="T1154" s="1" t="s">
        <v>423</v>
      </c>
      <c r="U1154" s="1"/>
    </row>
    <row r="1155">
      <c r="A1155" s="218">
        <v>45229.9276258912</v>
      </c>
      <c r="B1155" s="1" t="s">
        <v>56</v>
      </c>
      <c r="C1155" s="1" t="s">
        <v>133</v>
      </c>
      <c r="D1155" s="1">
        <v>4.0</v>
      </c>
      <c r="E1155" s="1">
        <v>4.0</v>
      </c>
      <c r="F1155" s="1" t="s">
        <v>1451</v>
      </c>
      <c r="G1155" s="218">
        <v>45234.625</v>
      </c>
      <c r="H1155" s="1" t="s">
        <v>61</v>
      </c>
      <c r="I1155" s="1" t="s">
        <v>935</v>
      </c>
      <c r="J1155" s="219">
        <v>-2.5</v>
      </c>
      <c r="K1155" s="219">
        <v>-2.5</v>
      </c>
      <c r="L1155" s="219">
        <v>-137.0</v>
      </c>
      <c r="M1155" s="219" t="s">
        <v>954</v>
      </c>
      <c r="N1155" s="1">
        <v>207.0</v>
      </c>
      <c r="O1155" s="1">
        <v>191.0</v>
      </c>
      <c r="P1155" s="1">
        <v>1.0</v>
      </c>
      <c r="Q1155" s="1" t="b">
        <v>1</v>
      </c>
      <c r="R1155" s="1">
        <v>100.0</v>
      </c>
      <c r="S1155" s="1" t="s">
        <v>407</v>
      </c>
      <c r="T1155" s="1" t="s">
        <v>423</v>
      </c>
      <c r="U1155" s="1"/>
    </row>
    <row r="1156">
      <c r="A1156" s="218">
        <v>45229.9276258912</v>
      </c>
      <c r="B1156" s="1" t="s">
        <v>56</v>
      </c>
      <c r="C1156" s="1" t="s">
        <v>135</v>
      </c>
      <c r="D1156" s="1">
        <v>7.0</v>
      </c>
      <c r="E1156" s="1">
        <v>1.0</v>
      </c>
      <c r="F1156" s="1" t="s">
        <v>1452</v>
      </c>
      <c r="G1156" s="218">
        <v>45234.64583333333</v>
      </c>
      <c r="H1156" s="1" t="s">
        <v>62</v>
      </c>
      <c r="I1156" s="1" t="s">
        <v>92</v>
      </c>
      <c r="J1156" s="219">
        <v>-10.5</v>
      </c>
      <c r="K1156" s="219">
        <v>-11.5</v>
      </c>
      <c r="L1156" s="219">
        <v>-465.0</v>
      </c>
      <c r="M1156" s="219" t="s">
        <v>937</v>
      </c>
      <c r="N1156" s="1">
        <v>311.0</v>
      </c>
      <c r="O1156" s="1">
        <v>92.0</v>
      </c>
      <c r="P1156" s="1">
        <v>1.0</v>
      </c>
      <c r="Q1156" s="1" t="b">
        <v>1</v>
      </c>
      <c r="R1156" s="1">
        <v>100.0</v>
      </c>
      <c r="S1156" s="1" t="s">
        <v>282</v>
      </c>
      <c r="T1156" s="1" t="s">
        <v>422</v>
      </c>
      <c r="U1156" s="1"/>
    </row>
    <row r="1157">
      <c r="A1157" s="218">
        <v>45229.9276258912</v>
      </c>
      <c r="B1157" s="1" t="s">
        <v>56</v>
      </c>
      <c r="C1157" s="1" t="s">
        <v>126</v>
      </c>
      <c r="D1157" s="1">
        <v>5.0</v>
      </c>
      <c r="E1157" s="1">
        <v>3.0</v>
      </c>
      <c r="F1157" s="1" t="s">
        <v>1453</v>
      </c>
      <c r="G1157" s="218">
        <v>45234.79166666667</v>
      </c>
      <c r="H1157" s="1" t="s">
        <v>62</v>
      </c>
      <c r="I1157" s="1" t="s">
        <v>935</v>
      </c>
      <c r="J1157" s="219">
        <v>2.5</v>
      </c>
      <c r="K1157" s="219">
        <v>2.5</v>
      </c>
      <c r="L1157" s="219">
        <v>-128.0</v>
      </c>
      <c r="M1157" s="219" t="s">
        <v>1454</v>
      </c>
      <c r="N1157" s="1">
        <v>281.0</v>
      </c>
      <c r="O1157" s="1">
        <v>230.0</v>
      </c>
      <c r="P1157" s="1">
        <v>1.0</v>
      </c>
      <c r="Q1157" s="1" t="b">
        <v>1</v>
      </c>
      <c r="R1157" s="1">
        <v>100.0</v>
      </c>
      <c r="S1157" s="1" t="s">
        <v>355</v>
      </c>
      <c r="T1157" s="1" t="s">
        <v>423</v>
      </c>
      <c r="U1157" s="1"/>
    </row>
    <row r="1158">
      <c r="A1158" s="218">
        <v>45229.9276258912</v>
      </c>
      <c r="B1158" s="1" t="s">
        <v>56</v>
      </c>
      <c r="C1158" s="1" t="s">
        <v>124</v>
      </c>
      <c r="D1158" s="1">
        <v>5.0</v>
      </c>
      <c r="E1158" s="1">
        <v>3.0</v>
      </c>
      <c r="F1158" s="1" t="s">
        <v>1455</v>
      </c>
      <c r="G1158" s="218">
        <v>45234.79166666667</v>
      </c>
      <c r="H1158" s="1" t="s">
        <v>70</v>
      </c>
      <c r="I1158" s="1" t="s">
        <v>76</v>
      </c>
      <c r="J1158" s="219">
        <v>1.5</v>
      </c>
      <c r="K1158" s="219">
        <v>-1.5</v>
      </c>
      <c r="L1158" s="219">
        <v>104.0</v>
      </c>
      <c r="M1158" s="219" t="s">
        <v>68</v>
      </c>
      <c r="N1158" s="1">
        <v>191.0</v>
      </c>
      <c r="O1158" s="1">
        <v>158.0</v>
      </c>
      <c r="P1158" s="1">
        <v>1.0</v>
      </c>
      <c r="Q1158" s="1" t="b">
        <v>0</v>
      </c>
      <c r="R1158" s="1">
        <v>100.0</v>
      </c>
      <c r="S1158" s="1" t="s">
        <v>296</v>
      </c>
      <c r="T1158" s="1" t="s">
        <v>422</v>
      </c>
      <c r="U1158" s="1"/>
    </row>
    <row r="1159">
      <c r="A1159" s="218">
        <v>45229.9276258912</v>
      </c>
      <c r="B1159" s="1" t="s">
        <v>56</v>
      </c>
      <c r="C1159" s="1" t="s">
        <v>127</v>
      </c>
      <c r="D1159" s="1">
        <v>5.0</v>
      </c>
      <c r="E1159" s="1">
        <v>3.0</v>
      </c>
      <c r="F1159" s="1" t="s">
        <v>1456</v>
      </c>
      <c r="G1159" s="218">
        <v>45234.5</v>
      </c>
      <c r="H1159" s="1" t="s">
        <v>57</v>
      </c>
      <c r="I1159" s="1" t="s">
        <v>36</v>
      </c>
      <c r="J1159" s="219">
        <v>-6.5</v>
      </c>
      <c r="K1159" s="219">
        <v>-6.5</v>
      </c>
      <c r="L1159" s="219">
        <v>202.0</v>
      </c>
      <c r="M1159" s="219" t="s">
        <v>854</v>
      </c>
      <c r="N1159" s="1">
        <v>224.0</v>
      </c>
      <c r="O1159" s="1">
        <v>183.0</v>
      </c>
      <c r="P1159" s="1">
        <v>1.0</v>
      </c>
      <c r="Q1159" s="1" t="b">
        <v>0</v>
      </c>
      <c r="R1159" s="1">
        <v>100.0</v>
      </c>
      <c r="S1159" s="1" t="s">
        <v>292</v>
      </c>
      <c r="T1159" s="1" t="s">
        <v>422</v>
      </c>
      <c r="U1159" s="1"/>
    </row>
    <row r="1160">
      <c r="A1160" s="218">
        <v>45229.9276258912</v>
      </c>
      <c r="B1160" s="1" t="s">
        <v>56</v>
      </c>
      <c r="C1160" s="1" t="s">
        <v>128</v>
      </c>
      <c r="D1160" s="1">
        <v>7.0</v>
      </c>
      <c r="E1160" s="1">
        <v>2.0</v>
      </c>
      <c r="F1160" s="1" t="s">
        <v>1457</v>
      </c>
      <c r="G1160" s="218">
        <v>45234.5</v>
      </c>
      <c r="H1160" s="1" t="s">
        <v>70</v>
      </c>
      <c r="I1160" s="1" t="s">
        <v>82</v>
      </c>
      <c r="J1160" s="219">
        <v>-3.5</v>
      </c>
      <c r="K1160" s="219">
        <v>-3.0</v>
      </c>
      <c r="L1160" s="219">
        <v>-156.0</v>
      </c>
      <c r="M1160" s="219" t="s">
        <v>852</v>
      </c>
      <c r="N1160" s="1">
        <v>345.0</v>
      </c>
      <c r="O1160" s="1">
        <v>138.0</v>
      </c>
      <c r="P1160" s="1">
        <v>1.0</v>
      </c>
      <c r="Q1160" s="1" t="b">
        <v>1</v>
      </c>
      <c r="R1160" s="1">
        <v>100.0</v>
      </c>
      <c r="S1160" s="1" t="s">
        <v>354</v>
      </c>
      <c r="T1160" s="1" t="s">
        <v>422</v>
      </c>
      <c r="U1160" s="1"/>
    </row>
    <row r="1161">
      <c r="A1161" s="218">
        <v>45229.9276258912</v>
      </c>
      <c r="B1161" s="1" t="s">
        <v>56</v>
      </c>
      <c r="C1161" s="1" t="s">
        <v>129</v>
      </c>
      <c r="D1161" s="1">
        <v>4.0</v>
      </c>
      <c r="E1161" s="1">
        <v>5.0</v>
      </c>
      <c r="F1161" s="1"/>
      <c r="G1161" s="218"/>
      <c r="H1161" s="1"/>
      <c r="I1161" s="1"/>
      <c r="J1161" s="219"/>
      <c r="K1161" s="219"/>
      <c r="L1161" s="219"/>
      <c r="M1161" s="219"/>
      <c r="N1161" s="1">
        <v>297.0</v>
      </c>
      <c r="O1161" s="1">
        <v>247.0</v>
      </c>
      <c r="P1161" s="1">
        <v>3.0</v>
      </c>
      <c r="Q1161" s="1" t="b">
        <v>1</v>
      </c>
      <c r="R1161" s="1">
        <v>100.0</v>
      </c>
      <c r="S1161" s="1" t="s">
        <v>353</v>
      </c>
      <c r="T1161" s="1" t="s">
        <v>423</v>
      </c>
      <c r="U1161" s="1"/>
    </row>
    <row r="1162">
      <c r="A1162" s="218">
        <v>45229.9276258912</v>
      </c>
      <c r="B1162" s="1"/>
      <c r="C1162" s="1"/>
      <c r="D1162" s="1"/>
      <c r="E1162" s="1"/>
      <c r="F1162" s="1"/>
      <c r="G1162" s="218"/>
      <c r="H1162" s="1"/>
      <c r="I1162" s="1"/>
      <c r="J1162" s="219"/>
      <c r="K1162" s="219"/>
      <c r="L1162" s="219"/>
      <c r="M1162" s="219"/>
      <c r="N1162" s="1"/>
      <c r="O1162" s="1"/>
      <c r="P1162" s="1"/>
      <c r="Q1162" s="1"/>
      <c r="R1162" s="1"/>
      <c r="S1162" s="1" t="e">
        <v>#N/A</v>
      </c>
      <c r="T1162" s="1" t="e">
        <v>#N/A</v>
      </c>
      <c r="U1162" s="1"/>
    </row>
    <row r="1163">
      <c r="A1163" s="218">
        <v>45229.9276258912</v>
      </c>
      <c r="B1163" s="1" t="s">
        <v>60</v>
      </c>
      <c r="C1163" s="1" t="s">
        <v>177</v>
      </c>
      <c r="D1163" s="1">
        <v>2.0</v>
      </c>
      <c r="E1163" s="1">
        <v>6.0</v>
      </c>
      <c r="F1163" s="1" t="s">
        <v>1458</v>
      </c>
      <c r="G1163" s="218">
        <v>45231.79166666667</v>
      </c>
      <c r="H1163" s="1" t="s">
        <v>67</v>
      </c>
      <c r="I1163" s="1" t="s">
        <v>36</v>
      </c>
      <c r="J1163" s="219">
        <v>4.5</v>
      </c>
      <c r="K1163" s="219">
        <v>6.5</v>
      </c>
      <c r="L1163" s="219">
        <v>195.0</v>
      </c>
      <c r="M1163" s="219" t="s">
        <v>1336</v>
      </c>
      <c r="N1163" s="1">
        <v>129.0</v>
      </c>
      <c r="O1163" s="1">
        <v>232.0</v>
      </c>
      <c r="P1163" s="1">
        <v>1.0</v>
      </c>
      <c r="Q1163" s="1" t="b">
        <v>0</v>
      </c>
      <c r="R1163" s="1">
        <v>100.0</v>
      </c>
      <c r="S1163" s="1" t="s">
        <v>352</v>
      </c>
      <c r="T1163" s="1" t="s">
        <v>423</v>
      </c>
      <c r="U1163" s="1"/>
    </row>
    <row r="1164">
      <c r="A1164" s="218">
        <v>45229.9276258912</v>
      </c>
      <c r="B1164" s="1" t="s">
        <v>60</v>
      </c>
      <c r="C1164" s="1" t="s">
        <v>174</v>
      </c>
      <c r="D1164" s="1">
        <v>2.0</v>
      </c>
      <c r="E1164" s="1">
        <v>6.0</v>
      </c>
      <c r="F1164" s="1" t="s">
        <v>1459</v>
      </c>
      <c r="G1164" s="218">
        <v>45234.58333333333</v>
      </c>
      <c r="H1164" s="1" t="s">
        <v>59</v>
      </c>
      <c r="I1164" s="1" t="s">
        <v>287</v>
      </c>
      <c r="J1164" s="219">
        <v>10.5</v>
      </c>
      <c r="K1164" s="219">
        <v>10.5</v>
      </c>
      <c r="L1164" s="219">
        <v>365.0</v>
      </c>
      <c r="M1164" s="219" t="s">
        <v>843</v>
      </c>
      <c r="N1164" s="1">
        <v>157.0</v>
      </c>
      <c r="O1164" s="1">
        <v>212.0</v>
      </c>
      <c r="P1164" s="1">
        <v>1.0</v>
      </c>
      <c r="Q1164" s="1" t="b">
        <v>0</v>
      </c>
      <c r="R1164" s="1">
        <v>100.0</v>
      </c>
      <c r="S1164" s="1" t="s">
        <v>354</v>
      </c>
      <c r="T1164" s="1" t="s">
        <v>422</v>
      </c>
      <c r="U1164" s="1"/>
    </row>
    <row r="1165">
      <c r="A1165" s="218">
        <v>45229.9276258912</v>
      </c>
      <c r="B1165" s="1" t="s">
        <v>60</v>
      </c>
      <c r="C1165" s="1" t="s">
        <v>175</v>
      </c>
      <c r="D1165" s="1">
        <v>5.0</v>
      </c>
      <c r="E1165" s="1">
        <v>3.0</v>
      </c>
      <c r="F1165" s="1" t="s">
        <v>1460</v>
      </c>
      <c r="G1165" s="218">
        <v>45234.625</v>
      </c>
      <c r="H1165" s="1" t="s">
        <v>69</v>
      </c>
      <c r="I1165" s="1" t="s">
        <v>935</v>
      </c>
      <c r="J1165" s="219"/>
      <c r="K1165" s="219"/>
      <c r="L1165" s="219"/>
      <c r="M1165" s="219"/>
      <c r="N1165" s="1">
        <v>263.0</v>
      </c>
      <c r="O1165" s="1">
        <v>215.0</v>
      </c>
      <c r="P1165" s="1">
        <v>1.0</v>
      </c>
      <c r="Q1165" s="1" t="b">
        <v>0</v>
      </c>
      <c r="R1165" s="1">
        <v>100.0</v>
      </c>
      <c r="S1165" s="1" t="s">
        <v>355</v>
      </c>
      <c r="T1165" s="1" t="s">
        <v>423</v>
      </c>
      <c r="U1165" s="1"/>
    </row>
    <row r="1166">
      <c r="A1166" s="218">
        <v>45229.9276258912</v>
      </c>
      <c r="B1166" s="1" t="s">
        <v>60</v>
      </c>
      <c r="C1166" s="1" t="s">
        <v>164</v>
      </c>
      <c r="D1166" s="1">
        <v>7.0</v>
      </c>
      <c r="E1166" s="1">
        <v>1.0</v>
      </c>
      <c r="F1166" s="1" t="s">
        <v>1443</v>
      </c>
      <c r="G1166" s="218">
        <v>45234.64583333333</v>
      </c>
      <c r="H1166" s="1" t="s">
        <v>58</v>
      </c>
      <c r="I1166" s="1" t="s">
        <v>900</v>
      </c>
      <c r="J1166" s="219">
        <v>-9.5</v>
      </c>
      <c r="K1166" s="219">
        <v>-9.5</v>
      </c>
      <c r="L1166" s="219">
        <v>320.0</v>
      </c>
      <c r="M1166" s="219" t="s">
        <v>854</v>
      </c>
      <c r="N1166" s="1">
        <v>262.0</v>
      </c>
      <c r="O1166" s="1">
        <v>144.0</v>
      </c>
      <c r="P1166" s="1">
        <v>1.0</v>
      </c>
      <c r="Q1166" s="1" t="b">
        <v>1</v>
      </c>
      <c r="R1166" s="1">
        <v>100.0</v>
      </c>
      <c r="S1166" s="1" t="s">
        <v>301</v>
      </c>
      <c r="T1166" s="1" t="s">
        <v>422</v>
      </c>
      <c r="U1166" s="1"/>
    </row>
    <row r="1167">
      <c r="A1167" s="218">
        <v>45229.9276258912</v>
      </c>
      <c r="B1167" s="1" t="s">
        <v>60</v>
      </c>
      <c r="C1167" s="1" t="s">
        <v>179</v>
      </c>
      <c r="D1167" s="1">
        <v>7.0</v>
      </c>
      <c r="E1167" s="1">
        <v>1.0</v>
      </c>
      <c r="F1167" s="1" t="s">
        <v>1461</v>
      </c>
      <c r="G1167" s="218">
        <v>45234.64583333333</v>
      </c>
      <c r="H1167" s="1" t="s">
        <v>61</v>
      </c>
      <c r="I1167" s="1" t="s">
        <v>82</v>
      </c>
      <c r="J1167" s="219">
        <v>-6.5</v>
      </c>
      <c r="K1167" s="219">
        <v>-6.5</v>
      </c>
      <c r="L1167" s="219">
        <v>-255.0</v>
      </c>
      <c r="M1167" s="219" t="s">
        <v>994</v>
      </c>
      <c r="N1167" s="1">
        <v>335.0</v>
      </c>
      <c r="O1167" s="1">
        <v>151.0</v>
      </c>
      <c r="P1167" s="1">
        <v>1.0</v>
      </c>
      <c r="Q1167" s="1" t="b">
        <v>1</v>
      </c>
      <c r="R1167" s="1">
        <v>100.0</v>
      </c>
      <c r="S1167" s="1" t="s">
        <v>296</v>
      </c>
      <c r="T1167" s="1" t="s">
        <v>422</v>
      </c>
      <c r="U1167" s="1"/>
    </row>
    <row r="1168">
      <c r="A1168" s="218">
        <v>45229.9276258912</v>
      </c>
      <c r="B1168" s="1" t="s">
        <v>60</v>
      </c>
      <c r="C1168" s="1" t="s">
        <v>176</v>
      </c>
      <c r="D1168" s="1">
        <v>2.0</v>
      </c>
      <c r="E1168" s="1">
        <v>7.0</v>
      </c>
      <c r="F1168" s="1" t="s">
        <v>1462</v>
      </c>
      <c r="G1168" s="218">
        <v>45234.64583333333</v>
      </c>
      <c r="H1168" s="1"/>
      <c r="I1168" s="1" t="s">
        <v>935</v>
      </c>
      <c r="J1168" s="219"/>
      <c r="K1168" s="219"/>
      <c r="L1168" s="219"/>
      <c r="M1168" s="219"/>
      <c r="N1168" s="1">
        <v>204.0</v>
      </c>
      <c r="O1168" s="1">
        <v>353.0</v>
      </c>
      <c r="P1168" s="1">
        <v>1.0</v>
      </c>
      <c r="Q1168" s="1" t="b">
        <v>0</v>
      </c>
      <c r="R1168" s="1">
        <v>100.0</v>
      </c>
      <c r="S1168" s="1" t="s">
        <v>351</v>
      </c>
      <c r="T1168" s="1" t="s">
        <v>423</v>
      </c>
      <c r="U1168" s="1"/>
    </row>
    <row r="1169">
      <c r="A1169" s="218">
        <v>45229.9276258912</v>
      </c>
      <c r="B1169" s="1" t="s">
        <v>60</v>
      </c>
      <c r="C1169" s="1" t="s">
        <v>173</v>
      </c>
      <c r="D1169" s="1">
        <v>2.0</v>
      </c>
      <c r="E1169" s="1">
        <v>7.0</v>
      </c>
      <c r="F1169" s="1" t="s">
        <v>1463</v>
      </c>
      <c r="G1169" s="218">
        <v>45234.66666666667</v>
      </c>
      <c r="H1169" s="1" t="s">
        <v>125</v>
      </c>
      <c r="I1169" s="1" t="s">
        <v>1077</v>
      </c>
      <c r="J1169" s="219">
        <v>3.5</v>
      </c>
      <c r="K1169" s="219">
        <v>3.5</v>
      </c>
      <c r="L1169" s="219">
        <v>168.0</v>
      </c>
      <c r="M1169" s="219" t="s">
        <v>937</v>
      </c>
      <c r="N1169" s="1">
        <v>188.0</v>
      </c>
      <c r="O1169" s="1">
        <v>326.0</v>
      </c>
      <c r="P1169" s="1">
        <v>1.0</v>
      </c>
      <c r="Q1169" s="1" t="b">
        <v>1</v>
      </c>
      <c r="R1169" s="1">
        <v>100.0</v>
      </c>
      <c r="S1169" s="1" t="s">
        <v>353</v>
      </c>
      <c r="T1169" s="1" t="s">
        <v>423</v>
      </c>
      <c r="U1169" s="1"/>
    </row>
    <row r="1170">
      <c r="A1170" s="218">
        <v>45229.9276258912</v>
      </c>
      <c r="B1170" s="1" t="s">
        <v>60</v>
      </c>
      <c r="C1170" s="1" t="s">
        <v>139</v>
      </c>
      <c r="D1170" s="1">
        <v>6.0</v>
      </c>
      <c r="E1170" s="1">
        <v>2.0</v>
      </c>
      <c r="F1170" s="1" t="s">
        <v>1464</v>
      </c>
      <c r="G1170" s="218">
        <v>45234.8125</v>
      </c>
      <c r="H1170" s="1" t="s">
        <v>125</v>
      </c>
      <c r="I1170" s="1" t="s">
        <v>40</v>
      </c>
      <c r="J1170" s="219">
        <v>-10.5</v>
      </c>
      <c r="K1170" s="219">
        <v>-10.5</v>
      </c>
      <c r="L1170" s="219">
        <v>-430.0</v>
      </c>
      <c r="M1170" s="219" t="s">
        <v>203</v>
      </c>
      <c r="N1170" s="1">
        <v>324.0</v>
      </c>
      <c r="O1170" s="1">
        <v>112.0</v>
      </c>
      <c r="P1170" s="1">
        <v>1.0</v>
      </c>
      <c r="Q1170" s="1" t="b">
        <v>1</v>
      </c>
      <c r="R1170" s="1">
        <v>100.0</v>
      </c>
      <c r="S1170" s="1" t="s">
        <v>407</v>
      </c>
      <c r="T1170" s="1" t="s">
        <v>423</v>
      </c>
      <c r="U1170" s="1"/>
    </row>
    <row r="1171">
      <c r="A1171" s="218">
        <v>45229.9276258912</v>
      </c>
      <c r="B1171" s="1" t="s">
        <v>60</v>
      </c>
      <c r="C1171" s="1" t="s">
        <v>137</v>
      </c>
      <c r="D1171" s="1">
        <v>7.0</v>
      </c>
      <c r="E1171" s="1">
        <v>1.0</v>
      </c>
      <c r="F1171" s="1" t="s">
        <v>1465</v>
      </c>
      <c r="G1171" s="218">
        <v>45234.82291666667</v>
      </c>
      <c r="H1171" s="1" t="s">
        <v>69</v>
      </c>
      <c r="I1171" s="1" t="s">
        <v>86</v>
      </c>
      <c r="J1171" s="219">
        <v>-8.5</v>
      </c>
      <c r="K1171" s="219">
        <v>-3.5</v>
      </c>
      <c r="L1171" s="219">
        <v>150.0</v>
      </c>
      <c r="M1171" s="219" t="s">
        <v>954</v>
      </c>
      <c r="N1171" s="1">
        <v>245.0</v>
      </c>
      <c r="O1171" s="1">
        <v>132.0</v>
      </c>
      <c r="P1171" s="1">
        <v>1.0</v>
      </c>
      <c r="Q1171" s="1" t="b">
        <v>0</v>
      </c>
      <c r="R1171" s="1">
        <v>100.0</v>
      </c>
      <c r="S1171" s="1" t="s">
        <v>292</v>
      </c>
      <c r="T1171" s="1" t="s">
        <v>422</v>
      </c>
      <c r="U1171" s="1"/>
    </row>
    <row r="1172">
      <c r="A1172" s="218">
        <v>45229.9276258912</v>
      </c>
      <c r="B1172" s="1" t="s">
        <v>60</v>
      </c>
      <c r="C1172" s="1" t="s">
        <v>178</v>
      </c>
      <c r="D1172" s="1">
        <v>2.0</v>
      </c>
      <c r="E1172" s="1">
        <v>6.0</v>
      </c>
      <c r="F1172" s="1" t="s">
        <v>1436</v>
      </c>
      <c r="G1172" s="218">
        <v>45234.5</v>
      </c>
      <c r="H1172" s="1" t="s">
        <v>35</v>
      </c>
      <c r="I1172" s="1" t="s">
        <v>96</v>
      </c>
      <c r="J1172" s="219">
        <v>1.5</v>
      </c>
      <c r="K1172" s="219">
        <v>3.5</v>
      </c>
      <c r="L1172" s="219">
        <v>-164.0</v>
      </c>
      <c r="M1172" s="219" t="s">
        <v>1437</v>
      </c>
      <c r="N1172" s="1">
        <v>144.0</v>
      </c>
      <c r="O1172" s="1">
        <v>222.0</v>
      </c>
      <c r="P1172" s="1">
        <v>1.0</v>
      </c>
      <c r="Q1172" s="1" t="b">
        <v>1</v>
      </c>
      <c r="R1172" s="1">
        <v>100.0</v>
      </c>
      <c r="S1172" s="1" t="s">
        <v>282</v>
      </c>
      <c r="T1172" s="1" t="s">
        <v>422</v>
      </c>
      <c r="U1172" s="1"/>
    </row>
    <row r="1173">
      <c r="A1173" s="218">
        <v>45229.9276258912</v>
      </c>
      <c r="B1173" s="1"/>
      <c r="C1173" s="1"/>
      <c r="D1173" s="1"/>
      <c r="E1173" s="1"/>
      <c r="F1173" s="1"/>
      <c r="G1173" s="218"/>
      <c r="H1173" s="1"/>
      <c r="I1173" s="1"/>
      <c r="J1173" s="219"/>
      <c r="K1173" s="219"/>
      <c r="L1173" s="219"/>
      <c r="M1173" s="219"/>
      <c r="N1173" s="1"/>
      <c r="O1173" s="1"/>
      <c r="P1173" s="1"/>
      <c r="Q1173" s="1"/>
      <c r="R1173" s="1"/>
      <c r="S1173" s="1" t="e">
        <v>#N/A</v>
      </c>
      <c r="T1173" s="1" t="e">
        <v>#N/A</v>
      </c>
      <c r="U1173" s="1"/>
    </row>
    <row r="1174">
      <c r="A1174" s="218">
        <v>45229.9276258912</v>
      </c>
      <c r="B1174" s="1" t="s">
        <v>46</v>
      </c>
      <c r="C1174" s="1" t="s">
        <v>189</v>
      </c>
      <c r="D1174" s="1">
        <v>1.0</v>
      </c>
      <c r="E1174" s="1">
        <v>7.0</v>
      </c>
      <c r="F1174" s="1" t="s">
        <v>1427</v>
      </c>
      <c r="G1174" s="218">
        <v>45231.8125</v>
      </c>
      <c r="H1174" s="1" t="s">
        <v>35</v>
      </c>
      <c r="I1174" s="1" t="s">
        <v>40</v>
      </c>
      <c r="J1174" s="219">
        <v>-3.5</v>
      </c>
      <c r="K1174" s="219">
        <v>-3.5</v>
      </c>
      <c r="L1174" s="219">
        <v>146.0</v>
      </c>
      <c r="M1174" s="219" t="s">
        <v>1336</v>
      </c>
      <c r="N1174" s="1">
        <v>123.0</v>
      </c>
      <c r="O1174" s="1">
        <v>235.0</v>
      </c>
      <c r="P1174" s="1">
        <v>1.0</v>
      </c>
      <c r="Q1174" s="1" t="b">
        <v>1</v>
      </c>
      <c r="R1174" s="1">
        <v>100.0</v>
      </c>
      <c r="S1174" s="1" t="s">
        <v>352</v>
      </c>
      <c r="T1174" s="1" t="s">
        <v>423</v>
      </c>
      <c r="U1174" s="1"/>
    </row>
    <row r="1175">
      <c r="A1175" s="218">
        <v>45229.9276258912</v>
      </c>
      <c r="B1175" s="1" t="s">
        <v>46</v>
      </c>
      <c r="C1175" s="1" t="s">
        <v>188</v>
      </c>
      <c r="D1175" s="1">
        <v>3.0</v>
      </c>
      <c r="E1175" s="1">
        <v>5.0</v>
      </c>
      <c r="F1175" s="1" t="s">
        <v>1466</v>
      </c>
      <c r="G1175" s="218">
        <v>45232.79166666667</v>
      </c>
      <c r="H1175" s="1" t="s">
        <v>67</v>
      </c>
      <c r="I1175" s="1" t="s">
        <v>96</v>
      </c>
      <c r="J1175" s="219">
        <v>-3.5</v>
      </c>
      <c r="K1175" s="219">
        <v>-2.5</v>
      </c>
      <c r="L1175" s="219">
        <v>118.0</v>
      </c>
      <c r="M1175" s="219" t="s">
        <v>954</v>
      </c>
      <c r="N1175" s="1">
        <v>240.0</v>
      </c>
      <c r="O1175" s="1">
        <v>203.0</v>
      </c>
      <c r="P1175" s="1">
        <v>1.0</v>
      </c>
      <c r="Q1175" s="1" t="b">
        <v>0</v>
      </c>
      <c r="R1175" s="1">
        <v>100.0</v>
      </c>
      <c r="S1175" s="1" t="s">
        <v>296</v>
      </c>
      <c r="T1175" s="1" t="s">
        <v>422</v>
      </c>
      <c r="U1175" s="1"/>
    </row>
    <row r="1176">
      <c r="A1176" s="218">
        <v>45229.9276258912</v>
      </c>
      <c r="B1176" s="1" t="s">
        <v>46</v>
      </c>
      <c r="C1176" s="1" t="s">
        <v>181</v>
      </c>
      <c r="D1176" s="1">
        <v>6.0</v>
      </c>
      <c r="E1176" s="1">
        <v>2.0</v>
      </c>
      <c r="F1176" s="1" t="s">
        <v>1467</v>
      </c>
      <c r="G1176" s="218">
        <v>45232.8125</v>
      </c>
      <c r="H1176" s="1" t="s">
        <v>67</v>
      </c>
      <c r="I1176" s="1" t="s">
        <v>36</v>
      </c>
      <c r="J1176" s="219">
        <v>-2.5</v>
      </c>
      <c r="K1176" s="219">
        <v>-6.5</v>
      </c>
      <c r="L1176" s="219">
        <v>198.0</v>
      </c>
      <c r="M1176" s="219" t="s">
        <v>852</v>
      </c>
      <c r="N1176" s="1">
        <v>217.0</v>
      </c>
      <c r="O1176" s="1">
        <v>135.0</v>
      </c>
      <c r="P1176" s="1">
        <v>1.0</v>
      </c>
      <c r="Q1176" s="1" t="b">
        <v>1</v>
      </c>
      <c r="R1176" s="1">
        <v>100.0</v>
      </c>
      <c r="S1176" s="1" t="s">
        <v>355</v>
      </c>
      <c r="T1176" s="1" t="s">
        <v>423</v>
      </c>
      <c r="U1176" s="1"/>
    </row>
    <row r="1177">
      <c r="A1177" s="218">
        <v>45229.9276258912</v>
      </c>
      <c r="B1177" s="1" t="s">
        <v>46</v>
      </c>
      <c r="C1177" s="1" t="s">
        <v>187</v>
      </c>
      <c r="D1177" s="1">
        <v>5.0</v>
      </c>
      <c r="E1177" s="1">
        <v>3.0</v>
      </c>
      <c r="F1177" s="1" t="s">
        <v>1468</v>
      </c>
      <c r="G1177" s="218">
        <v>45232.8125</v>
      </c>
      <c r="H1177" s="1" t="s">
        <v>57</v>
      </c>
      <c r="I1177" s="1" t="s">
        <v>76</v>
      </c>
      <c r="J1177" s="219">
        <v>-7.0</v>
      </c>
      <c r="K1177" s="219">
        <v>-12.5</v>
      </c>
      <c r="L1177" s="219">
        <v>430.0</v>
      </c>
      <c r="M1177" s="219" t="s">
        <v>867</v>
      </c>
      <c r="N1177" s="1">
        <v>207.0</v>
      </c>
      <c r="O1177" s="1">
        <v>120.0</v>
      </c>
      <c r="P1177" s="1">
        <v>1.0</v>
      </c>
      <c r="Q1177" s="1" t="b">
        <v>1</v>
      </c>
      <c r="R1177" s="1">
        <v>100.0</v>
      </c>
      <c r="S1177" s="1" t="s">
        <v>301</v>
      </c>
      <c r="T1177" s="1" t="s">
        <v>422</v>
      </c>
      <c r="U1177" s="1"/>
    </row>
    <row r="1178">
      <c r="A1178" s="218">
        <v>45229.9276258912</v>
      </c>
      <c r="B1178" s="1" t="s">
        <v>46</v>
      </c>
      <c r="C1178" s="1" t="s">
        <v>183</v>
      </c>
      <c r="D1178" s="1">
        <v>5.0</v>
      </c>
      <c r="E1178" s="1">
        <v>3.0</v>
      </c>
      <c r="F1178" s="1" t="s">
        <v>1440</v>
      </c>
      <c r="G1178" s="218">
        <v>45233.83333333333</v>
      </c>
      <c r="H1178" s="1" t="s">
        <v>58</v>
      </c>
      <c r="I1178" s="1" t="s">
        <v>99</v>
      </c>
      <c r="J1178" s="219">
        <v>-7.5</v>
      </c>
      <c r="K1178" s="219">
        <v>-7.0</v>
      </c>
      <c r="L1178" s="219">
        <v>215.0</v>
      </c>
      <c r="M1178" s="219" t="s">
        <v>122</v>
      </c>
      <c r="N1178" s="1">
        <v>191.0</v>
      </c>
      <c r="O1178" s="1">
        <v>211.0</v>
      </c>
      <c r="P1178" s="1">
        <v>1.0</v>
      </c>
      <c r="Q1178" s="1" t="b">
        <v>1</v>
      </c>
      <c r="R1178" s="1">
        <v>100.0</v>
      </c>
      <c r="S1178" s="1" t="s">
        <v>353</v>
      </c>
      <c r="T1178" s="1" t="s">
        <v>423</v>
      </c>
      <c r="U1178" s="1"/>
    </row>
    <row r="1179">
      <c r="A1179" s="218">
        <v>45229.9276258912</v>
      </c>
      <c r="B1179" s="1" t="s">
        <v>46</v>
      </c>
      <c r="C1179" s="1" t="s">
        <v>186</v>
      </c>
      <c r="D1179" s="1">
        <v>3.0</v>
      </c>
      <c r="E1179" s="1">
        <v>5.0</v>
      </c>
      <c r="F1179" s="1" t="s">
        <v>1442</v>
      </c>
      <c r="G1179" s="218">
        <v>45234.64583333333</v>
      </c>
      <c r="H1179" s="1" t="s">
        <v>58</v>
      </c>
      <c r="I1179" s="1" t="s">
        <v>888</v>
      </c>
      <c r="J1179" s="219">
        <v>3.0</v>
      </c>
      <c r="K1179" s="219">
        <v>3.0</v>
      </c>
      <c r="L1179" s="219">
        <v>120.0</v>
      </c>
      <c r="M1179" s="219" t="s">
        <v>1361</v>
      </c>
      <c r="N1179" s="1">
        <v>163.0</v>
      </c>
      <c r="O1179" s="1">
        <v>222.0</v>
      </c>
      <c r="P1179" s="1">
        <v>1.0</v>
      </c>
      <c r="Q1179" s="1" t="b">
        <v>0</v>
      </c>
      <c r="R1179" s="1">
        <v>100.0</v>
      </c>
      <c r="S1179" s="1" t="s">
        <v>282</v>
      </c>
      <c r="T1179" s="1" t="s">
        <v>422</v>
      </c>
      <c r="U1179" s="1"/>
    </row>
    <row r="1180">
      <c r="A1180" s="218">
        <v>45229.9276258912</v>
      </c>
      <c r="B1180" s="1" t="s">
        <v>46</v>
      </c>
      <c r="C1180" s="1" t="s">
        <v>182</v>
      </c>
      <c r="D1180" s="1">
        <v>7.0</v>
      </c>
      <c r="E1180" s="1">
        <v>1.0</v>
      </c>
      <c r="F1180" s="1" t="s">
        <v>1469</v>
      </c>
      <c r="G1180" s="218">
        <v>45234.64583333333</v>
      </c>
      <c r="H1180" s="1" t="s">
        <v>62</v>
      </c>
      <c r="I1180" s="1" t="s">
        <v>40</v>
      </c>
      <c r="J1180" s="219">
        <v>-16.5</v>
      </c>
      <c r="K1180" s="219">
        <v>-16.5</v>
      </c>
      <c r="L1180" s="219">
        <v>-1000.0</v>
      </c>
      <c r="M1180" s="219" t="s">
        <v>854</v>
      </c>
      <c r="N1180" s="1">
        <v>245.0</v>
      </c>
      <c r="O1180" s="1">
        <v>164.0</v>
      </c>
      <c r="P1180" s="1">
        <v>1.0</v>
      </c>
      <c r="Q1180" s="1" t="b">
        <v>0</v>
      </c>
      <c r="R1180" s="1">
        <v>100.0</v>
      </c>
      <c r="S1180" s="1" t="s">
        <v>407</v>
      </c>
      <c r="T1180" s="1" t="s">
        <v>423</v>
      </c>
      <c r="U1180" s="1"/>
    </row>
    <row r="1181">
      <c r="A1181" s="218">
        <v>45229.9276258912</v>
      </c>
      <c r="B1181" s="1" t="s">
        <v>46</v>
      </c>
      <c r="C1181" s="1" t="s">
        <v>180</v>
      </c>
      <c r="D1181" s="1">
        <v>8.0</v>
      </c>
      <c r="E1181" s="1">
        <v>0.0</v>
      </c>
      <c r="F1181" s="1" t="s">
        <v>1470</v>
      </c>
      <c r="G1181" s="218">
        <v>45234.8125</v>
      </c>
      <c r="H1181" s="1" t="s">
        <v>57</v>
      </c>
      <c r="I1181" s="1" t="s">
        <v>82</v>
      </c>
      <c r="J1181" s="219">
        <v>1.5</v>
      </c>
      <c r="K1181" s="219">
        <v>-4.5</v>
      </c>
      <c r="L1181" s="219">
        <v>-205.0</v>
      </c>
      <c r="M1181" s="219" t="s">
        <v>1471</v>
      </c>
      <c r="N1181" s="1">
        <v>323.0</v>
      </c>
      <c r="O1181" s="1">
        <v>165.0</v>
      </c>
      <c r="P1181" s="1">
        <v>1.0</v>
      </c>
      <c r="Q1181" s="1" t="b">
        <v>0</v>
      </c>
      <c r="R1181" s="1">
        <v>100.0</v>
      </c>
      <c r="S1181" s="1" t="s">
        <v>354</v>
      </c>
      <c r="T1181" s="1" t="s">
        <v>422</v>
      </c>
      <c r="U1181" s="1"/>
    </row>
    <row r="1182">
      <c r="A1182" s="218">
        <v>45229.9276258912</v>
      </c>
      <c r="B1182" s="1" t="s">
        <v>46</v>
      </c>
      <c r="C1182" s="1" t="s">
        <v>185</v>
      </c>
      <c r="D1182" s="1">
        <v>6.0</v>
      </c>
      <c r="E1182" s="1">
        <v>2.0</v>
      </c>
      <c r="F1182" s="1" t="s">
        <v>1472</v>
      </c>
      <c r="G1182" s="218">
        <v>45234.5</v>
      </c>
      <c r="H1182" s="1" t="s">
        <v>57</v>
      </c>
      <c r="I1182" s="1" t="s">
        <v>86</v>
      </c>
      <c r="J1182" s="219">
        <v>18.0</v>
      </c>
      <c r="K1182" s="219">
        <v>18.0</v>
      </c>
      <c r="L1182" s="219">
        <v>-1250.0</v>
      </c>
      <c r="M1182" s="219" t="s">
        <v>1473</v>
      </c>
      <c r="N1182" s="1">
        <v>225.0</v>
      </c>
      <c r="O1182" s="1">
        <v>126.0</v>
      </c>
      <c r="P1182" s="1">
        <v>1.0</v>
      </c>
      <c r="Q1182" s="1" t="b">
        <v>0</v>
      </c>
      <c r="R1182" s="1">
        <v>100.0</v>
      </c>
      <c r="S1182" s="1" t="s">
        <v>351</v>
      </c>
      <c r="T1182" s="1" t="s">
        <v>423</v>
      </c>
      <c r="U1182" s="1"/>
    </row>
    <row r="1183">
      <c r="A1183" s="218">
        <v>45229.9276258912</v>
      </c>
      <c r="B1183" s="1" t="s">
        <v>46</v>
      </c>
      <c r="C1183" s="1" t="s">
        <v>184</v>
      </c>
      <c r="D1183" s="1">
        <v>2.0</v>
      </c>
      <c r="E1183" s="1">
        <v>6.0</v>
      </c>
      <c r="F1183" s="1" t="s">
        <v>1474</v>
      </c>
      <c r="G1183" s="218">
        <v>45234.5</v>
      </c>
      <c r="H1183" s="1" t="s">
        <v>125</v>
      </c>
      <c r="I1183" s="1" t="s">
        <v>40</v>
      </c>
      <c r="J1183" s="219">
        <v>-14.5</v>
      </c>
      <c r="K1183" s="219">
        <v>-14.5</v>
      </c>
      <c r="L1183" s="219">
        <v>500.0</v>
      </c>
      <c r="M1183" s="219" t="s">
        <v>68</v>
      </c>
      <c r="N1183" s="1">
        <v>203.0</v>
      </c>
      <c r="O1183" s="1">
        <v>252.0</v>
      </c>
      <c r="P1183" s="1">
        <v>1.0</v>
      </c>
      <c r="Q1183" s="1" t="b">
        <v>0</v>
      </c>
      <c r="R1183" s="1">
        <v>100.0</v>
      </c>
      <c r="S1183" s="1" t="s">
        <v>292</v>
      </c>
      <c r="T1183" s="1" t="s">
        <v>422</v>
      </c>
      <c r="U1183" s="1"/>
    </row>
    <row r="1184">
      <c r="A1184" s="218">
        <v>45229.9276258912</v>
      </c>
      <c r="B1184" s="1"/>
      <c r="C1184" s="1"/>
      <c r="D1184" s="1"/>
      <c r="E1184" s="1"/>
      <c r="F1184" s="1"/>
      <c r="G1184" s="218"/>
      <c r="H1184" s="1"/>
      <c r="I1184" s="1"/>
      <c r="J1184" s="219"/>
      <c r="K1184" s="219"/>
      <c r="L1184" s="219"/>
      <c r="M1184" s="219"/>
      <c r="N1184" s="1"/>
      <c r="O1184" s="1"/>
      <c r="P1184" s="1"/>
      <c r="Q1184" s="1"/>
      <c r="R1184" s="1"/>
      <c r="S1184" s="1" t="e">
        <v>#N/A</v>
      </c>
      <c r="T1184" s="1" t="e">
        <v>#N/A</v>
      </c>
      <c r="U1184" s="1"/>
    </row>
    <row r="1185">
      <c r="A1185" s="218">
        <v>45229.9276258912</v>
      </c>
      <c r="B1185" s="1" t="s">
        <v>70</v>
      </c>
      <c r="C1185" s="1" t="s">
        <v>199</v>
      </c>
      <c r="D1185" s="1">
        <v>3.0</v>
      </c>
      <c r="E1185" s="1">
        <v>5.0</v>
      </c>
      <c r="F1185" s="1" t="s">
        <v>1448</v>
      </c>
      <c r="G1185" s="218">
        <v>45230.8125</v>
      </c>
      <c r="H1185" s="1" t="s">
        <v>56</v>
      </c>
      <c r="I1185" s="1" t="s">
        <v>36</v>
      </c>
      <c r="J1185" s="219">
        <v>13.5</v>
      </c>
      <c r="K1185" s="219">
        <v>15.5</v>
      </c>
      <c r="L1185" s="219">
        <v>500.0</v>
      </c>
      <c r="M1185" s="219" t="s">
        <v>845</v>
      </c>
      <c r="N1185" s="1">
        <v>207.0</v>
      </c>
      <c r="O1185" s="1">
        <v>231.0</v>
      </c>
      <c r="P1185" s="1">
        <v>1.0</v>
      </c>
      <c r="Q1185" s="1" t="b">
        <v>0</v>
      </c>
      <c r="R1185" s="1">
        <v>100.0</v>
      </c>
      <c r="S1185" s="1" t="s">
        <v>352</v>
      </c>
      <c r="T1185" s="1" t="s">
        <v>423</v>
      </c>
      <c r="U1185" s="1"/>
    </row>
    <row r="1186">
      <c r="A1186" s="218">
        <v>45229.9276258912</v>
      </c>
      <c r="B1186" s="1" t="s">
        <v>70</v>
      </c>
      <c r="C1186" s="1" t="s">
        <v>198</v>
      </c>
      <c r="D1186" s="1">
        <v>5.0</v>
      </c>
      <c r="E1186" s="1">
        <v>3.0</v>
      </c>
      <c r="F1186" s="1" t="s">
        <v>1475</v>
      </c>
      <c r="G1186" s="218">
        <v>45234.625</v>
      </c>
      <c r="H1186" s="1" t="s">
        <v>67</v>
      </c>
      <c r="I1186" s="1" t="s">
        <v>935</v>
      </c>
      <c r="J1186" s="219">
        <v>-6.5</v>
      </c>
      <c r="K1186" s="219">
        <v>-6.5</v>
      </c>
      <c r="L1186" s="219">
        <v>-260.0</v>
      </c>
      <c r="M1186" s="219" t="s">
        <v>1476</v>
      </c>
      <c r="N1186" s="1">
        <v>244.0</v>
      </c>
      <c r="O1186" s="1">
        <v>203.0</v>
      </c>
      <c r="P1186" s="1">
        <v>1.0</v>
      </c>
      <c r="Q1186" s="1" t="b">
        <v>1</v>
      </c>
      <c r="R1186" s="1">
        <v>100.0</v>
      </c>
      <c r="S1186" s="1" t="s">
        <v>407</v>
      </c>
      <c r="T1186" s="1" t="s">
        <v>423</v>
      </c>
      <c r="U1186" s="1"/>
    </row>
    <row r="1187">
      <c r="A1187" s="218">
        <v>45229.9276258912</v>
      </c>
      <c r="B1187" s="1" t="s">
        <v>70</v>
      </c>
      <c r="C1187" s="1" t="s">
        <v>197</v>
      </c>
      <c r="D1187" s="1">
        <v>1.0</v>
      </c>
      <c r="E1187" s="1">
        <v>7.0</v>
      </c>
      <c r="F1187" s="1" t="s">
        <v>1477</v>
      </c>
      <c r="G1187" s="218">
        <v>45234.66666666667</v>
      </c>
      <c r="H1187" s="1" t="s">
        <v>67</v>
      </c>
      <c r="I1187" s="1" t="s">
        <v>935</v>
      </c>
      <c r="J1187" s="219"/>
      <c r="K1187" s="219"/>
      <c r="L1187" s="219"/>
      <c r="M1187" s="219"/>
      <c r="N1187" s="1">
        <v>183.0</v>
      </c>
      <c r="O1187" s="1">
        <v>315.0</v>
      </c>
      <c r="P1187" s="1">
        <v>1.0</v>
      </c>
      <c r="Q1187" s="1" t="b">
        <v>1</v>
      </c>
      <c r="R1187" s="1">
        <v>100.0</v>
      </c>
      <c r="S1187" s="1" t="s">
        <v>355</v>
      </c>
      <c r="T1187" s="1" t="s">
        <v>423</v>
      </c>
      <c r="U1187" s="1"/>
    </row>
    <row r="1188">
      <c r="A1188" s="218">
        <v>45229.9276258912</v>
      </c>
      <c r="B1188" s="1" t="s">
        <v>70</v>
      </c>
      <c r="C1188" s="1" t="s">
        <v>190</v>
      </c>
      <c r="D1188" s="1">
        <v>3.0</v>
      </c>
      <c r="E1188" s="1">
        <v>5.0</v>
      </c>
      <c r="F1188" s="1" t="s">
        <v>1478</v>
      </c>
      <c r="G1188" s="218">
        <v>45234.79166666667</v>
      </c>
      <c r="H1188" s="1" t="s">
        <v>61</v>
      </c>
      <c r="I1188" s="1" t="s">
        <v>1142</v>
      </c>
      <c r="J1188" s="219">
        <v>2.5</v>
      </c>
      <c r="K1188" s="219">
        <v>2.5</v>
      </c>
      <c r="L1188" s="219">
        <v>-134.0</v>
      </c>
      <c r="M1188" s="219" t="s">
        <v>104</v>
      </c>
      <c r="N1188" s="1">
        <v>157.0</v>
      </c>
      <c r="O1188" s="1">
        <v>225.0</v>
      </c>
      <c r="P1188" s="1">
        <v>1.0</v>
      </c>
      <c r="Q1188" s="1" t="b">
        <v>1</v>
      </c>
      <c r="R1188" s="1">
        <v>100.0</v>
      </c>
      <c r="S1188" s="1" t="s">
        <v>353</v>
      </c>
      <c r="T1188" s="1" t="s">
        <v>423</v>
      </c>
      <c r="U1188" s="1"/>
    </row>
    <row r="1189">
      <c r="A1189" s="218">
        <v>45229.9276258912</v>
      </c>
      <c r="B1189" s="1" t="s">
        <v>70</v>
      </c>
      <c r="C1189" s="1" t="s">
        <v>192</v>
      </c>
      <c r="D1189" s="1">
        <v>6.0</v>
      </c>
      <c r="E1189" s="1">
        <v>2.0</v>
      </c>
      <c r="F1189" s="1" t="s">
        <v>1455</v>
      </c>
      <c r="G1189" s="218">
        <v>45234.79166666667</v>
      </c>
      <c r="H1189" s="1" t="s">
        <v>56</v>
      </c>
      <c r="I1189" s="1" t="s">
        <v>76</v>
      </c>
      <c r="J1189" s="219">
        <v>-1.5</v>
      </c>
      <c r="K1189" s="219">
        <v>1.5</v>
      </c>
      <c r="L1189" s="219">
        <v>104.0</v>
      </c>
      <c r="M1189" s="219" t="s">
        <v>68</v>
      </c>
      <c r="N1189" s="1">
        <v>286.0</v>
      </c>
      <c r="O1189" s="1">
        <v>225.0</v>
      </c>
      <c r="P1189" s="1">
        <v>1.0</v>
      </c>
      <c r="Q1189" s="1" t="b">
        <v>1</v>
      </c>
      <c r="R1189" s="1">
        <v>100.0</v>
      </c>
      <c r="S1189" s="1" t="s">
        <v>296</v>
      </c>
      <c r="T1189" s="1" t="s">
        <v>422</v>
      </c>
      <c r="U1189" s="1"/>
    </row>
    <row r="1190">
      <c r="A1190" s="218">
        <v>45229.9276258912</v>
      </c>
      <c r="B1190" s="1" t="s">
        <v>70</v>
      </c>
      <c r="C1190" s="1" t="s">
        <v>196</v>
      </c>
      <c r="D1190" s="1">
        <v>5.0</v>
      </c>
      <c r="E1190" s="1">
        <v>3.0</v>
      </c>
      <c r="F1190" s="1" t="s">
        <v>1479</v>
      </c>
      <c r="G1190" s="218">
        <v>45234.8125</v>
      </c>
      <c r="H1190" s="1" t="s">
        <v>62</v>
      </c>
      <c r="I1190" s="1" t="s">
        <v>945</v>
      </c>
      <c r="J1190" s="219">
        <v>-3.5</v>
      </c>
      <c r="K1190" s="219">
        <v>-3.5</v>
      </c>
      <c r="L1190" s="219">
        <v>-164.0</v>
      </c>
      <c r="M1190" s="219" t="s">
        <v>852</v>
      </c>
      <c r="N1190" s="1">
        <v>246.0</v>
      </c>
      <c r="O1190" s="1">
        <v>198.0</v>
      </c>
      <c r="P1190" s="1">
        <v>1.0</v>
      </c>
      <c r="Q1190" s="1" t="b">
        <v>0</v>
      </c>
      <c r="R1190" s="1">
        <v>100.0</v>
      </c>
      <c r="S1190" s="1" t="s">
        <v>292</v>
      </c>
      <c r="T1190" s="1" t="s">
        <v>422</v>
      </c>
      <c r="U1190" s="1"/>
    </row>
    <row r="1191">
      <c r="A1191" s="218">
        <v>45229.9276258912</v>
      </c>
      <c r="B1191" s="1" t="s">
        <v>70</v>
      </c>
      <c r="C1191" s="1" t="s">
        <v>193</v>
      </c>
      <c r="D1191" s="1">
        <v>2.0</v>
      </c>
      <c r="E1191" s="1">
        <v>6.0</v>
      </c>
      <c r="F1191" s="1" t="s">
        <v>1480</v>
      </c>
      <c r="G1191" s="218">
        <v>45234.875</v>
      </c>
      <c r="H1191" s="1" t="s">
        <v>125</v>
      </c>
      <c r="I1191" s="1" t="s">
        <v>287</v>
      </c>
      <c r="J1191" s="219">
        <v>13.5</v>
      </c>
      <c r="K1191" s="219">
        <v>13.5</v>
      </c>
      <c r="L1191" s="219">
        <v>440.0</v>
      </c>
      <c r="M1191" s="219" t="s">
        <v>969</v>
      </c>
      <c r="N1191" s="1">
        <v>182.0</v>
      </c>
      <c r="O1191" s="1">
        <v>300.0</v>
      </c>
      <c r="P1191" s="1">
        <v>1.0</v>
      </c>
      <c r="Q1191" s="1" t="b">
        <v>0</v>
      </c>
      <c r="R1191" s="1">
        <v>100.0</v>
      </c>
      <c r="S1191" s="1" t="s">
        <v>354</v>
      </c>
      <c r="T1191" s="1" t="s">
        <v>422</v>
      </c>
      <c r="U1191" s="1"/>
    </row>
    <row r="1192">
      <c r="A1192" s="218">
        <v>45229.9276258912</v>
      </c>
      <c r="B1192" s="1" t="s">
        <v>70</v>
      </c>
      <c r="C1192" s="1" t="s">
        <v>194</v>
      </c>
      <c r="D1192" s="1">
        <v>3.0</v>
      </c>
      <c r="E1192" s="1">
        <v>6.0</v>
      </c>
      <c r="F1192" s="1" t="s">
        <v>1481</v>
      </c>
      <c r="G1192" s="218">
        <v>45234.875</v>
      </c>
      <c r="H1192" s="1" t="s">
        <v>62</v>
      </c>
      <c r="I1192" s="1" t="s">
        <v>935</v>
      </c>
      <c r="J1192" s="219">
        <v>10.5</v>
      </c>
      <c r="K1192" s="219">
        <v>10.5</v>
      </c>
      <c r="L1192" s="219">
        <v>-430.0</v>
      </c>
      <c r="M1192" s="219" t="s">
        <v>68</v>
      </c>
      <c r="N1192" s="1">
        <v>168.0</v>
      </c>
      <c r="O1192" s="1">
        <v>245.0</v>
      </c>
      <c r="P1192" s="1">
        <v>1.0</v>
      </c>
      <c r="Q1192" s="1" t="b">
        <v>0</v>
      </c>
      <c r="R1192" s="1">
        <v>100.0</v>
      </c>
      <c r="S1192" s="1" t="s">
        <v>351</v>
      </c>
      <c r="T1192" s="1" t="s">
        <v>423</v>
      </c>
      <c r="U1192" s="1"/>
    </row>
    <row r="1193">
      <c r="A1193" s="218">
        <v>45229.9276258912</v>
      </c>
      <c r="B1193" s="1" t="s">
        <v>70</v>
      </c>
      <c r="C1193" s="1" t="s">
        <v>191</v>
      </c>
      <c r="D1193" s="1">
        <v>4.0</v>
      </c>
      <c r="E1193" s="1">
        <v>4.0</v>
      </c>
      <c r="F1193" s="1" t="s">
        <v>1457</v>
      </c>
      <c r="G1193" s="218">
        <v>45234.5</v>
      </c>
      <c r="H1193" s="1" t="s">
        <v>56</v>
      </c>
      <c r="I1193" s="1" t="s">
        <v>82</v>
      </c>
      <c r="J1193" s="219">
        <v>3.5</v>
      </c>
      <c r="K1193" s="219">
        <v>3.0</v>
      </c>
      <c r="L1193" s="219">
        <v>-156.0</v>
      </c>
      <c r="M1193" s="219" t="s">
        <v>852</v>
      </c>
      <c r="N1193" s="1">
        <v>230.0</v>
      </c>
      <c r="O1193" s="1">
        <v>168.0</v>
      </c>
      <c r="P1193" s="1">
        <v>1.0</v>
      </c>
      <c r="Q1193" s="1" t="b">
        <v>0</v>
      </c>
      <c r="R1193" s="1">
        <v>100.0</v>
      </c>
      <c r="S1193" s="1" t="s">
        <v>301</v>
      </c>
      <c r="T1193" s="1" t="s">
        <v>422</v>
      </c>
      <c r="U1193" s="1"/>
    </row>
    <row r="1194">
      <c r="A1194" s="218">
        <v>45229.9276258912</v>
      </c>
      <c r="B1194" s="1" t="s">
        <v>70</v>
      </c>
      <c r="C1194" s="1" t="s">
        <v>195</v>
      </c>
      <c r="D1194" s="1">
        <v>2.0</v>
      </c>
      <c r="E1194" s="1">
        <v>6.0</v>
      </c>
      <c r="F1194" s="1" t="s">
        <v>1482</v>
      </c>
      <c r="G1194" s="218">
        <v>45234.5</v>
      </c>
      <c r="H1194" s="1" t="s">
        <v>69</v>
      </c>
      <c r="I1194" s="1" t="s">
        <v>888</v>
      </c>
      <c r="J1194" s="219">
        <v>8.5</v>
      </c>
      <c r="K1194" s="219">
        <v>8.5</v>
      </c>
      <c r="L1194" s="219">
        <v>-410.0</v>
      </c>
      <c r="M1194" s="219" t="s">
        <v>122</v>
      </c>
      <c r="N1194" s="1">
        <v>149.0</v>
      </c>
      <c r="O1194" s="1">
        <v>238.0</v>
      </c>
      <c r="P1194" s="1">
        <v>1.0</v>
      </c>
      <c r="Q1194" s="1" t="b">
        <v>1</v>
      </c>
      <c r="R1194" s="1">
        <v>100.0</v>
      </c>
      <c r="S1194" s="1" t="s">
        <v>282</v>
      </c>
      <c r="T1194" s="1" t="s">
        <v>422</v>
      </c>
      <c r="U1194" s="1"/>
    </row>
    <row r="1195">
      <c r="A1195" s="218">
        <v>45229.9276258912</v>
      </c>
      <c r="B1195" s="1"/>
      <c r="C1195" s="1"/>
      <c r="D1195" s="1"/>
      <c r="E1195" s="1"/>
      <c r="F1195" s="1"/>
      <c r="G1195" s="218"/>
      <c r="H1195" s="1"/>
      <c r="I1195" s="1"/>
      <c r="J1195" s="219"/>
      <c r="K1195" s="219"/>
      <c r="L1195" s="219"/>
      <c r="M1195" s="219"/>
      <c r="N1195" s="1"/>
      <c r="O1195" s="1"/>
      <c r="P1195" s="1"/>
      <c r="Q1195" s="1"/>
      <c r="R1195" s="1"/>
      <c r="S1195" s="1" t="e">
        <v>#N/A</v>
      </c>
      <c r="T1195" s="1" t="e">
        <v>#N/A</v>
      </c>
      <c r="U1195" s="1"/>
    </row>
    <row r="1196">
      <c r="A1196" s="218">
        <v>45229.9276258912</v>
      </c>
      <c r="B1196" s="1" t="s">
        <v>57</v>
      </c>
      <c r="C1196" s="1" t="s">
        <v>208</v>
      </c>
      <c r="D1196" s="1">
        <v>4.0</v>
      </c>
      <c r="E1196" s="1">
        <v>4.0</v>
      </c>
      <c r="F1196" s="1" t="s">
        <v>1468</v>
      </c>
      <c r="G1196" s="218">
        <v>45232.8125</v>
      </c>
      <c r="H1196" s="1" t="s">
        <v>46</v>
      </c>
      <c r="I1196" s="1" t="s">
        <v>76</v>
      </c>
      <c r="J1196" s="219">
        <v>7.0</v>
      </c>
      <c r="K1196" s="219">
        <v>12.5</v>
      </c>
      <c r="L1196" s="219">
        <v>430.0</v>
      </c>
      <c r="M1196" s="219" t="s">
        <v>867</v>
      </c>
      <c r="N1196" s="1">
        <v>178.0</v>
      </c>
      <c r="O1196" s="1">
        <v>196.0</v>
      </c>
      <c r="P1196" s="1">
        <v>1.0</v>
      </c>
      <c r="Q1196" s="1" t="b">
        <v>0</v>
      </c>
      <c r="R1196" s="1">
        <v>100.0</v>
      </c>
      <c r="S1196" s="1" t="s">
        <v>301</v>
      </c>
      <c r="T1196" s="1" t="s">
        <v>422</v>
      </c>
      <c r="U1196" s="1"/>
    </row>
    <row r="1197">
      <c r="A1197" s="218">
        <v>45229.9276258912</v>
      </c>
      <c r="B1197" s="1" t="s">
        <v>57</v>
      </c>
      <c r="C1197" s="1" t="s">
        <v>206</v>
      </c>
      <c r="D1197" s="1">
        <v>5.0</v>
      </c>
      <c r="E1197" s="1">
        <v>3.0</v>
      </c>
      <c r="F1197" s="1" t="s">
        <v>1483</v>
      </c>
      <c r="G1197" s="218">
        <v>45234.64583333333</v>
      </c>
      <c r="H1197" s="1" t="s">
        <v>61</v>
      </c>
      <c r="I1197" s="1" t="s">
        <v>935</v>
      </c>
      <c r="J1197" s="219">
        <v>-1.5</v>
      </c>
      <c r="K1197" s="219">
        <v>-1.5</v>
      </c>
      <c r="L1197" s="219">
        <v>-122.0</v>
      </c>
      <c r="M1197" s="219" t="s">
        <v>845</v>
      </c>
      <c r="N1197" s="1">
        <v>242.0</v>
      </c>
      <c r="O1197" s="1">
        <v>165.0</v>
      </c>
      <c r="P1197" s="1">
        <v>1.0</v>
      </c>
      <c r="Q1197" s="1" t="b">
        <v>0</v>
      </c>
      <c r="R1197" s="1">
        <v>100.0</v>
      </c>
      <c r="S1197" s="1" t="s">
        <v>355</v>
      </c>
      <c r="T1197" s="1" t="s">
        <v>423</v>
      </c>
      <c r="U1197" s="1"/>
    </row>
    <row r="1198">
      <c r="A1198" s="218">
        <v>45229.9276258912</v>
      </c>
      <c r="B1198" s="1" t="s">
        <v>57</v>
      </c>
      <c r="C1198" s="1" t="s">
        <v>210</v>
      </c>
      <c r="D1198" s="1">
        <v>3.0</v>
      </c>
      <c r="E1198" s="1">
        <v>5.0</v>
      </c>
      <c r="F1198" s="1" t="s">
        <v>1484</v>
      </c>
      <c r="G1198" s="218">
        <v>45234.64583333333</v>
      </c>
      <c r="H1198" s="1" t="s">
        <v>59</v>
      </c>
      <c r="I1198" s="1" t="s">
        <v>935</v>
      </c>
      <c r="J1198" s="219">
        <v>4.5</v>
      </c>
      <c r="K1198" s="219">
        <v>4.5</v>
      </c>
      <c r="L1198" s="219">
        <v>158.0</v>
      </c>
      <c r="M1198" s="219" t="s">
        <v>104</v>
      </c>
      <c r="N1198" s="1">
        <v>202.0</v>
      </c>
      <c r="O1198" s="1">
        <v>260.0</v>
      </c>
      <c r="P1198" s="1">
        <v>1.0</v>
      </c>
      <c r="Q1198" s="1" t="b">
        <v>1</v>
      </c>
      <c r="R1198" s="1">
        <v>100.0</v>
      </c>
      <c r="S1198" s="1" t="s">
        <v>296</v>
      </c>
      <c r="T1198" s="1" t="s">
        <v>422</v>
      </c>
      <c r="U1198" s="1"/>
    </row>
    <row r="1199">
      <c r="A1199" s="218">
        <v>45229.9276258912</v>
      </c>
      <c r="B1199" s="1" t="s">
        <v>57</v>
      </c>
      <c r="C1199" s="1" t="s">
        <v>207</v>
      </c>
      <c r="D1199" s="1">
        <v>3.0</v>
      </c>
      <c r="E1199" s="1">
        <v>5.0</v>
      </c>
      <c r="F1199" s="1" t="s">
        <v>1485</v>
      </c>
      <c r="G1199" s="218">
        <v>45234.66666666667</v>
      </c>
      <c r="H1199" s="1" t="s">
        <v>69</v>
      </c>
      <c r="I1199" s="1" t="s">
        <v>935</v>
      </c>
      <c r="J1199" s="219">
        <v>-3.5</v>
      </c>
      <c r="K1199" s="219">
        <v>-3.5</v>
      </c>
      <c r="L1199" s="219">
        <v>155.0</v>
      </c>
      <c r="M1199" s="219" t="s">
        <v>874</v>
      </c>
      <c r="N1199" s="1">
        <v>176.0</v>
      </c>
      <c r="O1199" s="1">
        <v>287.0</v>
      </c>
      <c r="P1199" s="1">
        <v>1.0</v>
      </c>
      <c r="Q1199" s="1" t="b">
        <v>1</v>
      </c>
      <c r="R1199" s="1">
        <v>100.0</v>
      </c>
      <c r="S1199" s="1" t="s">
        <v>407</v>
      </c>
      <c r="T1199" s="1" t="s">
        <v>423</v>
      </c>
      <c r="U1199" s="1"/>
    </row>
    <row r="1200">
      <c r="A1200" s="218">
        <v>45229.9276258912</v>
      </c>
      <c r="B1200" s="1" t="s">
        <v>57</v>
      </c>
      <c r="C1200" s="1" t="s">
        <v>202</v>
      </c>
      <c r="D1200" s="1">
        <v>6.0</v>
      </c>
      <c r="E1200" s="1">
        <v>2.0</v>
      </c>
      <c r="F1200" s="1" t="s">
        <v>1432</v>
      </c>
      <c r="G1200" s="218">
        <v>45234.75</v>
      </c>
      <c r="H1200" s="1" t="s">
        <v>35</v>
      </c>
      <c r="I1200" s="1" t="s">
        <v>1433</v>
      </c>
      <c r="J1200" s="219">
        <v>-10.5</v>
      </c>
      <c r="K1200" s="219">
        <v>-10.5</v>
      </c>
      <c r="L1200" s="219">
        <v>-400.0</v>
      </c>
      <c r="M1200" s="219" t="s">
        <v>971</v>
      </c>
      <c r="N1200" s="1">
        <v>274.0</v>
      </c>
      <c r="O1200" s="1">
        <v>215.0</v>
      </c>
      <c r="P1200" s="1">
        <v>1.0</v>
      </c>
      <c r="Q1200" s="1" t="b">
        <v>1</v>
      </c>
      <c r="R1200" s="1">
        <v>100.0</v>
      </c>
      <c r="S1200" s="1" t="s">
        <v>353</v>
      </c>
      <c r="T1200" s="1" t="s">
        <v>423</v>
      </c>
      <c r="U1200" s="1"/>
    </row>
    <row r="1201">
      <c r="A1201" s="218">
        <v>45229.9276258912</v>
      </c>
      <c r="B1201" s="1" t="s">
        <v>57</v>
      </c>
      <c r="C1201" s="1" t="s">
        <v>201</v>
      </c>
      <c r="D1201" s="1">
        <v>6.0</v>
      </c>
      <c r="E1201" s="1">
        <v>3.0</v>
      </c>
      <c r="F1201" s="1" t="s">
        <v>1486</v>
      </c>
      <c r="G1201" s="218">
        <v>45234.75</v>
      </c>
      <c r="H1201" s="1" t="s">
        <v>61</v>
      </c>
      <c r="I1201" s="1" t="s">
        <v>935</v>
      </c>
      <c r="J1201" s="219">
        <v>-3.5</v>
      </c>
      <c r="K1201" s="219">
        <v>-3.5</v>
      </c>
      <c r="L1201" s="219">
        <v>134.0</v>
      </c>
      <c r="M1201" s="219" t="s">
        <v>104</v>
      </c>
      <c r="N1201" s="1">
        <v>265.0</v>
      </c>
      <c r="O1201" s="1">
        <v>193.0</v>
      </c>
      <c r="P1201" s="1">
        <v>1.0</v>
      </c>
      <c r="Q1201" s="1" t="b">
        <v>1</v>
      </c>
      <c r="R1201" s="1">
        <v>100.0</v>
      </c>
      <c r="S1201" s="1" t="s">
        <v>351</v>
      </c>
      <c r="T1201" s="1" t="s">
        <v>423</v>
      </c>
      <c r="U1201" s="1"/>
    </row>
    <row r="1202">
      <c r="A1202" s="218">
        <v>45229.9276258912</v>
      </c>
      <c r="B1202" s="1" t="s">
        <v>57</v>
      </c>
      <c r="C1202" s="1" t="s">
        <v>204</v>
      </c>
      <c r="D1202" s="1">
        <v>7.0</v>
      </c>
      <c r="E1202" s="1">
        <v>2.0</v>
      </c>
      <c r="F1202" s="1" t="s">
        <v>1470</v>
      </c>
      <c r="G1202" s="218">
        <v>45234.8125</v>
      </c>
      <c r="H1202" s="1" t="s">
        <v>46</v>
      </c>
      <c r="I1202" s="1" t="s">
        <v>82</v>
      </c>
      <c r="J1202" s="219">
        <v>-1.5</v>
      </c>
      <c r="K1202" s="219">
        <v>4.5</v>
      </c>
      <c r="L1202" s="219">
        <v>-205.0</v>
      </c>
      <c r="M1202" s="219" t="s">
        <v>1471</v>
      </c>
      <c r="N1202" s="1">
        <v>413.0</v>
      </c>
      <c r="O1202" s="1">
        <v>293.0</v>
      </c>
      <c r="P1202" s="1">
        <v>1.0</v>
      </c>
      <c r="Q1202" s="1" t="b">
        <v>1</v>
      </c>
      <c r="R1202" s="1">
        <v>100.0</v>
      </c>
      <c r="S1202" s="1" t="s">
        <v>354</v>
      </c>
      <c r="T1202" s="1" t="s">
        <v>422</v>
      </c>
      <c r="U1202" s="1"/>
    </row>
    <row r="1203">
      <c r="A1203" s="218">
        <v>45229.9276258912</v>
      </c>
      <c r="B1203" s="1" t="s">
        <v>57</v>
      </c>
      <c r="C1203" s="1" t="s">
        <v>213</v>
      </c>
      <c r="D1203" s="1">
        <v>2.0</v>
      </c>
      <c r="E1203" s="1">
        <v>6.0</v>
      </c>
      <c r="F1203" s="1" t="s">
        <v>1456</v>
      </c>
      <c r="G1203" s="218">
        <v>45234.5</v>
      </c>
      <c r="H1203" s="1" t="s">
        <v>56</v>
      </c>
      <c r="I1203" s="1" t="s">
        <v>36</v>
      </c>
      <c r="J1203" s="219">
        <v>6.5</v>
      </c>
      <c r="K1203" s="219">
        <v>6.5</v>
      </c>
      <c r="L1203" s="219">
        <v>202.0</v>
      </c>
      <c r="M1203" s="219" t="s">
        <v>854</v>
      </c>
      <c r="N1203" s="1">
        <v>212.0</v>
      </c>
      <c r="O1203" s="1">
        <v>183.0</v>
      </c>
      <c r="P1203" s="1">
        <v>1.0</v>
      </c>
      <c r="Q1203" s="1" t="b">
        <v>1</v>
      </c>
      <c r="R1203" s="1">
        <v>100.0</v>
      </c>
      <c r="S1203" s="1" t="s">
        <v>292</v>
      </c>
      <c r="T1203" s="1" t="s">
        <v>422</v>
      </c>
      <c r="U1203" s="1"/>
    </row>
    <row r="1204">
      <c r="A1204" s="218">
        <v>45229.9276258912</v>
      </c>
      <c r="B1204" s="1" t="s">
        <v>57</v>
      </c>
      <c r="C1204" s="1" t="s">
        <v>200</v>
      </c>
      <c r="D1204" s="1">
        <v>8.0</v>
      </c>
      <c r="E1204" s="1">
        <v>0.0</v>
      </c>
      <c r="F1204" s="1" t="s">
        <v>1472</v>
      </c>
      <c r="G1204" s="218">
        <v>45234.5</v>
      </c>
      <c r="H1204" s="1" t="s">
        <v>46</v>
      </c>
      <c r="I1204" s="1" t="s">
        <v>86</v>
      </c>
      <c r="J1204" s="219">
        <v>-18.0</v>
      </c>
      <c r="K1204" s="219">
        <v>-18.0</v>
      </c>
      <c r="L1204" s="219">
        <v>-1250.0</v>
      </c>
      <c r="M1204" s="219" t="s">
        <v>1473</v>
      </c>
      <c r="N1204" s="1">
        <v>260.0</v>
      </c>
      <c r="O1204" s="1">
        <v>80.0</v>
      </c>
      <c r="P1204" s="1">
        <v>1.0</v>
      </c>
      <c r="Q1204" s="1" t="b">
        <v>1</v>
      </c>
      <c r="R1204" s="1">
        <v>100.0</v>
      </c>
      <c r="S1204" s="1" t="s">
        <v>282</v>
      </c>
      <c r="T1204" s="1" t="s">
        <v>422</v>
      </c>
      <c r="U1204" s="1"/>
    </row>
    <row r="1205">
      <c r="A1205" s="218">
        <v>45229.9276258912</v>
      </c>
      <c r="B1205" s="1" t="s">
        <v>57</v>
      </c>
      <c r="C1205" s="1" t="s">
        <v>214</v>
      </c>
      <c r="D1205" s="1">
        <v>6.0</v>
      </c>
      <c r="E1205" s="1">
        <v>3.0</v>
      </c>
      <c r="F1205" s="1"/>
      <c r="G1205" s="218"/>
      <c r="H1205" s="1"/>
      <c r="I1205" s="1"/>
      <c r="J1205" s="219"/>
      <c r="K1205" s="219"/>
      <c r="L1205" s="219"/>
      <c r="M1205" s="219"/>
      <c r="N1205" s="1">
        <v>196.0</v>
      </c>
      <c r="O1205" s="1">
        <v>141.0</v>
      </c>
      <c r="P1205" s="1">
        <v>3.0</v>
      </c>
      <c r="Q1205" s="1" t="b">
        <v>1</v>
      </c>
      <c r="R1205" s="1">
        <v>100.0</v>
      </c>
      <c r="S1205" s="1" t="s">
        <v>352</v>
      </c>
      <c r="T1205" s="1" t="s">
        <v>423</v>
      </c>
      <c r="U1205" s="1"/>
    </row>
    <row r="1206">
      <c r="A1206" s="218">
        <v>45229.9276258912</v>
      </c>
      <c r="B1206" s="1"/>
      <c r="C1206" s="1"/>
      <c r="D1206" s="1"/>
      <c r="E1206" s="1"/>
      <c r="F1206" s="1"/>
      <c r="G1206" s="218"/>
      <c r="H1206" s="1"/>
      <c r="I1206" s="1"/>
      <c r="J1206" s="219"/>
      <c r="K1206" s="219"/>
      <c r="L1206" s="219"/>
      <c r="M1206" s="219"/>
      <c r="N1206" s="1"/>
      <c r="O1206" s="1"/>
      <c r="P1206" s="1"/>
      <c r="Q1206" s="1"/>
      <c r="R1206" s="1"/>
      <c r="S1206" s="1" t="e">
        <v>#N/A</v>
      </c>
      <c r="T1206" s="1" t="e">
        <v>#N/A</v>
      </c>
      <c r="U1206" s="1"/>
    </row>
    <row r="1207">
      <c r="A1207" s="218">
        <v>45229.9276258912</v>
      </c>
      <c r="B1207" s="1" t="s">
        <v>67</v>
      </c>
      <c r="C1207" s="1" t="s">
        <v>226</v>
      </c>
      <c r="D1207" s="1">
        <v>4.0</v>
      </c>
      <c r="E1207" s="1">
        <v>4.0</v>
      </c>
      <c r="F1207" s="1" t="s">
        <v>1458</v>
      </c>
      <c r="G1207" s="218">
        <v>45231.79166666667</v>
      </c>
      <c r="H1207" s="1" t="s">
        <v>60</v>
      </c>
      <c r="I1207" s="1" t="s">
        <v>36</v>
      </c>
      <c r="J1207" s="219">
        <v>-4.5</v>
      </c>
      <c r="K1207" s="219">
        <v>-6.5</v>
      </c>
      <c r="L1207" s="219">
        <v>195.0</v>
      </c>
      <c r="M1207" s="219" t="s">
        <v>1336</v>
      </c>
      <c r="N1207" s="1">
        <v>178.0</v>
      </c>
      <c r="O1207" s="1">
        <v>200.0</v>
      </c>
      <c r="P1207" s="1">
        <v>1.0</v>
      </c>
      <c r="Q1207" s="1" t="b">
        <v>1</v>
      </c>
      <c r="R1207" s="1">
        <v>100.0</v>
      </c>
      <c r="S1207" s="1" t="s">
        <v>352</v>
      </c>
      <c r="T1207" s="1" t="s">
        <v>423</v>
      </c>
      <c r="U1207" s="1"/>
    </row>
    <row r="1208">
      <c r="A1208" s="218">
        <v>45229.9276258912</v>
      </c>
      <c r="B1208" s="1" t="s">
        <v>67</v>
      </c>
      <c r="C1208" s="1" t="s">
        <v>223</v>
      </c>
      <c r="D1208" s="1">
        <v>4.0</v>
      </c>
      <c r="E1208" s="1">
        <v>4.0</v>
      </c>
      <c r="F1208" s="1" t="s">
        <v>1466</v>
      </c>
      <c r="G1208" s="218">
        <v>45232.79166666667</v>
      </c>
      <c r="H1208" s="1" t="s">
        <v>46</v>
      </c>
      <c r="I1208" s="1" t="s">
        <v>96</v>
      </c>
      <c r="J1208" s="219">
        <v>3.5</v>
      </c>
      <c r="K1208" s="219">
        <v>2.5</v>
      </c>
      <c r="L1208" s="219">
        <v>118.0</v>
      </c>
      <c r="M1208" s="219" t="s">
        <v>954</v>
      </c>
      <c r="N1208" s="1">
        <v>235.0</v>
      </c>
      <c r="O1208" s="1">
        <v>184.0</v>
      </c>
      <c r="P1208" s="1">
        <v>1.0</v>
      </c>
      <c r="Q1208" s="1" t="b">
        <v>1</v>
      </c>
      <c r="R1208" s="1">
        <v>100.0</v>
      </c>
      <c r="S1208" s="1" t="s">
        <v>296</v>
      </c>
      <c r="T1208" s="1" t="s">
        <v>422</v>
      </c>
      <c r="U1208" s="1"/>
    </row>
    <row r="1209">
      <c r="A1209" s="218">
        <v>45229.9276258912</v>
      </c>
      <c r="B1209" s="1" t="s">
        <v>67</v>
      </c>
      <c r="C1209" s="1" t="s">
        <v>205</v>
      </c>
      <c r="D1209" s="1">
        <v>4.0</v>
      </c>
      <c r="E1209" s="1">
        <v>4.0</v>
      </c>
      <c r="F1209" s="1" t="s">
        <v>1467</v>
      </c>
      <c r="G1209" s="218">
        <v>45232.8125</v>
      </c>
      <c r="H1209" s="1" t="s">
        <v>46</v>
      </c>
      <c r="I1209" s="1" t="s">
        <v>36</v>
      </c>
      <c r="J1209" s="219">
        <v>2.5</v>
      </c>
      <c r="K1209" s="219">
        <v>6.5</v>
      </c>
      <c r="L1209" s="219">
        <v>198.0</v>
      </c>
      <c r="M1209" s="219" t="s">
        <v>852</v>
      </c>
      <c r="N1209" s="1">
        <v>268.0</v>
      </c>
      <c r="O1209" s="1">
        <v>169.0</v>
      </c>
      <c r="P1209" s="1">
        <v>1.0</v>
      </c>
      <c r="Q1209" s="1" t="b">
        <v>0</v>
      </c>
      <c r="R1209" s="1">
        <v>100.0</v>
      </c>
      <c r="S1209" s="1" t="s">
        <v>355</v>
      </c>
      <c r="T1209" s="1" t="s">
        <v>423</v>
      </c>
      <c r="U1209" s="1"/>
    </row>
    <row r="1210">
      <c r="A1210" s="218">
        <v>45229.9276258912</v>
      </c>
      <c r="B1210" s="1" t="s">
        <v>67</v>
      </c>
      <c r="C1210" s="1" t="s">
        <v>221</v>
      </c>
      <c r="D1210" s="1">
        <v>3.0</v>
      </c>
      <c r="E1210" s="1">
        <v>5.0</v>
      </c>
      <c r="F1210" s="1" t="s">
        <v>1475</v>
      </c>
      <c r="G1210" s="218">
        <v>45234.625</v>
      </c>
      <c r="H1210" s="1" t="s">
        <v>70</v>
      </c>
      <c r="I1210" s="1" t="s">
        <v>935</v>
      </c>
      <c r="J1210" s="219">
        <v>6.5</v>
      </c>
      <c r="K1210" s="219">
        <v>6.5</v>
      </c>
      <c r="L1210" s="219">
        <v>-260.0</v>
      </c>
      <c r="M1210" s="219" t="s">
        <v>1476</v>
      </c>
      <c r="N1210" s="1">
        <v>284.0</v>
      </c>
      <c r="O1210" s="1">
        <v>293.0</v>
      </c>
      <c r="P1210" s="1">
        <v>1.0</v>
      </c>
      <c r="Q1210" s="1" t="b">
        <v>0</v>
      </c>
      <c r="R1210" s="1">
        <v>100.0</v>
      </c>
      <c r="S1210" s="1" t="s">
        <v>407</v>
      </c>
      <c r="T1210" s="1" t="s">
        <v>423</v>
      </c>
      <c r="U1210" s="1"/>
    </row>
    <row r="1211">
      <c r="A1211" s="218">
        <v>45229.9276258912</v>
      </c>
      <c r="B1211" s="1" t="s">
        <v>67</v>
      </c>
      <c r="C1211" s="1" t="s">
        <v>218</v>
      </c>
      <c r="D1211" s="1">
        <v>2.0</v>
      </c>
      <c r="E1211" s="1">
        <v>6.0</v>
      </c>
      <c r="F1211" s="1" t="s">
        <v>1477</v>
      </c>
      <c r="G1211" s="218">
        <v>45234.66666666667</v>
      </c>
      <c r="H1211" s="1" t="s">
        <v>70</v>
      </c>
      <c r="I1211" s="1" t="s">
        <v>935</v>
      </c>
      <c r="J1211" s="219">
        <v>2.5</v>
      </c>
      <c r="K1211" s="219">
        <v>2.5</v>
      </c>
      <c r="L1211" s="219">
        <v>115.0</v>
      </c>
      <c r="M1211" s="219" t="s">
        <v>840</v>
      </c>
      <c r="N1211" s="1">
        <v>163.0</v>
      </c>
      <c r="O1211" s="1">
        <v>263.0</v>
      </c>
      <c r="P1211" s="1">
        <v>1.0</v>
      </c>
      <c r="Q1211" s="1" t="b">
        <v>0</v>
      </c>
      <c r="R1211" s="1">
        <v>100.0</v>
      </c>
      <c r="S1211" s="1" t="s">
        <v>353</v>
      </c>
      <c r="T1211" s="1" t="s">
        <v>423</v>
      </c>
      <c r="U1211" s="1"/>
    </row>
    <row r="1212">
      <c r="A1212" s="218">
        <v>45229.9276258912</v>
      </c>
      <c r="B1212" s="1" t="s">
        <v>67</v>
      </c>
      <c r="C1212" s="1" t="s">
        <v>222</v>
      </c>
      <c r="D1212" s="1">
        <v>2.0</v>
      </c>
      <c r="E1212" s="1">
        <v>6.0</v>
      </c>
      <c r="F1212" s="1" t="s">
        <v>1487</v>
      </c>
      <c r="G1212" s="218">
        <v>45234.8125</v>
      </c>
      <c r="H1212" s="1" t="s">
        <v>59</v>
      </c>
      <c r="I1212" s="1" t="s">
        <v>90</v>
      </c>
      <c r="J1212" s="219">
        <v>30.5</v>
      </c>
      <c r="K1212" s="219">
        <v>31.5</v>
      </c>
      <c r="L1212" s="219">
        <v>2000.0</v>
      </c>
      <c r="M1212" s="219" t="s">
        <v>854</v>
      </c>
      <c r="N1212" s="1">
        <v>175.0</v>
      </c>
      <c r="O1212" s="1">
        <v>240.0</v>
      </c>
      <c r="P1212" s="1">
        <v>1.0</v>
      </c>
      <c r="Q1212" s="1" t="b">
        <v>0</v>
      </c>
      <c r="R1212" s="1">
        <v>100.0</v>
      </c>
      <c r="S1212" s="1" t="s">
        <v>282</v>
      </c>
      <c r="T1212" s="1" t="s">
        <v>422</v>
      </c>
      <c r="U1212" s="1"/>
    </row>
    <row r="1213">
      <c r="A1213" s="218">
        <v>45229.9276258912</v>
      </c>
      <c r="B1213" s="1" t="s">
        <v>67</v>
      </c>
      <c r="C1213" s="1" t="s">
        <v>217</v>
      </c>
      <c r="D1213" s="1">
        <v>5.0</v>
      </c>
      <c r="E1213" s="1">
        <v>3.0</v>
      </c>
      <c r="F1213" s="1" t="s">
        <v>1447</v>
      </c>
      <c r="G1213" s="218">
        <v>45234.9375</v>
      </c>
      <c r="H1213" s="1" t="s">
        <v>58</v>
      </c>
      <c r="I1213" s="1" t="s">
        <v>96</v>
      </c>
      <c r="J1213" s="219">
        <v>1.5</v>
      </c>
      <c r="K1213" s="219">
        <v>1.5</v>
      </c>
      <c r="L1213" s="219">
        <v>-128.0</v>
      </c>
      <c r="M1213" s="219" t="s">
        <v>114</v>
      </c>
      <c r="N1213" s="1">
        <v>250.0</v>
      </c>
      <c r="O1213" s="1">
        <v>168.0</v>
      </c>
      <c r="P1213" s="1">
        <v>1.0</v>
      </c>
      <c r="Q1213" s="1" t="b">
        <v>1</v>
      </c>
      <c r="R1213" s="1">
        <v>100.0</v>
      </c>
      <c r="S1213" s="1" t="s">
        <v>354</v>
      </c>
      <c r="T1213" s="1" t="s">
        <v>422</v>
      </c>
      <c r="U1213" s="1"/>
    </row>
    <row r="1214">
      <c r="A1214" s="218">
        <v>45229.9276258912</v>
      </c>
      <c r="B1214" s="1" t="s">
        <v>67</v>
      </c>
      <c r="C1214" s="1" t="s">
        <v>216</v>
      </c>
      <c r="D1214" s="1">
        <v>6.0</v>
      </c>
      <c r="E1214" s="1">
        <v>2.0</v>
      </c>
      <c r="F1214" s="1" t="s">
        <v>1488</v>
      </c>
      <c r="G1214" s="218">
        <v>45234.5</v>
      </c>
      <c r="H1214" s="1"/>
      <c r="I1214" s="1" t="s">
        <v>900</v>
      </c>
      <c r="J1214" s="219"/>
      <c r="K1214" s="219"/>
      <c r="L1214" s="219"/>
      <c r="M1214" s="219"/>
      <c r="N1214" s="1">
        <v>293.0</v>
      </c>
      <c r="O1214" s="1">
        <v>203.0</v>
      </c>
      <c r="P1214" s="1">
        <v>1.0</v>
      </c>
      <c r="Q1214" s="1" t="b">
        <v>0</v>
      </c>
      <c r="R1214" s="1">
        <v>100.0</v>
      </c>
      <c r="S1214" s="1" t="s">
        <v>301</v>
      </c>
      <c r="T1214" s="1" t="s">
        <v>422</v>
      </c>
      <c r="U1214" s="1"/>
    </row>
    <row r="1215">
      <c r="A1215" s="218">
        <v>45229.9276258912</v>
      </c>
      <c r="B1215" s="1" t="s">
        <v>67</v>
      </c>
      <c r="C1215" s="1" t="s">
        <v>225</v>
      </c>
      <c r="D1215" s="1">
        <v>7.0</v>
      </c>
      <c r="E1215" s="1">
        <v>1.0</v>
      </c>
      <c r="F1215" s="1" t="s">
        <v>1489</v>
      </c>
      <c r="G1215" s="218">
        <v>45234.5</v>
      </c>
      <c r="H1215" s="1" t="s">
        <v>125</v>
      </c>
      <c r="I1215" s="1" t="s">
        <v>76</v>
      </c>
      <c r="J1215" s="219">
        <v>-4.5</v>
      </c>
      <c r="K1215" s="219">
        <v>-4.5</v>
      </c>
      <c r="L1215" s="219">
        <v>162.0</v>
      </c>
      <c r="M1215" s="219" t="s">
        <v>68</v>
      </c>
      <c r="N1215" s="1">
        <v>311.0</v>
      </c>
      <c r="O1215" s="1">
        <v>171.0</v>
      </c>
      <c r="P1215" s="1">
        <v>1.0</v>
      </c>
      <c r="Q1215" s="1" t="b">
        <v>1</v>
      </c>
      <c r="R1215" s="1">
        <v>100.0</v>
      </c>
      <c r="S1215" s="1" t="s">
        <v>292</v>
      </c>
      <c r="T1215" s="1" t="s">
        <v>422</v>
      </c>
      <c r="U1215" s="1"/>
    </row>
    <row r="1216">
      <c r="A1216" s="218">
        <v>45229.9276258912</v>
      </c>
      <c r="B1216" s="1" t="s">
        <v>67</v>
      </c>
      <c r="C1216" s="1" t="s">
        <v>220</v>
      </c>
      <c r="D1216" s="1">
        <v>4.0</v>
      </c>
      <c r="E1216" s="1">
        <v>5.0</v>
      </c>
      <c r="F1216" s="1"/>
      <c r="G1216" s="218"/>
      <c r="H1216" s="1"/>
      <c r="I1216" s="1"/>
      <c r="J1216" s="219"/>
      <c r="K1216" s="219"/>
      <c r="L1216" s="219"/>
      <c r="M1216" s="219"/>
      <c r="N1216" s="1">
        <v>187.0</v>
      </c>
      <c r="O1216" s="1">
        <v>257.0</v>
      </c>
      <c r="P1216" s="1">
        <v>3.0</v>
      </c>
      <c r="Q1216" s="1" t="b">
        <v>1</v>
      </c>
      <c r="R1216" s="1">
        <v>100.0</v>
      </c>
      <c r="S1216" s="1" t="s">
        <v>351</v>
      </c>
      <c r="T1216" s="1" t="s">
        <v>423</v>
      </c>
      <c r="U1216" s="1"/>
    </row>
    <row r="1217">
      <c r="A1217" s="218">
        <v>45229.9276258912</v>
      </c>
      <c r="B1217" s="1"/>
      <c r="C1217" s="1"/>
      <c r="D1217" s="1"/>
      <c r="E1217" s="1"/>
      <c r="F1217" s="1"/>
      <c r="G1217" s="218"/>
      <c r="H1217" s="1"/>
      <c r="I1217" s="1"/>
      <c r="J1217" s="219"/>
      <c r="K1217" s="219"/>
      <c r="L1217" s="219"/>
      <c r="M1217" s="219"/>
      <c r="N1217" s="1"/>
      <c r="O1217" s="1"/>
      <c r="P1217" s="1"/>
      <c r="Q1217" s="1"/>
      <c r="R1217" s="1"/>
      <c r="S1217" s="1" t="e">
        <v>#N/A</v>
      </c>
      <c r="T1217" s="1" t="e">
        <v>#N/A</v>
      </c>
      <c r="U1217" s="1"/>
    </row>
    <row r="1218">
      <c r="A1218" s="218">
        <v>45229.9276258912</v>
      </c>
      <c r="B1218" s="1" t="s">
        <v>59</v>
      </c>
      <c r="C1218" s="1" t="s">
        <v>234</v>
      </c>
      <c r="D1218" s="1">
        <v>3.0</v>
      </c>
      <c r="E1218" s="1">
        <v>4.0</v>
      </c>
      <c r="F1218" s="1" t="s">
        <v>1429</v>
      </c>
      <c r="G1218" s="218">
        <v>45234.58333333333</v>
      </c>
      <c r="H1218" s="1" t="s">
        <v>35</v>
      </c>
      <c r="I1218" s="1" t="s">
        <v>935</v>
      </c>
      <c r="J1218" s="219">
        <v>-7.0</v>
      </c>
      <c r="K1218" s="219">
        <v>-7.0</v>
      </c>
      <c r="L1218" s="219">
        <v>-275.0</v>
      </c>
      <c r="M1218" s="219" t="s">
        <v>1361</v>
      </c>
      <c r="N1218" s="1">
        <v>128.0</v>
      </c>
      <c r="O1218" s="1">
        <v>155.0</v>
      </c>
      <c r="P1218" s="1">
        <v>1.0</v>
      </c>
      <c r="Q1218" s="1" t="b">
        <v>1</v>
      </c>
      <c r="R1218" s="1">
        <v>100.0</v>
      </c>
      <c r="S1218" s="1" t="s">
        <v>407</v>
      </c>
      <c r="T1218" s="1" t="s">
        <v>423</v>
      </c>
      <c r="U1218" s="1"/>
    </row>
    <row r="1219">
      <c r="A1219" s="218">
        <v>45229.9276258912</v>
      </c>
      <c r="B1219" s="1" t="s">
        <v>59</v>
      </c>
      <c r="C1219" s="1" t="s">
        <v>229</v>
      </c>
      <c r="D1219" s="1">
        <v>4.0</v>
      </c>
      <c r="E1219" s="1">
        <v>4.0</v>
      </c>
      <c r="F1219" s="1" t="s">
        <v>1490</v>
      </c>
      <c r="G1219" s="218">
        <v>45234.58333333333</v>
      </c>
      <c r="H1219" s="1"/>
      <c r="I1219" s="1" t="s">
        <v>1019</v>
      </c>
      <c r="J1219" s="219">
        <v>2.5</v>
      </c>
      <c r="K1219" s="219">
        <v>2.5</v>
      </c>
      <c r="L1219" s="219">
        <v>104.0</v>
      </c>
      <c r="M1219" s="219" t="s">
        <v>68</v>
      </c>
      <c r="N1219" s="1">
        <v>254.0</v>
      </c>
      <c r="O1219" s="1">
        <v>254.0</v>
      </c>
      <c r="P1219" s="1">
        <v>1.0</v>
      </c>
      <c r="Q1219" s="1" t="b">
        <v>1</v>
      </c>
      <c r="R1219" s="1">
        <v>100.0</v>
      </c>
      <c r="S1219" s="1" t="s">
        <v>301</v>
      </c>
      <c r="T1219" s="1" t="s">
        <v>422</v>
      </c>
      <c r="U1219" s="1"/>
    </row>
    <row r="1220">
      <c r="A1220" s="218">
        <v>45229.9276258912</v>
      </c>
      <c r="B1220" s="1" t="s">
        <v>59</v>
      </c>
      <c r="C1220" s="1" t="s">
        <v>231</v>
      </c>
      <c r="D1220" s="1">
        <v>6.0</v>
      </c>
      <c r="E1220" s="1">
        <v>2.0</v>
      </c>
      <c r="F1220" s="1" t="s">
        <v>1459</v>
      </c>
      <c r="G1220" s="218">
        <v>45234.58333333333</v>
      </c>
      <c r="H1220" s="1" t="s">
        <v>60</v>
      </c>
      <c r="I1220" s="1" t="s">
        <v>287</v>
      </c>
      <c r="J1220" s="219">
        <v>-10.5</v>
      </c>
      <c r="K1220" s="219">
        <v>-10.5</v>
      </c>
      <c r="L1220" s="219">
        <v>365.0</v>
      </c>
      <c r="M1220" s="219" t="s">
        <v>843</v>
      </c>
      <c r="N1220" s="1">
        <v>170.0</v>
      </c>
      <c r="O1220" s="1">
        <v>140.0</v>
      </c>
      <c r="P1220" s="1">
        <v>1.0</v>
      </c>
      <c r="Q1220" s="1" t="b">
        <v>1</v>
      </c>
      <c r="R1220" s="1">
        <v>100.0</v>
      </c>
      <c r="S1220" s="1" t="s">
        <v>354</v>
      </c>
      <c r="T1220" s="1" t="s">
        <v>422</v>
      </c>
      <c r="U1220" s="1"/>
    </row>
    <row r="1221">
      <c r="A1221" s="218">
        <v>45229.9276258912</v>
      </c>
      <c r="B1221" s="1" t="s">
        <v>59</v>
      </c>
      <c r="C1221" s="1" t="s">
        <v>237</v>
      </c>
      <c r="D1221" s="1">
        <v>7.0</v>
      </c>
      <c r="E1221" s="1">
        <v>1.0</v>
      </c>
      <c r="F1221" s="1" t="s">
        <v>1430</v>
      </c>
      <c r="G1221" s="218">
        <v>45234.64583333333</v>
      </c>
      <c r="H1221" s="1" t="s">
        <v>35</v>
      </c>
      <c r="I1221" s="1" t="s">
        <v>86</v>
      </c>
      <c r="J1221" s="219">
        <v>17.5</v>
      </c>
      <c r="K1221" s="219">
        <v>16.5</v>
      </c>
      <c r="L1221" s="219">
        <v>590.0</v>
      </c>
      <c r="M1221" s="219" t="s">
        <v>104</v>
      </c>
      <c r="N1221" s="1">
        <v>271.0</v>
      </c>
      <c r="O1221" s="1">
        <v>186.0</v>
      </c>
      <c r="P1221" s="1">
        <v>1.0</v>
      </c>
      <c r="Q1221" s="1" t="b">
        <v>0</v>
      </c>
      <c r="R1221" s="1">
        <v>100.0</v>
      </c>
      <c r="S1221" s="1" t="s">
        <v>292</v>
      </c>
      <c r="T1221" s="1" t="s">
        <v>422</v>
      </c>
      <c r="U1221" s="1"/>
    </row>
    <row r="1222">
      <c r="A1222" s="218">
        <v>45229.9276258912</v>
      </c>
      <c r="B1222" s="1" t="s">
        <v>59</v>
      </c>
      <c r="C1222" s="1" t="s">
        <v>230</v>
      </c>
      <c r="D1222" s="1">
        <v>3.0</v>
      </c>
      <c r="E1222" s="1">
        <v>5.0</v>
      </c>
      <c r="F1222" s="1" t="s">
        <v>1484</v>
      </c>
      <c r="G1222" s="218">
        <v>45234.64583333333</v>
      </c>
      <c r="H1222" s="1" t="s">
        <v>57</v>
      </c>
      <c r="I1222" s="1" t="s">
        <v>935</v>
      </c>
      <c r="J1222" s="219">
        <v>-4.5</v>
      </c>
      <c r="K1222" s="219">
        <v>-4.5</v>
      </c>
      <c r="L1222" s="219">
        <v>158.0</v>
      </c>
      <c r="M1222" s="219" t="s">
        <v>104</v>
      </c>
      <c r="N1222" s="1">
        <v>180.0</v>
      </c>
      <c r="O1222" s="1">
        <v>240.0</v>
      </c>
      <c r="P1222" s="1">
        <v>1.0</v>
      </c>
      <c r="Q1222" s="1" t="b">
        <v>0</v>
      </c>
      <c r="R1222" s="1">
        <v>100.0</v>
      </c>
      <c r="S1222" s="1" t="s">
        <v>296</v>
      </c>
      <c r="T1222" s="1" t="s">
        <v>422</v>
      </c>
      <c r="U1222" s="1"/>
    </row>
    <row r="1223">
      <c r="A1223" s="218">
        <v>45229.9276258912</v>
      </c>
      <c r="B1223" s="1" t="s">
        <v>59</v>
      </c>
      <c r="C1223" s="1" t="s">
        <v>232</v>
      </c>
      <c r="D1223" s="1">
        <v>6.0</v>
      </c>
      <c r="E1223" s="1">
        <v>2.0</v>
      </c>
      <c r="F1223" s="1" t="s">
        <v>1491</v>
      </c>
      <c r="G1223" s="218">
        <v>45234.64583333333</v>
      </c>
      <c r="H1223" s="1" t="s">
        <v>125</v>
      </c>
      <c r="I1223" s="1" t="s">
        <v>36</v>
      </c>
      <c r="J1223" s="219">
        <v>5.5</v>
      </c>
      <c r="K1223" s="219">
        <v>5.5</v>
      </c>
      <c r="L1223" s="219">
        <v>-235.0</v>
      </c>
      <c r="M1223" s="219" t="s">
        <v>68</v>
      </c>
      <c r="N1223" s="1">
        <v>243.0</v>
      </c>
      <c r="O1223" s="1">
        <v>204.0</v>
      </c>
      <c r="P1223" s="1">
        <v>1.0</v>
      </c>
      <c r="Q1223" s="1" t="b">
        <v>1</v>
      </c>
      <c r="R1223" s="1">
        <v>100.0</v>
      </c>
      <c r="S1223" s="1" t="s">
        <v>355</v>
      </c>
      <c r="T1223" s="1" t="s">
        <v>423</v>
      </c>
      <c r="U1223" s="1"/>
    </row>
    <row r="1224">
      <c r="A1224" s="218">
        <v>45229.9276258912</v>
      </c>
      <c r="B1224" s="1" t="s">
        <v>59</v>
      </c>
      <c r="C1224" s="1" t="s">
        <v>209</v>
      </c>
      <c r="D1224" s="1">
        <v>8.0</v>
      </c>
      <c r="E1224" s="1">
        <v>0.0</v>
      </c>
      <c r="F1224" s="1" t="s">
        <v>1487</v>
      </c>
      <c r="G1224" s="218">
        <v>45234.8125</v>
      </c>
      <c r="H1224" s="1" t="s">
        <v>67</v>
      </c>
      <c r="I1224" s="1" t="s">
        <v>90</v>
      </c>
      <c r="J1224" s="219">
        <v>-30.5</v>
      </c>
      <c r="K1224" s="219">
        <v>-31.5</v>
      </c>
      <c r="L1224" s="219">
        <v>2000.0</v>
      </c>
      <c r="M1224" s="219" t="s">
        <v>854</v>
      </c>
      <c r="N1224" s="1">
        <v>325.0</v>
      </c>
      <c r="O1224" s="1">
        <v>47.0</v>
      </c>
      <c r="P1224" s="1">
        <v>1.0</v>
      </c>
      <c r="Q1224" s="1" t="b">
        <v>1</v>
      </c>
      <c r="R1224" s="1">
        <v>100.0</v>
      </c>
      <c r="S1224" s="1" t="s">
        <v>282</v>
      </c>
      <c r="T1224" s="1" t="s">
        <v>422</v>
      </c>
      <c r="U1224" s="1"/>
    </row>
    <row r="1225">
      <c r="A1225" s="218">
        <v>45229.9276258912</v>
      </c>
      <c r="B1225" s="1" t="s">
        <v>59</v>
      </c>
      <c r="C1225" s="1" t="s">
        <v>227</v>
      </c>
      <c r="D1225" s="1">
        <v>4.0</v>
      </c>
      <c r="E1225" s="1">
        <v>4.0</v>
      </c>
      <c r="F1225" s="1" t="s">
        <v>1492</v>
      </c>
      <c r="G1225" s="218">
        <v>45234.91666666667</v>
      </c>
      <c r="H1225" s="1" t="s">
        <v>62</v>
      </c>
      <c r="I1225" s="1" t="s">
        <v>99</v>
      </c>
      <c r="J1225" s="219">
        <v>3.5</v>
      </c>
      <c r="K1225" s="219">
        <v>3.5</v>
      </c>
      <c r="L1225" s="219">
        <v>155.0</v>
      </c>
      <c r="M1225" s="219" t="s">
        <v>68</v>
      </c>
      <c r="N1225" s="1">
        <v>240.0</v>
      </c>
      <c r="O1225" s="1">
        <v>223.0</v>
      </c>
      <c r="P1225" s="1">
        <v>1.0</v>
      </c>
      <c r="Q1225" s="1" t="b">
        <v>0</v>
      </c>
      <c r="R1225" s="1">
        <v>100.0</v>
      </c>
      <c r="S1225" s="1" t="s">
        <v>353</v>
      </c>
      <c r="T1225" s="1" t="s">
        <v>423</v>
      </c>
      <c r="U1225" s="1"/>
    </row>
    <row r="1226">
      <c r="A1226" s="218">
        <v>45229.9276258912</v>
      </c>
      <c r="B1226" s="1" t="s">
        <v>59</v>
      </c>
      <c r="C1226" s="1" t="s">
        <v>236</v>
      </c>
      <c r="D1226" s="1">
        <v>1.0</v>
      </c>
      <c r="E1226" s="1">
        <v>7.0</v>
      </c>
      <c r="F1226" s="1" t="s">
        <v>1493</v>
      </c>
      <c r="G1226" s="218">
        <v>45234.5</v>
      </c>
      <c r="H1226" s="1" t="s">
        <v>61</v>
      </c>
      <c r="I1226" s="1" t="s">
        <v>945</v>
      </c>
      <c r="J1226" s="219">
        <v>34.5</v>
      </c>
      <c r="K1226" s="219">
        <v>34.5</v>
      </c>
      <c r="L1226" s="219">
        <v>7000.0</v>
      </c>
      <c r="M1226" s="219" t="s">
        <v>73</v>
      </c>
      <c r="N1226" s="1">
        <v>158.0</v>
      </c>
      <c r="O1226" s="1">
        <v>234.0</v>
      </c>
      <c r="P1226" s="1">
        <v>1.0</v>
      </c>
      <c r="Q1226" s="1" t="b">
        <v>1</v>
      </c>
      <c r="R1226" s="1">
        <v>100.0</v>
      </c>
      <c r="S1226" s="1" t="s">
        <v>351</v>
      </c>
      <c r="T1226" s="1" t="s">
        <v>423</v>
      </c>
      <c r="U1226" s="1"/>
    </row>
    <row r="1227">
      <c r="A1227" s="218">
        <v>45229.9276258912</v>
      </c>
      <c r="B1227" s="1" t="s">
        <v>59</v>
      </c>
      <c r="C1227" s="1" t="s">
        <v>238</v>
      </c>
      <c r="D1227" s="1">
        <v>4.0</v>
      </c>
      <c r="E1227" s="1">
        <v>5.0</v>
      </c>
      <c r="F1227" s="1"/>
      <c r="G1227" s="218"/>
      <c r="H1227" s="1"/>
      <c r="I1227" s="1"/>
      <c r="J1227" s="219"/>
      <c r="K1227" s="219"/>
      <c r="L1227" s="219"/>
      <c r="M1227" s="219"/>
      <c r="N1227" s="1">
        <v>167.0</v>
      </c>
      <c r="O1227" s="1">
        <v>201.0</v>
      </c>
      <c r="P1227" s="1">
        <v>3.0</v>
      </c>
      <c r="Q1227" s="1" t="b">
        <v>1</v>
      </c>
      <c r="R1227" s="1">
        <v>100.0</v>
      </c>
      <c r="S1227" s="1" t="s">
        <v>352</v>
      </c>
      <c r="T1227" s="1" t="s">
        <v>423</v>
      </c>
      <c r="U1227" s="1"/>
    </row>
    <row r="1228">
      <c r="A1228" s="218">
        <v>45229.9276258912</v>
      </c>
      <c r="B1228" s="1"/>
      <c r="C1228" s="1"/>
      <c r="D1228" s="1"/>
      <c r="E1228" s="1"/>
      <c r="F1228" s="1"/>
      <c r="G1228" s="218"/>
      <c r="H1228" s="1"/>
      <c r="I1228" s="1"/>
      <c r="J1228" s="219"/>
      <c r="K1228" s="219"/>
      <c r="L1228" s="219"/>
      <c r="M1228" s="219"/>
      <c r="N1228" s="1"/>
      <c r="O1228" s="1"/>
      <c r="P1228" s="1"/>
      <c r="Q1228" s="1"/>
      <c r="R1228" s="1"/>
      <c r="S1228" s="1" t="e">
        <v>#N/A</v>
      </c>
      <c r="T1228" s="1" t="e">
        <v>#N/A</v>
      </c>
      <c r="U1228" s="1"/>
    </row>
    <row r="1229">
      <c r="A1229" s="218">
        <v>45229.9276258912</v>
      </c>
      <c r="B1229" s="1" t="s">
        <v>62</v>
      </c>
      <c r="C1229" s="1" t="s">
        <v>248</v>
      </c>
      <c r="D1229" s="1">
        <v>5.0</v>
      </c>
      <c r="E1229" s="1">
        <v>3.0</v>
      </c>
      <c r="F1229" s="1" t="s">
        <v>1449</v>
      </c>
      <c r="G1229" s="218">
        <v>45233.8125</v>
      </c>
      <c r="H1229" s="1" t="s">
        <v>56</v>
      </c>
      <c r="I1229" s="1" t="s">
        <v>76</v>
      </c>
      <c r="J1229" s="219">
        <v>7.5</v>
      </c>
      <c r="K1229" s="219">
        <v>3.0</v>
      </c>
      <c r="L1229" s="219">
        <v>126.0</v>
      </c>
      <c r="M1229" s="219" t="s">
        <v>845</v>
      </c>
      <c r="N1229" s="1">
        <v>225.0</v>
      </c>
      <c r="O1229" s="1">
        <v>227.0</v>
      </c>
      <c r="P1229" s="1">
        <v>1.0</v>
      </c>
      <c r="Q1229" s="1" t="b">
        <v>0</v>
      </c>
      <c r="R1229" s="1">
        <v>100.0</v>
      </c>
      <c r="S1229" s="1" t="s">
        <v>301</v>
      </c>
      <c r="T1229" s="1" t="s">
        <v>422</v>
      </c>
      <c r="U1229" s="1"/>
    </row>
    <row r="1230">
      <c r="A1230" s="218">
        <v>45229.9276258912</v>
      </c>
      <c r="B1230" s="1" t="s">
        <v>62</v>
      </c>
      <c r="C1230" s="1" t="s">
        <v>242</v>
      </c>
      <c r="D1230" s="1">
        <v>2.0</v>
      </c>
      <c r="E1230" s="1">
        <v>6.0</v>
      </c>
      <c r="F1230" s="1" t="s">
        <v>1494</v>
      </c>
      <c r="G1230" s="218">
        <v>45234.64583333333</v>
      </c>
      <c r="H1230" s="1" t="s">
        <v>69</v>
      </c>
      <c r="I1230" s="1" t="s">
        <v>96</v>
      </c>
      <c r="J1230" s="219">
        <v>4.5</v>
      </c>
      <c r="K1230" s="219">
        <v>4.5</v>
      </c>
      <c r="L1230" s="219">
        <v>-220.0</v>
      </c>
      <c r="M1230" s="219" t="s">
        <v>203</v>
      </c>
      <c r="N1230" s="1">
        <v>202.0</v>
      </c>
      <c r="O1230" s="1">
        <v>227.0</v>
      </c>
      <c r="P1230" s="1">
        <v>1.0</v>
      </c>
      <c r="Q1230" s="1" t="b">
        <v>0</v>
      </c>
      <c r="R1230" s="1">
        <v>100.0</v>
      </c>
      <c r="S1230" s="1" t="s">
        <v>296</v>
      </c>
      <c r="T1230" s="1" t="s">
        <v>422</v>
      </c>
      <c r="U1230" s="1"/>
    </row>
    <row r="1231">
      <c r="A1231" s="218">
        <v>45229.9276258912</v>
      </c>
      <c r="B1231" s="1" t="s">
        <v>62</v>
      </c>
      <c r="C1231" s="1" t="s">
        <v>246</v>
      </c>
      <c r="D1231" s="1">
        <v>1.0</v>
      </c>
      <c r="E1231" s="1">
        <v>7.0</v>
      </c>
      <c r="F1231" s="1" t="s">
        <v>1469</v>
      </c>
      <c r="G1231" s="218">
        <v>45234.64583333333</v>
      </c>
      <c r="H1231" s="1" t="s">
        <v>46</v>
      </c>
      <c r="I1231" s="1" t="s">
        <v>40</v>
      </c>
      <c r="J1231" s="219">
        <v>16.5</v>
      </c>
      <c r="K1231" s="219">
        <v>16.5</v>
      </c>
      <c r="L1231" s="219">
        <v>-1000.0</v>
      </c>
      <c r="M1231" s="219" t="s">
        <v>854</v>
      </c>
      <c r="N1231" s="1">
        <v>149.0</v>
      </c>
      <c r="O1231" s="1">
        <v>210.0</v>
      </c>
      <c r="P1231" s="1">
        <v>1.0</v>
      </c>
      <c r="Q1231" s="1" t="b">
        <v>1</v>
      </c>
      <c r="R1231" s="1">
        <v>100.0</v>
      </c>
      <c r="S1231" s="1" t="s">
        <v>407</v>
      </c>
      <c r="T1231" s="1" t="s">
        <v>423</v>
      </c>
      <c r="U1231" s="1"/>
    </row>
    <row r="1232">
      <c r="A1232" s="218">
        <v>45229.9276258912</v>
      </c>
      <c r="B1232" s="1" t="s">
        <v>62</v>
      </c>
      <c r="C1232" s="1" t="s">
        <v>244</v>
      </c>
      <c r="D1232" s="1">
        <v>5.0</v>
      </c>
      <c r="E1232" s="1">
        <v>3.0</v>
      </c>
      <c r="F1232" s="1" t="s">
        <v>1452</v>
      </c>
      <c r="G1232" s="218">
        <v>45234.64583333333</v>
      </c>
      <c r="H1232" s="1" t="s">
        <v>56</v>
      </c>
      <c r="I1232" s="1" t="s">
        <v>92</v>
      </c>
      <c r="J1232" s="219">
        <v>10.5</v>
      </c>
      <c r="K1232" s="219">
        <v>11.5</v>
      </c>
      <c r="L1232" s="219">
        <v>-465.0</v>
      </c>
      <c r="M1232" s="219" t="s">
        <v>937</v>
      </c>
      <c r="N1232" s="1">
        <v>261.0</v>
      </c>
      <c r="O1232" s="1">
        <v>163.0</v>
      </c>
      <c r="P1232" s="1">
        <v>1.0</v>
      </c>
      <c r="Q1232" s="1" t="b">
        <v>0</v>
      </c>
      <c r="R1232" s="1">
        <v>100.0</v>
      </c>
      <c r="S1232" s="1" t="s">
        <v>282</v>
      </c>
      <c r="T1232" s="1" t="s">
        <v>422</v>
      </c>
      <c r="U1232" s="1"/>
    </row>
    <row r="1233">
      <c r="A1233" s="218">
        <v>45229.9276258912</v>
      </c>
      <c r="B1233" s="1" t="s">
        <v>62</v>
      </c>
      <c r="C1233" s="1" t="s">
        <v>245</v>
      </c>
      <c r="D1233" s="1">
        <v>6.0</v>
      </c>
      <c r="E1233" s="1">
        <v>2.0</v>
      </c>
      <c r="F1233" s="1" t="s">
        <v>1453</v>
      </c>
      <c r="G1233" s="218">
        <v>45234.79166666667</v>
      </c>
      <c r="H1233" s="1" t="s">
        <v>56</v>
      </c>
      <c r="I1233" s="1" t="s">
        <v>935</v>
      </c>
      <c r="J1233" s="219">
        <v>-2.5</v>
      </c>
      <c r="K1233" s="219">
        <v>-2.5</v>
      </c>
      <c r="L1233" s="219">
        <v>-128.0</v>
      </c>
      <c r="M1233" s="219" t="s">
        <v>1454</v>
      </c>
      <c r="N1233" s="1">
        <v>270.0</v>
      </c>
      <c r="O1233" s="1">
        <v>197.0</v>
      </c>
      <c r="P1233" s="1">
        <v>1.0</v>
      </c>
      <c r="Q1233" s="1" t="b">
        <v>0</v>
      </c>
      <c r="R1233" s="1">
        <v>100.0</v>
      </c>
      <c r="S1233" s="1" t="s">
        <v>355</v>
      </c>
      <c r="T1233" s="1" t="s">
        <v>423</v>
      </c>
      <c r="U1233" s="1"/>
    </row>
    <row r="1234">
      <c r="A1234" s="218">
        <v>45229.9276258912</v>
      </c>
      <c r="B1234" s="1" t="s">
        <v>62</v>
      </c>
      <c r="C1234" s="1" t="s">
        <v>249</v>
      </c>
      <c r="D1234" s="1">
        <v>4.0</v>
      </c>
      <c r="E1234" s="1">
        <v>4.0</v>
      </c>
      <c r="F1234" s="1" t="s">
        <v>1479</v>
      </c>
      <c r="G1234" s="218">
        <v>45234.8125</v>
      </c>
      <c r="H1234" s="1" t="s">
        <v>70</v>
      </c>
      <c r="I1234" s="1" t="s">
        <v>945</v>
      </c>
      <c r="J1234" s="219">
        <v>3.5</v>
      </c>
      <c r="K1234" s="219">
        <v>3.5</v>
      </c>
      <c r="L1234" s="219">
        <v>-164.0</v>
      </c>
      <c r="M1234" s="219" t="s">
        <v>852</v>
      </c>
      <c r="N1234" s="1">
        <v>201.0</v>
      </c>
      <c r="O1234" s="1">
        <v>207.0</v>
      </c>
      <c r="P1234" s="1">
        <v>1.0</v>
      </c>
      <c r="Q1234" s="1" t="b">
        <v>1</v>
      </c>
      <c r="R1234" s="1">
        <v>100.0</v>
      </c>
      <c r="S1234" s="1" t="s">
        <v>292</v>
      </c>
      <c r="T1234" s="1" t="s">
        <v>422</v>
      </c>
      <c r="U1234" s="1"/>
    </row>
    <row r="1235">
      <c r="A1235" s="218">
        <v>45229.9276258912</v>
      </c>
      <c r="B1235" s="1" t="s">
        <v>62</v>
      </c>
      <c r="C1235" s="1" t="s">
        <v>215</v>
      </c>
      <c r="D1235" s="1">
        <v>4.0</v>
      </c>
      <c r="E1235" s="1">
        <v>4.0</v>
      </c>
      <c r="F1235" s="1" t="s">
        <v>1481</v>
      </c>
      <c r="G1235" s="218">
        <v>45234.875</v>
      </c>
      <c r="H1235" s="1" t="s">
        <v>70</v>
      </c>
      <c r="I1235" s="1" t="s">
        <v>935</v>
      </c>
      <c r="J1235" s="219">
        <v>-10.5</v>
      </c>
      <c r="K1235" s="219">
        <v>-10.5</v>
      </c>
      <c r="L1235" s="219">
        <v>-430.0</v>
      </c>
      <c r="M1235" s="219" t="s">
        <v>68</v>
      </c>
      <c r="N1235" s="1">
        <v>239.0</v>
      </c>
      <c r="O1235" s="1">
        <v>236.0</v>
      </c>
      <c r="P1235" s="1">
        <v>1.0</v>
      </c>
      <c r="Q1235" s="1" t="b">
        <v>1</v>
      </c>
      <c r="R1235" s="1">
        <v>100.0</v>
      </c>
      <c r="S1235" s="1" t="s">
        <v>351</v>
      </c>
      <c r="T1235" s="1" t="s">
        <v>423</v>
      </c>
      <c r="U1235" s="1"/>
    </row>
    <row r="1236">
      <c r="A1236" s="218">
        <v>45229.9276258912</v>
      </c>
      <c r="B1236" s="1" t="s">
        <v>62</v>
      </c>
      <c r="C1236" s="1" t="s">
        <v>241</v>
      </c>
      <c r="D1236" s="1">
        <v>7.0</v>
      </c>
      <c r="E1236" s="1">
        <v>1.0</v>
      </c>
      <c r="F1236" s="1" t="s">
        <v>1492</v>
      </c>
      <c r="G1236" s="218">
        <v>45234.91666666667</v>
      </c>
      <c r="H1236" s="1" t="s">
        <v>59</v>
      </c>
      <c r="I1236" s="1" t="s">
        <v>99</v>
      </c>
      <c r="J1236" s="219">
        <v>-3.5</v>
      </c>
      <c r="K1236" s="219">
        <v>-3.5</v>
      </c>
      <c r="L1236" s="219">
        <v>155.0</v>
      </c>
      <c r="M1236" s="219" t="s">
        <v>68</v>
      </c>
      <c r="N1236" s="1">
        <v>269.0</v>
      </c>
      <c r="O1236" s="1">
        <v>165.0</v>
      </c>
      <c r="P1236" s="1">
        <v>1.0</v>
      </c>
      <c r="Q1236" s="1" t="b">
        <v>1</v>
      </c>
      <c r="R1236" s="1">
        <v>100.0</v>
      </c>
      <c r="S1236" s="1" t="s">
        <v>353</v>
      </c>
      <c r="T1236" s="1" t="s">
        <v>423</v>
      </c>
      <c r="U1236" s="1"/>
    </row>
    <row r="1237">
      <c r="A1237" s="218">
        <v>45229.9276258912</v>
      </c>
      <c r="B1237" s="1" t="s">
        <v>62</v>
      </c>
      <c r="C1237" s="1" t="s">
        <v>247</v>
      </c>
      <c r="D1237" s="1">
        <v>6.0</v>
      </c>
      <c r="E1237" s="1">
        <v>2.0</v>
      </c>
      <c r="F1237" s="1" t="s">
        <v>1495</v>
      </c>
      <c r="G1237" s="218">
        <v>45234.91666666667</v>
      </c>
      <c r="H1237" s="1" t="s">
        <v>61</v>
      </c>
      <c r="I1237" s="1" t="s">
        <v>76</v>
      </c>
      <c r="J1237" s="219">
        <v>-13.5</v>
      </c>
      <c r="K1237" s="219">
        <v>-13.5</v>
      </c>
      <c r="L1237" s="219">
        <v>-600.0</v>
      </c>
      <c r="M1237" s="219" t="s">
        <v>994</v>
      </c>
      <c r="N1237" s="1">
        <v>291.0</v>
      </c>
      <c r="O1237" s="1">
        <v>169.0</v>
      </c>
      <c r="P1237" s="1">
        <v>1.0</v>
      </c>
      <c r="Q1237" s="1" t="b">
        <v>1</v>
      </c>
      <c r="R1237" s="1">
        <v>100.0</v>
      </c>
      <c r="S1237" s="1" t="s">
        <v>354</v>
      </c>
      <c r="T1237" s="1" t="s">
        <v>422</v>
      </c>
      <c r="U1237" s="1"/>
    </row>
    <row r="1238">
      <c r="A1238" s="218">
        <v>45229.9276258912</v>
      </c>
      <c r="B1238" s="1" t="s">
        <v>62</v>
      </c>
      <c r="C1238" s="1" t="s">
        <v>240</v>
      </c>
      <c r="D1238" s="1">
        <v>7.0</v>
      </c>
      <c r="E1238" s="1">
        <v>2.0</v>
      </c>
      <c r="F1238" s="1"/>
      <c r="G1238" s="218"/>
      <c r="H1238" s="1"/>
      <c r="I1238" s="1"/>
      <c r="J1238" s="219"/>
      <c r="K1238" s="219"/>
      <c r="L1238" s="219"/>
      <c r="M1238" s="219"/>
      <c r="N1238" s="1">
        <v>268.0</v>
      </c>
      <c r="O1238" s="1">
        <v>171.0</v>
      </c>
      <c r="P1238" s="1">
        <v>3.0</v>
      </c>
      <c r="Q1238" s="1" t="b">
        <v>1</v>
      </c>
      <c r="R1238" s="1">
        <v>100.0</v>
      </c>
      <c r="S1238" s="1" t="s">
        <v>352</v>
      </c>
      <c r="T1238" s="1" t="s">
        <v>423</v>
      </c>
      <c r="U1238" s="1"/>
    </row>
    <row r="1239">
      <c r="A1239" s="218">
        <v>45229.9276258912</v>
      </c>
      <c r="B1239" s="1"/>
      <c r="C1239" s="1"/>
      <c r="D1239" s="1"/>
      <c r="E1239" s="1"/>
      <c r="F1239" s="1"/>
      <c r="G1239" s="218"/>
      <c r="H1239" s="1"/>
      <c r="I1239" s="1"/>
      <c r="J1239" s="219"/>
      <c r="K1239" s="219"/>
      <c r="L1239" s="219"/>
      <c r="M1239" s="219"/>
      <c r="N1239" s="1"/>
      <c r="O1239" s="1"/>
      <c r="P1239" s="1"/>
      <c r="Q1239" s="1"/>
      <c r="R1239" s="1"/>
      <c r="S1239" s="1" t="e">
        <v>#N/A</v>
      </c>
      <c r="T1239" s="1" t="e">
        <v>#N/A</v>
      </c>
      <c r="U1239" s="1"/>
    </row>
    <row r="1240">
      <c r="A1240" s="218">
        <v>45229.9276258912</v>
      </c>
      <c r="B1240" s="1" t="s">
        <v>69</v>
      </c>
      <c r="C1240" s="1" t="s">
        <v>243</v>
      </c>
      <c r="D1240" s="1">
        <v>8.0</v>
      </c>
      <c r="E1240" s="1">
        <v>0.0</v>
      </c>
      <c r="F1240" s="1" t="s">
        <v>1450</v>
      </c>
      <c r="G1240" s="218">
        <v>45234.60416666667</v>
      </c>
      <c r="H1240" s="1" t="s">
        <v>56</v>
      </c>
      <c r="I1240" s="1" t="s">
        <v>99</v>
      </c>
      <c r="J1240" s="219">
        <v>-18.5</v>
      </c>
      <c r="K1240" s="219">
        <v>-18.5</v>
      </c>
      <c r="L1240" s="219">
        <v>860.0</v>
      </c>
      <c r="M1240" s="219" t="s">
        <v>212</v>
      </c>
      <c r="N1240" s="1">
        <v>269.0</v>
      </c>
      <c r="O1240" s="1">
        <v>107.0</v>
      </c>
      <c r="P1240" s="1">
        <v>1.0</v>
      </c>
      <c r="Q1240" s="1" t="b">
        <v>0</v>
      </c>
      <c r="R1240" s="1">
        <v>100.0</v>
      </c>
      <c r="S1240" s="1" t="s">
        <v>353</v>
      </c>
      <c r="T1240" s="1" t="s">
        <v>423</v>
      </c>
      <c r="U1240" s="1"/>
    </row>
    <row r="1241">
      <c r="A1241" s="218">
        <v>45229.9276258912</v>
      </c>
      <c r="B1241" s="1" t="s">
        <v>69</v>
      </c>
      <c r="C1241" s="1" t="s">
        <v>253</v>
      </c>
      <c r="D1241" s="1">
        <v>4.0</v>
      </c>
      <c r="E1241" s="1">
        <v>4.0</v>
      </c>
      <c r="F1241" s="1" t="s">
        <v>1441</v>
      </c>
      <c r="G1241" s="218">
        <v>45234.625</v>
      </c>
      <c r="H1241" s="1" t="s">
        <v>58</v>
      </c>
      <c r="I1241" s="1" t="s">
        <v>935</v>
      </c>
      <c r="J1241" s="219">
        <v>13.5</v>
      </c>
      <c r="K1241" s="219">
        <v>13.5</v>
      </c>
      <c r="L1241" s="219">
        <v>375.0</v>
      </c>
      <c r="M1241" s="219" t="s">
        <v>1363</v>
      </c>
      <c r="N1241" s="1">
        <v>224.0</v>
      </c>
      <c r="O1241" s="1">
        <v>274.0</v>
      </c>
      <c r="P1241" s="1">
        <v>1.0</v>
      </c>
      <c r="Q1241" s="1" t="b">
        <v>0</v>
      </c>
      <c r="R1241" s="1">
        <v>100.0</v>
      </c>
      <c r="S1241" s="1" t="s">
        <v>407</v>
      </c>
      <c r="T1241" s="1" t="s">
        <v>423</v>
      </c>
      <c r="U1241" s="1"/>
    </row>
    <row r="1242">
      <c r="A1242" s="218">
        <v>45229.9276258912</v>
      </c>
      <c r="B1242" s="1" t="s">
        <v>69</v>
      </c>
      <c r="C1242" s="1" t="s">
        <v>254</v>
      </c>
      <c r="D1242" s="1">
        <v>4.0</v>
      </c>
      <c r="E1242" s="1">
        <v>4.0</v>
      </c>
      <c r="F1242" s="1" t="s">
        <v>1460</v>
      </c>
      <c r="G1242" s="218">
        <v>45234.625</v>
      </c>
      <c r="H1242" s="1" t="s">
        <v>60</v>
      </c>
      <c r="I1242" s="1" t="s">
        <v>935</v>
      </c>
      <c r="J1242" s="219">
        <v>9.5</v>
      </c>
      <c r="K1242" s="219">
        <v>9.5</v>
      </c>
      <c r="L1242" s="219">
        <v>-360.0</v>
      </c>
      <c r="M1242" s="219" t="s">
        <v>969</v>
      </c>
      <c r="N1242" s="1">
        <v>184.0</v>
      </c>
      <c r="O1242" s="1">
        <v>270.0</v>
      </c>
      <c r="P1242" s="1">
        <v>1.0</v>
      </c>
      <c r="Q1242" s="1" t="b">
        <v>1</v>
      </c>
      <c r="R1242" s="1">
        <v>100.0</v>
      </c>
      <c r="S1242" s="1" t="s">
        <v>355</v>
      </c>
      <c r="T1242" s="1" t="s">
        <v>423</v>
      </c>
      <c r="U1242" s="1"/>
    </row>
    <row r="1243">
      <c r="A1243" s="218">
        <v>45229.9276258912</v>
      </c>
      <c r="B1243" s="1" t="s">
        <v>69</v>
      </c>
      <c r="C1243" s="1" t="s">
        <v>256</v>
      </c>
      <c r="D1243" s="1">
        <v>2.0</v>
      </c>
      <c r="E1243" s="1">
        <v>6.0</v>
      </c>
      <c r="F1243" s="1" t="s">
        <v>1496</v>
      </c>
      <c r="G1243" s="218">
        <v>45234.64583333333</v>
      </c>
      <c r="H1243" s="1" t="s">
        <v>125</v>
      </c>
      <c r="I1243" s="1"/>
      <c r="J1243" s="219">
        <v>21.5</v>
      </c>
      <c r="K1243" s="219">
        <v>21.5</v>
      </c>
      <c r="L1243" s="219">
        <v>-2500.0</v>
      </c>
      <c r="M1243" s="219" t="s">
        <v>937</v>
      </c>
      <c r="N1243" s="1">
        <v>179.0</v>
      </c>
      <c r="O1243" s="1">
        <v>230.0</v>
      </c>
      <c r="P1243" s="1">
        <v>1.0</v>
      </c>
      <c r="Q1243" s="1" t="b">
        <v>0</v>
      </c>
      <c r="R1243" s="1">
        <v>100.0</v>
      </c>
      <c r="S1243" s="1" t="s">
        <v>301</v>
      </c>
      <c r="T1243" s="1" t="s">
        <v>422</v>
      </c>
      <c r="U1243" s="1"/>
    </row>
    <row r="1244">
      <c r="A1244" s="218">
        <v>45229.9276258912</v>
      </c>
      <c r="B1244" s="1" t="s">
        <v>69</v>
      </c>
      <c r="C1244" s="1" t="s">
        <v>257</v>
      </c>
      <c r="D1244" s="1">
        <v>3.0</v>
      </c>
      <c r="E1244" s="1">
        <v>5.0</v>
      </c>
      <c r="F1244" s="1" t="s">
        <v>1494</v>
      </c>
      <c r="G1244" s="218">
        <v>45234.64583333333</v>
      </c>
      <c r="H1244" s="1" t="s">
        <v>62</v>
      </c>
      <c r="I1244" s="1" t="s">
        <v>96</v>
      </c>
      <c r="J1244" s="219">
        <v>-4.5</v>
      </c>
      <c r="K1244" s="219">
        <v>-4.5</v>
      </c>
      <c r="L1244" s="219">
        <v>-220.0</v>
      </c>
      <c r="M1244" s="219" t="s">
        <v>203</v>
      </c>
      <c r="N1244" s="1">
        <v>267.0</v>
      </c>
      <c r="O1244" s="1">
        <v>239.0</v>
      </c>
      <c r="P1244" s="1">
        <v>1.0</v>
      </c>
      <c r="Q1244" s="1" t="b">
        <v>1</v>
      </c>
      <c r="R1244" s="1">
        <v>100.0</v>
      </c>
      <c r="S1244" s="1" t="s">
        <v>296</v>
      </c>
      <c r="T1244" s="1" t="s">
        <v>422</v>
      </c>
      <c r="U1244" s="1"/>
    </row>
    <row r="1245">
      <c r="A1245" s="218">
        <v>45229.9276258912</v>
      </c>
      <c r="B1245" s="1" t="s">
        <v>69</v>
      </c>
      <c r="C1245" s="1" t="s">
        <v>252</v>
      </c>
      <c r="D1245" s="1">
        <v>2.0</v>
      </c>
      <c r="E1245" s="1">
        <v>6.0</v>
      </c>
      <c r="F1245" s="1" t="s">
        <v>1485</v>
      </c>
      <c r="G1245" s="218">
        <v>45234.66666666667</v>
      </c>
      <c r="H1245" s="1" t="s">
        <v>57</v>
      </c>
      <c r="I1245" s="1" t="s">
        <v>935</v>
      </c>
      <c r="J1245" s="219">
        <v>3.5</v>
      </c>
      <c r="K1245" s="219">
        <v>3.5</v>
      </c>
      <c r="L1245" s="219">
        <v>155.0</v>
      </c>
      <c r="M1245" s="219" t="s">
        <v>874</v>
      </c>
      <c r="N1245" s="1">
        <v>118.0</v>
      </c>
      <c r="O1245" s="1">
        <v>197.0</v>
      </c>
      <c r="P1245" s="1">
        <v>1.0</v>
      </c>
      <c r="Q1245" s="1" t="b">
        <v>0</v>
      </c>
      <c r="R1245" s="1">
        <v>100.0</v>
      </c>
      <c r="S1245" s="1" t="s">
        <v>352</v>
      </c>
      <c r="T1245" s="1" t="s">
        <v>423</v>
      </c>
      <c r="U1245" s="1"/>
    </row>
    <row r="1246">
      <c r="A1246" s="218">
        <v>45229.9276258912</v>
      </c>
      <c r="B1246" s="1" t="s">
        <v>69</v>
      </c>
      <c r="C1246" s="1" t="s">
        <v>251</v>
      </c>
      <c r="D1246" s="1">
        <v>3.0</v>
      </c>
      <c r="E1246" s="1">
        <v>5.0</v>
      </c>
      <c r="F1246" s="1" t="s">
        <v>1431</v>
      </c>
      <c r="G1246" s="218">
        <v>45234.72916666667</v>
      </c>
      <c r="H1246" s="1" t="s">
        <v>35</v>
      </c>
      <c r="I1246" s="1"/>
      <c r="J1246" s="219">
        <v>23.5</v>
      </c>
      <c r="K1246" s="219">
        <v>23.5</v>
      </c>
      <c r="L1246" s="219">
        <v>1400.0</v>
      </c>
      <c r="M1246" s="219" t="s">
        <v>203</v>
      </c>
      <c r="N1246" s="1">
        <v>258.0</v>
      </c>
      <c r="O1246" s="1">
        <v>268.0</v>
      </c>
      <c r="P1246" s="1">
        <v>1.0</v>
      </c>
      <c r="Q1246" s="1" t="b">
        <v>0</v>
      </c>
      <c r="R1246" s="1">
        <v>100.0</v>
      </c>
      <c r="S1246" s="1" t="s">
        <v>354</v>
      </c>
      <c r="T1246" s="1" t="s">
        <v>422</v>
      </c>
      <c r="U1246" s="1"/>
    </row>
    <row r="1247">
      <c r="A1247" s="218">
        <v>45229.9276258912</v>
      </c>
      <c r="B1247" s="1" t="s">
        <v>69</v>
      </c>
      <c r="C1247" s="1" t="s">
        <v>250</v>
      </c>
      <c r="D1247" s="1">
        <v>3.0</v>
      </c>
      <c r="E1247" s="1">
        <v>6.0</v>
      </c>
      <c r="F1247" s="1" t="s">
        <v>1445</v>
      </c>
      <c r="G1247" s="218">
        <v>45234.75</v>
      </c>
      <c r="H1247" s="1" t="s">
        <v>58</v>
      </c>
      <c r="I1247" s="1" t="s">
        <v>99</v>
      </c>
      <c r="J1247" s="219">
        <v>16.5</v>
      </c>
      <c r="K1247" s="219">
        <v>16.5</v>
      </c>
      <c r="L1247" s="219">
        <v>570.0</v>
      </c>
      <c r="M1247" s="219" t="s">
        <v>104</v>
      </c>
      <c r="N1247" s="1">
        <v>237.0</v>
      </c>
      <c r="O1247" s="1">
        <v>247.0</v>
      </c>
      <c r="P1247" s="1">
        <v>1.0</v>
      </c>
      <c r="Q1247" s="1" t="b">
        <v>0</v>
      </c>
      <c r="R1247" s="1">
        <v>100.0</v>
      </c>
      <c r="S1247" s="1" t="s">
        <v>351</v>
      </c>
      <c r="T1247" s="1" t="s">
        <v>423</v>
      </c>
      <c r="U1247" s="1"/>
    </row>
    <row r="1248">
      <c r="A1248" s="218">
        <v>45229.9276258912</v>
      </c>
      <c r="B1248" s="1" t="s">
        <v>69</v>
      </c>
      <c r="C1248" s="1" t="s">
        <v>219</v>
      </c>
      <c r="D1248" s="1">
        <v>6.0</v>
      </c>
      <c r="E1248" s="1">
        <v>2.0</v>
      </c>
      <c r="F1248" s="1" t="s">
        <v>1465</v>
      </c>
      <c r="G1248" s="218">
        <v>45234.82291666667</v>
      </c>
      <c r="H1248" s="1" t="s">
        <v>60</v>
      </c>
      <c r="I1248" s="1" t="s">
        <v>86</v>
      </c>
      <c r="J1248" s="219">
        <v>8.5</v>
      </c>
      <c r="K1248" s="219">
        <v>3.5</v>
      </c>
      <c r="L1248" s="219">
        <v>150.0</v>
      </c>
      <c r="M1248" s="219" t="s">
        <v>954</v>
      </c>
      <c r="N1248" s="1">
        <v>379.0</v>
      </c>
      <c r="O1248" s="1">
        <v>212.0</v>
      </c>
      <c r="P1248" s="1">
        <v>1.0</v>
      </c>
      <c r="Q1248" s="1" t="b">
        <v>1</v>
      </c>
      <c r="R1248" s="1">
        <v>100.0</v>
      </c>
      <c r="S1248" s="1" t="s">
        <v>292</v>
      </c>
      <c r="T1248" s="1" t="s">
        <v>422</v>
      </c>
      <c r="U1248" s="1"/>
    </row>
    <row r="1249">
      <c r="A1249" s="218">
        <v>45229.9276258912</v>
      </c>
      <c r="B1249" s="1" t="s">
        <v>69</v>
      </c>
      <c r="C1249" s="1" t="s">
        <v>255</v>
      </c>
      <c r="D1249" s="1">
        <v>5.0</v>
      </c>
      <c r="E1249" s="1">
        <v>3.0</v>
      </c>
      <c r="F1249" s="1" t="s">
        <v>1482</v>
      </c>
      <c r="G1249" s="218">
        <v>45234.5</v>
      </c>
      <c r="H1249" s="1" t="s">
        <v>70</v>
      </c>
      <c r="I1249" s="1" t="s">
        <v>888</v>
      </c>
      <c r="J1249" s="219">
        <v>-8.5</v>
      </c>
      <c r="K1249" s="219">
        <v>-8.5</v>
      </c>
      <c r="L1249" s="219">
        <v>-410.0</v>
      </c>
      <c r="M1249" s="219" t="s">
        <v>122</v>
      </c>
      <c r="N1249" s="1">
        <v>198.0</v>
      </c>
      <c r="O1249" s="1">
        <v>152.0</v>
      </c>
      <c r="P1249" s="1">
        <v>1.0</v>
      </c>
      <c r="Q1249" s="1" t="b">
        <v>0</v>
      </c>
      <c r="R1249" s="1">
        <v>100.0</v>
      </c>
      <c r="S1249" s="1" t="s">
        <v>282</v>
      </c>
      <c r="T1249" s="1" t="s">
        <v>422</v>
      </c>
      <c r="U1249" s="1"/>
    </row>
    <row r="1250">
      <c r="A1250" s="218">
        <v>45229.9276258912</v>
      </c>
      <c r="B1250" s="1"/>
      <c r="C1250" s="1"/>
      <c r="D1250" s="1"/>
      <c r="E1250" s="1"/>
      <c r="F1250" s="1"/>
      <c r="G1250" s="218"/>
      <c r="H1250" s="1"/>
      <c r="I1250" s="1"/>
      <c r="J1250" s="219"/>
      <c r="K1250" s="219"/>
      <c r="L1250" s="219"/>
      <c r="M1250" s="219"/>
      <c r="N1250" s="1"/>
      <c r="O1250" s="1"/>
      <c r="P1250" s="1"/>
      <c r="Q1250" s="1"/>
      <c r="R1250" s="1"/>
      <c r="S1250" s="1" t="e">
        <v>#N/A</v>
      </c>
      <c r="T1250" s="1" t="e">
        <v>#N/A</v>
      </c>
      <c r="U1250" s="1"/>
    </row>
    <row r="1251">
      <c r="A1251" s="218">
        <v>45229.9276258912</v>
      </c>
      <c r="B1251" s="1" t="s">
        <v>125</v>
      </c>
      <c r="C1251" s="1" t="s">
        <v>265</v>
      </c>
      <c r="D1251" s="1">
        <v>4.0</v>
      </c>
      <c r="E1251" s="1">
        <v>4.0</v>
      </c>
      <c r="F1251" s="1" t="s">
        <v>1439</v>
      </c>
      <c r="G1251" s="218">
        <v>45230.79166666667</v>
      </c>
      <c r="H1251" s="1" t="s">
        <v>58</v>
      </c>
      <c r="I1251" s="1" t="s">
        <v>40</v>
      </c>
      <c r="J1251" s="219">
        <v>1.5</v>
      </c>
      <c r="K1251" s="219">
        <v>3.5</v>
      </c>
      <c r="L1251" s="219">
        <v>-176.0</v>
      </c>
      <c r="M1251" s="219" t="s">
        <v>867</v>
      </c>
      <c r="N1251" s="1">
        <v>176.0</v>
      </c>
      <c r="O1251" s="1">
        <v>238.0</v>
      </c>
      <c r="P1251" s="1">
        <v>1.0</v>
      </c>
      <c r="Q1251" s="1" t="b">
        <v>1</v>
      </c>
      <c r="R1251" s="1">
        <v>100.0</v>
      </c>
      <c r="S1251" s="1" t="s">
        <v>352</v>
      </c>
      <c r="T1251" s="1" t="s">
        <v>423</v>
      </c>
      <c r="U1251" s="1"/>
    </row>
    <row r="1252">
      <c r="A1252" s="218">
        <v>45229.9276258912</v>
      </c>
      <c r="B1252" s="1" t="s">
        <v>125</v>
      </c>
      <c r="C1252" s="1" t="s">
        <v>262</v>
      </c>
      <c r="D1252" s="1">
        <v>8.0</v>
      </c>
      <c r="E1252" s="1">
        <v>0.0</v>
      </c>
      <c r="F1252" s="1" t="s">
        <v>1491</v>
      </c>
      <c r="G1252" s="218">
        <v>45234.64583333333</v>
      </c>
      <c r="H1252" s="1" t="s">
        <v>59</v>
      </c>
      <c r="I1252" s="1" t="s">
        <v>36</v>
      </c>
      <c r="J1252" s="219">
        <v>-5.5</v>
      </c>
      <c r="K1252" s="219">
        <v>-5.5</v>
      </c>
      <c r="L1252" s="219">
        <v>-235.0</v>
      </c>
      <c r="M1252" s="219" t="s">
        <v>68</v>
      </c>
      <c r="N1252" s="1">
        <v>257.0</v>
      </c>
      <c r="O1252" s="1">
        <v>162.0</v>
      </c>
      <c r="P1252" s="1">
        <v>1.0</v>
      </c>
      <c r="Q1252" s="1" t="b">
        <v>0</v>
      </c>
      <c r="R1252" s="1">
        <v>100.0</v>
      </c>
      <c r="S1252" s="1" t="s">
        <v>355</v>
      </c>
      <c r="T1252" s="1" t="s">
        <v>423</v>
      </c>
      <c r="U1252" s="1"/>
    </row>
    <row r="1253">
      <c r="A1253" s="218">
        <v>45229.9276258912</v>
      </c>
      <c r="B1253" s="1" t="s">
        <v>125</v>
      </c>
      <c r="C1253" s="1" t="s">
        <v>224</v>
      </c>
      <c r="D1253" s="1">
        <v>8.0</v>
      </c>
      <c r="E1253" s="1">
        <v>0.0</v>
      </c>
      <c r="F1253" s="1" t="s">
        <v>1496</v>
      </c>
      <c r="G1253" s="218">
        <v>45234.64583333333</v>
      </c>
      <c r="H1253" s="1" t="s">
        <v>69</v>
      </c>
      <c r="I1253" s="1" t="s">
        <v>76</v>
      </c>
      <c r="J1253" s="219">
        <v>-21.5</v>
      </c>
      <c r="K1253" s="219">
        <v>-21.5</v>
      </c>
      <c r="L1253" s="219">
        <v>-2500.0</v>
      </c>
      <c r="M1253" s="219" t="s">
        <v>937</v>
      </c>
      <c r="N1253" s="1">
        <v>332.0</v>
      </c>
      <c r="O1253" s="1">
        <v>146.0</v>
      </c>
      <c r="P1253" s="1">
        <v>1.0</v>
      </c>
      <c r="Q1253" s="1" t="b">
        <v>1</v>
      </c>
      <c r="R1253" s="1">
        <v>100.0</v>
      </c>
      <c r="S1253" s="1" t="s">
        <v>301</v>
      </c>
      <c r="T1253" s="1" t="s">
        <v>422</v>
      </c>
      <c r="U1253" s="1"/>
    </row>
    <row r="1254">
      <c r="A1254" s="218">
        <v>45229.9276258912</v>
      </c>
      <c r="B1254" s="1" t="s">
        <v>125</v>
      </c>
      <c r="C1254" s="1" t="s">
        <v>261</v>
      </c>
      <c r="D1254" s="1">
        <v>4.0</v>
      </c>
      <c r="E1254" s="1">
        <v>4.0</v>
      </c>
      <c r="F1254" s="1" t="s">
        <v>1497</v>
      </c>
      <c r="G1254" s="218">
        <v>45234.64583333333</v>
      </c>
      <c r="H1254" s="1" t="s">
        <v>61</v>
      </c>
      <c r="I1254" s="1" t="s">
        <v>958</v>
      </c>
      <c r="J1254" s="219">
        <v>5.5</v>
      </c>
      <c r="K1254" s="219">
        <v>5.5</v>
      </c>
      <c r="L1254" s="219">
        <v>-205.0</v>
      </c>
      <c r="M1254" s="219" t="s">
        <v>1498</v>
      </c>
      <c r="N1254" s="1">
        <v>174.0</v>
      </c>
      <c r="O1254" s="1">
        <v>208.0</v>
      </c>
      <c r="P1254" s="1">
        <v>1.0</v>
      </c>
      <c r="Q1254" s="1" t="b">
        <v>0</v>
      </c>
      <c r="R1254" s="1">
        <v>100.0</v>
      </c>
      <c r="S1254" s="1" t="s">
        <v>282</v>
      </c>
      <c r="T1254" s="1" t="s">
        <v>422</v>
      </c>
      <c r="U1254" s="1"/>
    </row>
    <row r="1255">
      <c r="A1255" s="218">
        <v>45229.9276258912</v>
      </c>
      <c r="B1255" s="1" t="s">
        <v>125</v>
      </c>
      <c r="C1255" s="1" t="s">
        <v>258</v>
      </c>
      <c r="D1255" s="1">
        <v>2.0</v>
      </c>
      <c r="E1255" s="1">
        <v>6.0</v>
      </c>
      <c r="F1255" s="1" t="s">
        <v>1463</v>
      </c>
      <c r="G1255" s="218">
        <v>45234.66666666667</v>
      </c>
      <c r="H1255" s="1" t="s">
        <v>60</v>
      </c>
      <c r="I1255" s="1" t="s">
        <v>1077</v>
      </c>
      <c r="J1255" s="219">
        <v>-3.5</v>
      </c>
      <c r="K1255" s="219">
        <v>-3.5</v>
      </c>
      <c r="L1255" s="219">
        <v>168.0</v>
      </c>
      <c r="M1255" s="219" t="s">
        <v>937</v>
      </c>
      <c r="N1255" s="1">
        <v>144.0</v>
      </c>
      <c r="O1255" s="1">
        <v>261.0</v>
      </c>
      <c r="P1255" s="1">
        <v>1.0</v>
      </c>
      <c r="Q1255" s="1" t="b">
        <v>0</v>
      </c>
      <c r="R1255" s="1">
        <v>100.0</v>
      </c>
      <c r="S1255" s="1" t="s">
        <v>353</v>
      </c>
      <c r="T1255" s="1" t="s">
        <v>423</v>
      </c>
      <c r="U1255" s="1"/>
    </row>
    <row r="1256">
      <c r="A1256" s="218">
        <v>45229.9276258912</v>
      </c>
      <c r="B1256" s="1" t="s">
        <v>125</v>
      </c>
      <c r="C1256" s="1" t="s">
        <v>263</v>
      </c>
      <c r="D1256" s="1">
        <v>4.0</v>
      </c>
      <c r="E1256" s="1">
        <v>4.0</v>
      </c>
      <c r="F1256" s="1" t="s">
        <v>1464</v>
      </c>
      <c r="G1256" s="218">
        <v>45234.8125</v>
      </c>
      <c r="H1256" s="1" t="s">
        <v>60</v>
      </c>
      <c r="I1256" s="1" t="s">
        <v>40</v>
      </c>
      <c r="J1256" s="219">
        <v>10.5</v>
      </c>
      <c r="K1256" s="219">
        <v>10.5</v>
      </c>
      <c r="L1256" s="219">
        <v>-430.0</v>
      </c>
      <c r="M1256" s="219" t="s">
        <v>203</v>
      </c>
      <c r="N1256" s="1">
        <v>266.0</v>
      </c>
      <c r="O1256" s="1">
        <v>222.0</v>
      </c>
      <c r="P1256" s="1">
        <v>1.0</v>
      </c>
      <c r="Q1256" s="1" t="b">
        <v>0</v>
      </c>
      <c r="R1256" s="1">
        <v>100.0</v>
      </c>
      <c r="S1256" s="1" t="s">
        <v>407</v>
      </c>
      <c r="T1256" s="1" t="s">
        <v>423</v>
      </c>
      <c r="U1256" s="1"/>
    </row>
    <row r="1257">
      <c r="A1257" s="218">
        <v>45229.9276258912</v>
      </c>
      <c r="B1257" s="1" t="s">
        <v>125</v>
      </c>
      <c r="C1257" s="1" t="s">
        <v>259</v>
      </c>
      <c r="D1257" s="1">
        <v>4.0</v>
      </c>
      <c r="E1257" s="1">
        <v>4.0</v>
      </c>
      <c r="F1257" s="1" t="s">
        <v>1480</v>
      </c>
      <c r="G1257" s="218">
        <v>45234.875</v>
      </c>
      <c r="H1257" s="1" t="s">
        <v>70</v>
      </c>
      <c r="I1257" s="1" t="s">
        <v>287</v>
      </c>
      <c r="J1257" s="219">
        <v>-13.5</v>
      </c>
      <c r="K1257" s="219">
        <v>-13.5</v>
      </c>
      <c r="L1257" s="219">
        <v>440.0</v>
      </c>
      <c r="M1257" s="219" t="s">
        <v>969</v>
      </c>
      <c r="N1257" s="1">
        <v>257.0</v>
      </c>
      <c r="O1257" s="1">
        <v>247.0</v>
      </c>
      <c r="P1257" s="1">
        <v>1.0</v>
      </c>
      <c r="Q1257" s="1" t="b">
        <v>1</v>
      </c>
      <c r="R1257" s="1">
        <v>100.0</v>
      </c>
      <c r="S1257" s="1" t="s">
        <v>354</v>
      </c>
      <c r="T1257" s="1" t="s">
        <v>422</v>
      </c>
      <c r="U1257" s="1"/>
    </row>
    <row r="1258">
      <c r="A1258" s="218">
        <v>45229.9276258912</v>
      </c>
      <c r="B1258" s="1" t="s">
        <v>125</v>
      </c>
      <c r="C1258" s="1" t="s">
        <v>239</v>
      </c>
      <c r="D1258" s="1">
        <v>7.0</v>
      </c>
      <c r="E1258" s="1">
        <v>1.0</v>
      </c>
      <c r="F1258" s="1" t="s">
        <v>1438</v>
      </c>
      <c r="G1258" s="218">
        <v>45234.5</v>
      </c>
      <c r="H1258" s="1" t="s">
        <v>35</v>
      </c>
      <c r="I1258" s="1" t="s">
        <v>92</v>
      </c>
      <c r="J1258" s="219">
        <v>-6.5</v>
      </c>
      <c r="K1258" s="219">
        <v>-5.5</v>
      </c>
      <c r="L1258" s="219">
        <v>164.0</v>
      </c>
      <c r="M1258" s="219" t="s">
        <v>845</v>
      </c>
      <c r="N1258" s="1">
        <v>276.0</v>
      </c>
      <c r="O1258" s="1">
        <v>128.0</v>
      </c>
      <c r="P1258" s="1">
        <v>1.0</v>
      </c>
      <c r="Q1258" s="1" t="b">
        <v>1</v>
      </c>
      <c r="R1258" s="1">
        <v>100.0</v>
      </c>
      <c r="S1258" s="1" t="s">
        <v>296</v>
      </c>
      <c r="T1258" s="1" t="s">
        <v>422</v>
      </c>
      <c r="U1258" s="1"/>
    </row>
    <row r="1259">
      <c r="A1259" s="218">
        <v>45229.9276258912</v>
      </c>
      <c r="B1259" s="1" t="s">
        <v>125</v>
      </c>
      <c r="C1259" s="1" t="s">
        <v>264</v>
      </c>
      <c r="D1259" s="1">
        <v>5.0</v>
      </c>
      <c r="E1259" s="1">
        <v>3.0</v>
      </c>
      <c r="F1259" s="1" t="s">
        <v>1489</v>
      </c>
      <c r="G1259" s="218">
        <v>45234.5</v>
      </c>
      <c r="H1259" s="1" t="s">
        <v>67</v>
      </c>
      <c r="I1259" s="1" t="s">
        <v>76</v>
      </c>
      <c r="J1259" s="219">
        <v>4.5</v>
      </c>
      <c r="K1259" s="219">
        <v>4.5</v>
      </c>
      <c r="L1259" s="219">
        <v>162.0</v>
      </c>
      <c r="M1259" s="219" t="s">
        <v>68</v>
      </c>
      <c r="N1259" s="1">
        <v>256.0</v>
      </c>
      <c r="O1259" s="1">
        <v>156.0</v>
      </c>
      <c r="P1259" s="1">
        <v>1.0</v>
      </c>
      <c r="Q1259" s="1" t="b">
        <v>0</v>
      </c>
      <c r="R1259" s="1">
        <v>100.0</v>
      </c>
      <c r="S1259" s="1" t="s">
        <v>292</v>
      </c>
      <c r="T1259" s="1" t="s">
        <v>422</v>
      </c>
      <c r="U1259" s="1"/>
    </row>
    <row r="1260">
      <c r="A1260" s="218">
        <v>45229.9276258912</v>
      </c>
      <c r="B1260" s="1" t="s">
        <v>125</v>
      </c>
      <c r="C1260" s="1" t="s">
        <v>260</v>
      </c>
      <c r="D1260" s="1">
        <v>7.0</v>
      </c>
      <c r="E1260" s="1">
        <v>2.0</v>
      </c>
      <c r="F1260" s="1" t="s">
        <v>1474</v>
      </c>
      <c r="G1260" s="218">
        <v>45234.5</v>
      </c>
      <c r="H1260" s="1" t="s">
        <v>46</v>
      </c>
      <c r="I1260" s="1" t="s">
        <v>40</v>
      </c>
      <c r="J1260" s="219">
        <v>14.5</v>
      </c>
      <c r="K1260" s="219">
        <v>14.5</v>
      </c>
      <c r="L1260" s="219">
        <v>500.0</v>
      </c>
      <c r="M1260" s="219" t="s">
        <v>68</v>
      </c>
      <c r="N1260" s="1">
        <v>257.0</v>
      </c>
      <c r="O1260" s="1">
        <v>169.0</v>
      </c>
      <c r="P1260" s="1">
        <v>1.0</v>
      </c>
      <c r="Q1260" s="1" t="b">
        <v>1</v>
      </c>
      <c r="R1260" s="1">
        <v>100.0</v>
      </c>
      <c r="S1260" s="1" t="s">
        <v>351</v>
      </c>
      <c r="T1260" s="1" t="s">
        <v>423</v>
      </c>
      <c r="U1260" s="1"/>
    </row>
    <row r="1261">
      <c r="A1261" s="218">
        <v>45229.9276258912</v>
      </c>
      <c r="B1261" s="1"/>
      <c r="C1261" s="1"/>
      <c r="D1261" s="1"/>
      <c r="E1261" s="1"/>
      <c r="F1261" s="1"/>
      <c r="G1261" s="218"/>
      <c r="H1261" s="1"/>
      <c r="I1261" s="1"/>
      <c r="J1261" s="219"/>
      <c r="K1261" s="219"/>
      <c r="L1261" s="219"/>
      <c r="M1261" s="219"/>
      <c r="N1261" s="1"/>
      <c r="O1261" s="1"/>
      <c r="P1261" s="1"/>
      <c r="Q1261" s="1"/>
      <c r="R1261" s="1"/>
      <c r="S1261" s="1" t="e">
        <v>#N/A</v>
      </c>
      <c r="T1261" s="1" t="e">
        <v>#N/A</v>
      </c>
      <c r="U1261" s="1"/>
    </row>
    <row r="1262">
      <c r="A1262" s="218">
        <v>45229.9276258912</v>
      </c>
      <c r="B1262" s="1" t="s">
        <v>61</v>
      </c>
      <c r="C1262" s="1" t="s">
        <v>271</v>
      </c>
      <c r="D1262" s="1">
        <v>2.0</v>
      </c>
      <c r="E1262" s="1">
        <v>6.0</v>
      </c>
      <c r="F1262" s="1" t="s">
        <v>1451</v>
      </c>
      <c r="G1262" s="218">
        <v>45234.625</v>
      </c>
      <c r="H1262" s="1" t="s">
        <v>56</v>
      </c>
      <c r="I1262" s="1" t="s">
        <v>935</v>
      </c>
      <c r="J1262" s="219">
        <v>2.5</v>
      </c>
      <c r="K1262" s="219">
        <v>2.5</v>
      </c>
      <c r="L1262" s="219">
        <v>-137.0</v>
      </c>
      <c r="M1262" s="219" t="s">
        <v>954</v>
      </c>
      <c r="N1262" s="1">
        <v>232.0</v>
      </c>
      <c r="O1262" s="1">
        <v>301.0</v>
      </c>
      <c r="P1262" s="1">
        <v>1.0</v>
      </c>
      <c r="Q1262" s="1" t="b">
        <v>0</v>
      </c>
      <c r="R1262" s="1">
        <v>100.0</v>
      </c>
      <c r="S1262" s="1" t="s">
        <v>407</v>
      </c>
      <c r="T1262" s="1" t="s">
        <v>423</v>
      </c>
      <c r="U1262" s="1"/>
    </row>
    <row r="1263">
      <c r="A1263" s="218">
        <v>45229.9276258912</v>
      </c>
      <c r="B1263" s="1" t="s">
        <v>61</v>
      </c>
      <c r="C1263" s="1" t="s">
        <v>266</v>
      </c>
      <c r="D1263" s="1">
        <v>6.0</v>
      </c>
      <c r="E1263" s="1">
        <v>2.0</v>
      </c>
      <c r="F1263" s="1" t="s">
        <v>1497</v>
      </c>
      <c r="G1263" s="218">
        <v>45234.64583333333</v>
      </c>
      <c r="H1263" s="1" t="s">
        <v>125</v>
      </c>
      <c r="I1263" s="1" t="s">
        <v>958</v>
      </c>
      <c r="J1263" s="219">
        <v>-5.5</v>
      </c>
      <c r="K1263" s="219">
        <v>-5.5</v>
      </c>
      <c r="L1263" s="219">
        <v>-205.0</v>
      </c>
      <c r="M1263" s="219" t="s">
        <v>1498</v>
      </c>
      <c r="N1263" s="1">
        <v>156.0</v>
      </c>
      <c r="O1263" s="1">
        <v>116.0</v>
      </c>
      <c r="P1263" s="1">
        <v>1.0</v>
      </c>
      <c r="Q1263" s="1" t="b">
        <v>1</v>
      </c>
      <c r="R1263" s="1">
        <v>100.0</v>
      </c>
      <c r="S1263" s="1" t="s">
        <v>282</v>
      </c>
      <c r="T1263" s="1" t="s">
        <v>422</v>
      </c>
      <c r="U1263" s="1"/>
    </row>
    <row r="1264">
      <c r="A1264" s="218">
        <v>45229.9276258912</v>
      </c>
      <c r="B1264" s="1" t="s">
        <v>61</v>
      </c>
      <c r="C1264" s="1" t="s">
        <v>270</v>
      </c>
      <c r="D1264" s="1">
        <v>4.0</v>
      </c>
      <c r="E1264" s="1">
        <v>4.0</v>
      </c>
      <c r="F1264" s="1" t="s">
        <v>1483</v>
      </c>
      <c r="G1264" s="218">
        <v>45234.64583333333</v>
      </c>
      <c r="H1264" s="1" t="s">
        <v>57</v>
      </c>
      <c r="I1264" s="1" t="s">
        <v>935</v>
      </c>
      <c r="J1264" s="219">
        <v>1.5</v>
      </c>
      <c r="K1264" s="219">
        <v>1.5</v>
      </c>
      <c r="L1264" s="219">
        <v>-122.0</v>
      </c>
      <c r="M1264" s="219" t="s">
        <v>845</v>
      </c>
      <c r="N1264" s="1">
        <v>196.0</v>
      </c>
      <c r="O1264" s="1">
        <v>208.0</v>
      </c>
      <c r="P1264" s="1">
        <v>1.0</v>
      </c>
      <c r="Q1264" s="1" t="b">
        <v>1</v>
      </c>
      <c r="R1264" s="1">
        <v>100.0</v>
      </c>
      <c r="S1264" s="1" t="s">
        <v>355</v>
      </c>
      <c r="T1264" s="1" t="s">
        <v>423</v>
      </c>
      <c r="U1264" s="1"/>
    </row>
    <row r="1265">
      <c r="A1265" s="218">
        <v>45229.9276258912</v>
      </c>
      <c r="B1265" s="1" t="s">
        <v>61</v>
      </c>
      <c r="C1265" s="1" t="s">
        <v>267</v>
      </c>
      <c r="D1265" s="1">
        <v>6.0</v>
      </c>
      <c r="E1265" s="1">
        <v>2.0</v>
      </c>
      <c r="F1265" s="1" t="s">
        <v>1461</v>
      </c>
      <c r="G1265" s="218">
        <v>45234.64583333333</v>
      </c>
      <c r="H1265" s="1" t="s">
        <v>60</v>
      </c>
      <c r="I1265" s="1" t="s">
        <v>82</v>
      </c>
      <c r="J1265" s="219">
        <v>6.5</v>
      </c>
      <c r="K1265" s="219">
        <v>6.5</v>
      </c>
      <c r="L1265" s="219">
        <v>-255.0</v>
      </c>
      <c r="M1265" s="219" t="s">
        <v>994</v>
      </c>
      <c r="N1265" s="1">
        <v>249.0</v>
      </c>
      <c r="O1265" s="1">
        <v>195.0</v>
      </c>
      <c r="P1265" s="1">
        <v>1.0</v>
      </c>
      <c r="Q1265" s="1" t="b">
        <v>0</v>
      </c>
      <c r="R1265" s="1">
        <v>100.0</v>
      </c>
      <c r="S1265" s="1" t="s">
        <v>296</v>
      </c>
      <c r="T1265" s="1" t="s">
        <v>422</v>
      </c>
      <c r="U1265" s="1"/>
    </row>
    <row r="1266">
      <c r="A1266" s="218">
        <v>45229.9276258912</v>
      </c>
      <c r="B1266" s="1" t="s">
        <v>61</v>
      </c>
      <c r="C1266" s="1" t="s">
        <v>228</v>
      </c>
      <c r="D1266" s="1">
        <v>2.0</v>
      </c>
      <c r="E1266" s="1">
        <v>6.0</v>
      </c>
      <c r="F1266" s="1" t="s">
        <v>1486</v>
      </c>
      <c r="G1266" s="218">
        <v>45234.75</v>
      </c>
      <c r="H1266" s="1" t="s">
        <v>57</v>
      </c>
      <c r="I1266" s="1" t="s">
        <v>935</v>
      </c>
      <c r="J1266" s="219">
        <v>3.5</v>
      </c>
      <c r="K1266" s="219">
        <v>3.5</v>
      </c>
      <c r="L1266" s="219">
        <v>134.0</v>
      </c>
      <c r="M1266" s="219" t="s">
        <v>104</v>
      </c>
      <c r="N1266" s="1">
        <v>190.0</v>
      </c>
      <c r="O1266" s="1">
        <v>265.0</v>
      </c>
      <c r="P1266" s="1">
        <v>1.0</v>
      </c>
      <c r="Q1266" s="1" t="b">
        <v>0</v>
      </c>
      <c r="R1266" s="1">
        <v>100.0</v>
      </c>
      <c r="S1266" s="1" t="s">
        <v>351</v>
      </c>
      <c r="T1266" s="1" t="s">
        <v>423</v>
      </c>
      <c r="U1266" s="1"/>
    </row>
    <row r="1267">
      <c r="A1267" s="218">
        <v>45229.9276258912</v>
      </c>
      <c r="B1267" s="1" t="s">
        <v>61</v>
      </c>
      <c r="C1267" s="1" t="s">
        <v>273</v>
      </c>
      <c r="D1267" s="1">
        <v>3.0</v>
      </c>
      <c r="E1267" s="1">
        <v>5.0</v>
      </c>
      <c r="F1267" s="1" t="s">
        <v>1478</v>
      </c>
      <c r="G1267" s="218">
        <v>45234.79166666667</v>
      </c>
      <c r="H1267" s="1" t="s">
        <v>70</v>
      </c>
      <c r="I1267" s="1" t="s">
        <v>1142</v>
      </c>
      <c r="J1267" s="219">
        <v>-2.5</v>
      </c>
      <c r="K1267" s="219">
        <v>-2.5</v>
      </c>
      <c r="L1267" s="219">
        <v>-134.0</v>
      </c>
      <c r="M1267" s="219" t="s">
        <v>104</v>
      </c>
      <c r="N1267" s="1">
        <v>282.0</v>
      </c>
      <c r="O1267" s="1">
        <v>272.0</v>
      </c>
      <c r="P1267" s="1">
        <v>1.0</v>
      </c>
      <c r="Q1267" s="1" t="b">
        <v>0</v>
      </c>
      <c r="R1267" s="1">
        <v>100.0</v>
      </c>
      <c r="S1267" s="1" t="s">
        <v>353</v>
      </c>
      <c r="T1267" s="1" t="s">
        <v>423</v>
      </c>
      <c r="U1267" s="1"/>
    </row>
    <row r="1268">
      <c r="A1268" s="218">
        <v>45229.9276258912</v>
      </c>
      <c r="B1268" s="1" t="s">
        <v>61</v>
      </c>
      <c r="C1268" s="1" t="s">
        <v>268</v>
      </c>
      <c r="D1268" s="1">
        <v>5.0</v>
      </c>
      <c r="E1268" s="1">
        <v>3.0</v>
      </c>
      <c r="F1268" s="1" t="s">
        <v>1435</v>
      </c>
      <c r="G1268" s="218">
        <v>45234.83333333333</v>
      </c>
      <c r="H1268" s="1" t="s">
        <v>35</v>
      </c>
      <c r="I1268" s="1" t="s">
        <v>900</v>
      </c>
      <c r="J1268" s="219">
        <v>4.5</v>
      </c>
      <c r="K1268" s="219">
        <v>4.5</v>
      </c>
      <c r="L1268" s="219">
        <v>-194.0</v>
      </c>
      <c r="M1268" s="219" t="s">
        <v>867</v>
      </c>
      <c r="N1268" s="1">
        <v>202.0</v>
      </c>
      <c r="O1268" s="1">
        <v>182.0</v>
      </c>
      <c r="P1268" s="1">
        <v>1.0</v>
      </c>
      <c r="Q1268" s="1" t="b">
        <v>0</v>
      </c>
      <c r="R1268" s="1">
        <v>100.0</v>
      </c>
      <c r="S1268" s="1" t="s">
        <v>301</v>
      </c>
      <c r="T1268" s="1" t="s">
        <v>422</v>
      </c>
      <c r="U1268" s="1"/>
    </row>
    <row r="1269">
      <c r="A1269" s="218">
        <v>45229.9276258912</v>
      </c>
      <c r="B1269" s="1" t="s">
        <v>61</v>
      </c>
      <c r="C1269" s="1" t="s">
        <v>269</v>
      </c>
      <c r="D1269" s="1">
        <v>4.0</v>
      </c>
      <c r="E1269" s="1">
        <v>4.0</v>
      </c>
      <c r="F1269" s="1" t="s">
        <v>1495</v>
      </c>
      <c r="G1269" s="218">
        <v>45234.91666666667</v>
      </c>
      <c r="H1269" s="1" t="s">
        <v>62</v>
      </c>
      <c r="I1269" s="1" t="s">
        <v>76</v>
      </c>
      <c r="J1269" s="219">
        <v>13.5</v>
      </c>
      <c r="K1269" s="219">
        <v>13.5</v>
      </c>
      <c r="L1269" s="219">
        <v>-600.0</v>
      </c>
      <c r="M1269" s="219" t="s">
        <v>994</v>
      </c>
      <c r="N1269" s="1">
        <v>257.0</v>
      </c>
      <c r="O1269" s="1">
        <v>279.0</v>
      </c>
      <c r="P1269" s="1">
        <v>1.0</v>
      </c>
      <c r="Q1269" s="1" t="b">
        <v>0</v>
      </c>
      <c r="R1269" s="1">
        <v>100.0</v>
      </c>
      <c r="S1269" s="1" t="s">
        <v>354</v>
      </c>
      <c r="T1269" s="1" t="s">
        <v>422</v>
      </c>
      <c r="U1269" s="1"/>
    </row>
    <row r="1270">
      <c r="A1270" s="218">
        <v>45229.9276258912</v>
      </c>
      <c r="B1270" s="1" t="s">
        <v>61</v>
      </c>
      <c r="C1270" s="1" t="s">
        <v>233</v>
      </c>
      <c r="D1270" s="1">
        <v>6.0</v>
      </c>
      <c r="E1270" s="1">
        <v>2.0</v>
      </c>
      <c r="F1270" s="1" t="s">
        <v>1493</v>
      </c>
      <c r="G1270" s="218">
        <v>45234.5</v>
      </c>
      <c r="H1270" s="1" t="s">
        <v>59</v>
      </c>
      <c r="I1270" s="1" t="s">
        <v>945</v>
      </c>
      <c r="J1270" s="219">
        <v>-34.5</v>
      </c>
      <c r="K1270" s="219">
        <v>-34.5</v>
      </c>
      <c r="L1270" s="219">
        <v>7000.0</v>
      </c>
      <c r="M1270" s="219" t="s">
        <v>73</v>
      </c>
      <c r="N1270" s="1">
        <v>254.0</v>
      </c>
      <c r="O1270" s="1">
        <v>163.0</v>
      </c>
      <c r="P1270" s="1">
        <v>1.0</v>
      </c>
      <c r="Q1270" s="1" t="b">
        <v>0</v>
      </c>
      <c r="R1270" s="1">
        <v>100.0</v>
      </c>
      <c r="S1270" s="1" t="s">
        <v>292</v>
      </c>
      <c r="T1270" s="1" t="s">
        <v>422</v>
      </c>
      <c r="U1270" s="1"/>
    </row>
    <row r="1271">
      <c r="A1271" s="218">
        <v>45236.92763550926</v>
      </c>
      <c r="B1271" s="1" t="s">
        <v>35</v>
      </c>
      <c r="C1271" s="1" t="s">
        <v>75</v>
      </c>
      <c r="D1271" s="1">
        <v>1.0</v>
      </c>
      <c r="E1271" s="1">
        <v>8.0</v>
      </c>
      <c r="F1271" s="1" t="s">
        <v>1499</v>
      </c>
      <c r="G1271" s="218">
        <v>45238.79166666667</v>
      </c>
      <c r="H1271" s="1" t="s">
        <v>67</v>
      </c>
      <c r="I1271" s="1" t="s">
        <v>99</v>
      </c>
      <c r="J1271" s="219">
        <v>6.5</v>
      </c>
      <c r="K1271" s="219">
        <v>8.5</v>
      </c>
      <c r="L1271" s="219">
        <v>-330.0</v>
      </c>
      <c r="M1271" s="219" t="s">
        <v>1361</v>
      </c>
      <c r="N1271" s="1">
        <v>127.0</v>
      </c>
      <c r="O1271" s="1">
        <v>295.0</v>
      </c>
      <c r="P1271" s="1">
        <v>1.0</v>
      </c>
      <c r="Q1271" s="1" t="b">
        <v>0</v>
      </c>
      <c r="R1271" s="1">
        <v>100.0</v>
      </c>
      <c r="S1271" s="1" t="s">
        <v>352</v>
      </c>
      <c r="T1271" s="1" t="s">
        <v>423</v>
      </c>
      <c r="U1271" s="1"/>
    </row>
    <row r="1272">
      <c r="A1272" s="218">
        <v>45236.92763550926</v>
      </c>
      <c r="B1272" s="1" t="s">
        <v>35</v>
      </c>
      <c r="C1272" s="1" t="s">
        <v>71</v>
      </c>
      <c r="D1272" s="1">
        <v>5.0</v>
      </c>
      <c r="E1272" s="1">
        <v>4.0</v>
      </c>
      <c r="F1272" s="1" t="s">
        <v>1500</v>
      </c>
      <c r="G1272" s="218">
        <v>45241.58333333333</v>
      </c>
      <c r="H1272" s="1" t="s">
        <v>59</v>
      </c>
      <c r="I1272" s="1" t="s">
        <v>935</v>
      </c>
      <c r="J1272" s="219">
        <v>2.5</v>
      </c>
      <c r="K1272" s="219">
        <v>2.5</v>
      </c>
      <c r="L1272" s="219">
        <v>126.0</v>
      </c>
      <c r="M1272" s="219" t="s">
        <v>969</v>
      </c>
      <c r="N1272" s="1">
        <v>306.0</v>
      </c>
      <c r="O1272" s="1">
        <v>256.0</v>
      </c>
      <c r="P1272" s="1">
        <v>1.0</v>
      </c>
      <c r="Q1272" s="1" t="b">
        <v>1</v>
      </c>
      <c r="R1272" s="1">
        <v>100.0</v>
      </c>
      <c r="S1272" s="1" t="s">
        <v>355</v>
      </c>
      <c r="T1272" s="1" t="s">
        <v>423</v>
      </c>
      <c r="U1272" s="1"/>
    </row>
    <row r="1273">
      <c r="A1273" s="218">
        <v>45236.92763550926</v>
      </c>
      <c r="B1273" s="1" t="s">
        <v>35</v>
      </c>
      <c r="C1273" s="1" t="s">
        <v>78</v>
      </c>
      <c r="D1273" s="1">
        <v>1.0</v>
      </c>
      <c r="E1273" s="1">
        <v>8.0</v>
      </c>
      <c r="F1273" s="1" t="s">
        <v>1501</v>
      </c>
      <c r="G1273" s="218">
        <v>45241.625</v>
      </c>
      <c r="H1273" s="1" t="s">
        <v>69</v>
      </c>
      <c r="I1273" s="1" t="s">
        <v>935</v>
      </c>
      <c r="J1273" s="219">
        <v>8.5</v>
      </c>
      <c r="K1273" s="219">
        <v>8.5</v>
      </c>
      <c r="L1273" s="219">
        <v>275.0</v>
      </c>
      <c r="M1273" s="219" t="s">
        <v>854</v>
      </c>
      <c r="N1273" s="1">
        <v>152.0</v>
      </c>
      <c r="O1273" s="1">
        <v>239.0</v>
      </c>
      <c r="P1273" s="1">
        <v>1.0</v>
      </c>
      <c r="Q1273" s="1" t="b">
        <v>0</v>
      </c>
      <c r="R1273" s="1">
        <v>100.0</v>
      </c>
      <c r="S1273" s="1" t="s">
        <v>351</v>
      </c>
      <c r="T1273" s="1" t="s">
        <v>423</v>
      </c>
      <c r="U1273" s="1"/>
    </row>
    <row r="1274">
      <c r="A1274" s="218">
        <v>45236.92763550926</v>
      </c>
      <c r="B1274" s="1" t="s">
        <v>35</v>
      </c>
      <c r="C1274" s="1" t="s">
        <v>74</v>
      </c>
      <c r="D1274" s="1">
        <v>6.0</v>
      </c>
      <c r="E1274" s="1">
        <v>3.0</v>
      </c>
      <c r="F1274" s="1" t="s">
        <v>1502</v>
      </c>
      <c r="G1274" s="218">
        <v>45241.625</v>
      </c>
      <c r="H1274" s="1" t="s">
        <v>59</v>
      </c>
      <c r="I1274" s="1" t="s">
        <v>935</v>
      </c>
      <c r="J1274" s="219">
        <v>-17.0</v>
      </c>
      <c r="K1274" s="219">
        <v>-20.5</v>
      </c>
      <c r="L1274" s="219">
        <v>890.0</v>
      </c>
      <c r="M1274" s="219" t="s">
        <v>840</v>
      </c>
      <c r="N1274" s="1">
        <v>329.0</v>
      </c>
      <c r="O1274" s="1">
        <v>160.0</v>
      </c>
      <c r="P1274" s="1">
        <v>1.0</v>
      </c>
      <c r="Q1274" s="1" t="b">
        <v>0</v>
      </c>
      <c r="R1274" s="1">
        <v>100.0</v>
      </c>
      <c r="S1274" s="1" t="s">
        <v>296</v>
      </c>
      <c r="T1274" s="1" t="s">
        <v>422</v>
      </c>
      <c r="U1274" s="1"/>
    </row>
    <row r="1275">
      <c r="A1275" s="218">
        <v>45236.92763550926</v>
      </c>
      <c r="B1275" s="1" t="s">
        <v>35</v>
      </c>
      <c r="C1275" s="1" t="s">
        <v>79</v>
      </c>
      <c r="D1275" s="1">
        <v>6.0</v>
      </c>
      <c r="E1275" s="1">
        <v>3.0</v>
      </c>
      <c r="F1275" s="1" t="s">
        <v>1503</v>
      </c>
      <c r="G1275" s="218">
        <v>45241.64583333333</v>
      </c>
      <c r="H1275" s="1" t="s">
        <v>125</v>
      </c>
      <c r="I1275" s="1" t="s">
        <v>40</v>
      </c>
      <c r="J1275" s="219">
        <v>13.5</v>
      </c>
      <c r="K1275" s="219">
        <v>14.5</v>
      </c>
      <c r="L1275" s="219">
        <v>530.0</v>
      </c>
      <c r="M1275" s="219" t="s">
        <v>937</v>
      </c>
      <c r="N1275" s="1">
        <v>289.0</v>
      </c>
      <c r="O1275" s="1">
        <v>180.0</v>
      </c>
      <c r="P1275" s="1">
        <v>1.0</v>
      </c>
      <c r="Q1275" s="1" t="b">
        <v>0</v>
      </c>
      <c r="R1275" s="1">
        <v>100.0</v>
      </c>
      <c r="S1275" s="1" t="s">
        <v>301</v>
      </c>
      <c r="T1275" s="1" t="s">
        <v>422</v>
      </c>
      <c r="U1275" s="1"/>
    </row>
    <row r="1276">
      <c r="A1276" s="218">
        <v>45236.92763550926</v>
      </c>
      <c r="B1276" s="1" t="s">
        <v>35</v>
      </c>
      <c r="C1276" s="1" t="s">
        <v>63</v>
      </c>
      <c r="D1276" s="1">
        <v>9.0</v>
      </c>
      <c r="E1276" s="1">
        <v>0.0</v>
      </c>
      <c r="F1276" s="1" t="s">
        <v>1504</v>
      </c>
      <c r="G1276" s="218">
        <v>45241.79166666667</v>
      </c>
      <c r="H1276" s="1" t="s">
        <v>67</v>
      </c>
      <c r="I1276" s="1" t="s">
        <v>76</v>
      </c>
      <c r="J1276" s="219">
        <v>-11.5</v>
      </c>
      <c r="K1276" s="219">
        <v>-11.5</v>
      </c>
      <c r="L1276" s="219">
        <v>390.0</v>
      </c>
      <c r="M1276" s="219" t="s">
        <v>203</v>
      </c>
      <c r="N1276" s="1">
        <v>354.0</v>
      </c>
      <c r="O1276" s="1">
        <v>139.0</v>
      </c>
      <c r="P1276" s="1">
        <v>1.0</v>
      </c>
      <c r="Q1276" s="1" t="b">
        <v>1</v>
      </c>
      <c r="R1276" s="1">
        <v>100.0</v>
      </c>
      <c r="S1276" s="1" t="s">
        <v>292</v>
      </c>
      <c r="T1276" s="1" t="s">
        <v>422</v>
      </c>
      <c r="U1276" s="1"/>
    </row>
    <row r="1277">
      <c r="A1277" s="218">
        <v>45236.92763550926</v>
      </c>
      <c r="B1277" s="1" t="s">
        <v>35</v>
      </c>
      <c r="C1277" s="1" t="s">
        <v>88</v>
      </c>
      <c r="D1277" s="1">
        <v>3.0</v>
      </c>
      <c r="E1277" s="1">
        <v>6.0</v>
      </c>
      <c r="F1277" s="1" t="s">
        <v>1505</v>
      </c>
      <c r="G1277" s="218">
        <v>45241.91666666667</v>
      </c>
      <c r="H1277" s="1" t="s">
        <v>59</v>
      </c>
      <c r="I1277" s="1" t="s">
        <v>96</v>
      </c>
      <c r="J1277" s="219">
        <v>26.5</v>
      </c>
      <c r="K1277" s="219">
        <v>26.5</v>
      </c>
      <c r="L1277" s="219">
        <v>1200.0</v>
      </c>
      <c r="M1277" s="219" t="s">
        <v>969</v>
      </c>
      <c r="N1277" s="1">
        <v>247.0</v>
      </c>
      <c r="O1277" s="1">
        <v>318.0</v>
      </c>
      <c r="P1277" s="1">
        <v>1.0</v>
      </c>
      <c r="Q1277" s="1" t="b">
        <v>1</v>
      </c>
      <c r="R1277" s="1">
        <v>100.0</v>
      </c>
      <c r="S1277" s="1" t="s">
        <v>353</v>
      </c>
      <c r="T1277" s="1" t="s">
        <v>423</v>
      </c>
      <c r="U1277" s="1"/>
    </row>
    <row r="1278">
      <c r="A1278" s="218">
        <v>45236.92763550926</v>
      </c>
      <c r="B1278" s="1" t="s">
        <v>35</v>
      </c>
      <c r="C1278" s="1" t="s">
        <v>38</v>
      </c>
      <c r="D1278" s="1">
        <v>8.0</v>
      </c>
      <c r="E1278" s="1">
        <v>1.0</v>
      </c>
      <c r="F1278" s="1" t="s">
        <v>1506</v>
      </c>
      <c r="G1278" s="218">
        <v>45241.9375</v>
      </c>
      <c r="H1278" s="1" t="s">
        <v>57</v>
      </c>
      <c r="I1278" s="1" t="s">
        <v>92</v>
      </c>
      <c r="J1278" s="219">
        <v>-4.5</v>
      </c>
      <c r="K1278" s="219">
        <v>-14.5</v>
      </c>
      <c r="L1278" s="219">
        <v>570.0</v>
      </c>
      <c r="M1278" s="219" t="s">
        <v>1507</v>
      </c>
      <c r="N1278" s="1">
        <v>427.0</v>
      </c>
      <c r="O1278" s="1">
        <v>144.0</v>
      </c>
      <c r="P1278" s="1">
        <v>1.0</v>
      </c>
      <c r="Q1278" s="1" t="b">
        <v>0</v>
      </c>
      <c r="R1278" s="1">
        <v>100.0</v>
      </c>
      <c r="S1278" s="1" t="s">
        <v>354</v>
      </c>
      <c r="T1278" s="1" t="s">
        <v>422</v>
      </c>
      <c r="U1278" s="1"/>
    </row>
    <row r="1279">
      <c r="A1279" s="218">
        <v>45236.92763550926</v>
      </c>
      <c r="B1279" s="1" t="s">
        <v>35</v>
      </c>
      <c r="C1279" s="1" t="s">
        <v>81</v>
      </c>
      <c r="D1279" s="1">
        <v>3.0</v>
      </c>
      <c r="E1279" s="1">
        <v>6.0</v>
      </c>
      <c r="F1279" s="1" t="s">
        <v>1508</v>
      </c>
      <c r="G1279" s="218">
        <v>45241.5</v>
      </c>
      <c r="H1279" s="1" t="s">
        <v>69</v>
      </c>
      <c r="I1279" s="1" t="s">
        <v>935</v>
      </c>
      <c r="J1279" s="219">
        <v>7.0</v>
      </c>
      <c r="K1279" s="219">
        <v>7.5</v>
      </c>
      <c r="L1279" s="219">
        <v>255.0</v>
      </c>
      <c r="M1279" s="219" t="s">
        <v>1363</v>
      </c>
      <c r="N1279" s="1">
        <v>185.0</v>
      </c>
      <c r="O1279" s="1">
        <v>322.0</v>
      </c>
      <c r="P1279" s="1">
        <v>1.0</v>
      </c>
      <c r="Q1279" s="1" t="b">
        <v>0</v>
      </c>
      <c r="R1279" s="1">
        <v>100.0</v>
      </c>
      <c r="S1279" s="1" t="s">
        <v>407</v>
      </c>
      <c r="T1279" s="1" t="s">
        <v>423</v>
      </c>
      <c r="U1279" s="1"/>
    </row>
    <row r="1280">
      <c r="A1280" s="218">
        <v>45236.92763550926</v>
      </c>
      <c r="B1280" s="1" t="s">
        <v>35</v>
      </c>
      <c r="C1280" s="1" t="s">
        <v>80</v>
      </c>
      <c r="D1280" s="1">
        <v>5.0</v>
      </c>
      <c r="E1280" s="1">
        <v>4.0</v>
      </c>
      <c r="F1280" s="1" t="s">
        <v>1509</v>
      </c>
      <c r="G1280" s="218">
        <v>45241.5</v>
      </c>
      <c r="H1280" s="1" t="s">
        <v>62</v>
      </c>
      <c r="I1280" s="1" t="s">
        <v>958</v>
      </c>
      <c r="J1280" s="219">
        <v>3.0</v>
      </c>
      <c r="K1280" s="219">
        <v>2.5</v>
      </c>
      <c r="L1280" s="219">
        <v>-130.0</v>
      </c>
      <c r="M1280" s="219" t="s">
        <v>867</v>
      </c>
      <c r="N1280" s="1">
        <v>179.0</v>
      </c>
      <c r="O1280" s="1">
        <v>169.0</v>
      </c>
      <c r="P1280" s="1">
        <v>1.0</v>
      </c>
      <c r="Q1280" s="1" t="b">
        <v>0</v>
      </c>
      <c r="R1280" s="1">
        <v>100.0</v>
      </c>
      <c r="S1280" s="1" t="s">
        <v>282</v>
      </c>
      <c r="T1280" s="1" t="s">
        <v>422</v>
      </c>
      <c r="U1280" s="1"/>
    </row>
    <row r="1281">
      <c r="A1281" s="218">
        <v>45236.92763550926</v>
      </c>
      <c r="B1281" s="1"/>
      <c r="C1281" s="1"/>
      <c r="D1281" s="1"/>
      <c r="E1281" s="1"/>
      <c r="F1281" s="1"/>
      <c r="G1281" s="218"/>
      <c r="H1281" s="1"/>
      <c r="I1281" s="1"/>
      <c r="J1281" s="219"/>
      <c r="K1281" s="219"/>
      <c r="L1281" s="219"/>
      <c r="M1281" s="219"/>
      <c r="N1281" s="1"/>
      <c r="O1281" s="1"/>
      <c r="P1281" s="1"/>
      <c r="Q1281" s="1"/>
      <c r="R1281" s="1"/>
      <c r="S1281" s="1" t="e">
        <v>#N/A</v>
      </c>
      <c r="T1281" s="1" t="e">
        <v>#N/A</v>
      </c>
      <c r="U1281" s="1"/>
    </row>
    <row r="1282">
      <c r="A1282" s="218">
        <v>45236.92763550926</v>
      </c>
      <c r="B1282" s="1" t="s">
        <v>58</v>
      </c>
      <c r="C1282" s="1" t="s">
        <v>117</v>
      </c>
      <c r="D1282" s="1">
        <v>4.0</v>
      </c>
      <c r="E1282" s="1">
        <v>5.0</v>
      </c>
      <c r="F1282" s="1" t="s">
        <v>1510</v>
      </c>
      <c r="G1282" s="218">
        <v>45237.79166666667</v>
      </c>
      <c r="H1282" s="1" t="s">
        <v>60</v>
      </c>
      <c r="I1282" s="1" t="s">
        <v>99</v>
      </c>
      <c r="J1282" s="219">
        <v>-8.5</v>
      </c>
      <c r="K1282" s="219">
        <v>-10.5</v>
      </c>
      <c r="L1282" s="219">
        <v>290.0</v>
      </c>
      <c r="M1282" s="219" t="s">
        <v>122</v>
      </c>
      <c r="N1282" s="1">
        <v>225.0</v>
      </c>
      <c r="O1282" s="1">
        <v>207.0</v>
      </c>
      <c r="P1282" s="1">
        <v>1.0</v>
      </c>
      <c r="Q1282" s="1" t="b">
        <v>0</v>
      </c>
      <c r="R1282" s="1">
        <v>100.0</v>
      </c>
      <c r="S1282" s="1" t="s">
        <v>352</v>
      </c>
      <c r="T1282" s="1" t="s">
        <v>423</v>
      </c>
      <c r="U1282" s="1"/>
    </row>
    <row r="1283">
      <c r="A1283" s="218">
        <v>45236.92763550926</v>
      </c>
      <c r="B1283" s="1" t="s">
        <v>58</v>
      </c>
      <c r="C1283" s="1" t="s">
        <v>102</v>
      </c>
      <c r="D1283" s="1">
        <v>9.0</v>
      </c>
      <c r="E1283" s="1">
        <v>0.0</v>
      </c>
      <c r="F1283" s="1" t="s">
        <v>1511</v>
      </c>
      <c r="G1283" s="218">
        <v>45241.54166666667</v>
      </c>
      <c r="H1283" s="1" t="s">
        <v>61</v>
      </c>
      <c r="I1283" s="1" t="s">
        <v>935</v>
      </c>
      <c r="J1283" s="219">
        <v>-13.5</v>
      </c>
      <c r="K1283" s="219">
        <v>-13.5</v>
      </c>
      <c r="L1283" s="219">
        <v>460.0</v>
      </c>
      <c r="M1283" s="219" t="s">
        <v>203</v>
      </c>
      <c r="N1283" s="1">
        <v>352.0</v>
      </c>
      <c r="O1283" s="1">
        <v>197.0</v>
      </c>
      <c r="P1283" s="1">
        <v>1.0</v>
      </c>
      <c r="Q1283" s="1" t="b">
        <v>1</v>
      </c>
      <c r="R1283" s="1">
        <v>100.0</v>
      </c>
      <c r="S1283" s="1" t="s">
        <v>351</v>
      </c>
      <c r="T1283" s="1" t="s">
        <v>423</v>
      </c>
      <c r="U1283" s="1"/>
    </row>
    <row r="1284">
      <c r="A1284" s="218">
        <v>45236.92763550926</v>
      </c>
      <c r="B1284" s="1" t="s">
        <v>58</v>
      </c>
      <c r="C1284" s="1" t="s">
        <v>118</v>
      </c>
      <c r="D1284" s="1">
        <v>7.0</v>
      </c>
      <c r="E1284" s="1">
        <v>2.0</v>
      </c>
      <c r="F1284" s="1" t="s">
        <v>1512</v>
      </c>
      <c r="G1284" s="218">
        <v>45241.58333333333</v>
      </c>
      <c r="H1284" s="1" t="s">
        <v>69</v>
      </c>
      <c r="I1284" s="1" t="s">
        <v>935</v>
      </c>
      <c r="J1284" s="219">
        <v>-11.5</v>
      </c>
      <c r="K1284" s="219">
        <v>-11.5</v>
      </c>
      <c r="L1284" s="219">
        <v>-490.0</v>
      </c>
      <c r="M1284" s="219" t="s">
        <v>114</v>
      </c>
      <c r="N1284" s="1">
        <v>353.0</v>
      </c>
      <c r="O1284" s="1">
        <v>251.0</v>
      </c>
      <c r="P1284" s="1">
        <v>1.0</v>
      </c>
      <c r="Q1284" s="1" t="b">
        <v>1</v>
      </c>
      <c r="R1284" s="1">
        <v>100.0</v>
      </c>
      <c r="S1284" s="1" t="s">
        <v>407</v>
      </c>
      <c r="T1284" s="1" t="s">
        <v>423</v>
      </c>
      <c r="U1284" s="1"/>
    </row>
    <row r="1285">
      <c r="A1285" s="218">
        <v>45236.92763550926</v>
      </c>
      <c r="B1285" s="1" t="s">
        <v>58</v>
      </c>
      <c r="C1285" s="1" t="s">
        <v>116</v>
      </c>
      <c r="D1285" s="1">
        <v>5.0</v>
      </c>
      <c r="E1285" s="1">
        <v>4.0</v>
      </c>
      <c r="F1285" s="1" t="s">
        <v>1513</v>
      </c>
      <c r="G1285" s="218">
        <v>45241.64583333333</v>
      </c>
      <c r="H1285" s="1" t="s">
        <v>67</v>
      </c>
      <c r="I1285" s="1" t="s">
        <v>90</v>
      </c>
      <c r="J1285" s="219">
        <v>-2.5</v>
      </c>
      <c r="K1285" s="219">
        <v>-1.5</v>
      </c>
      <c r="L1285" s="219">
        <v>-118.0</v>
      </c>
      <c r="M1285" s="219" t="s">
        <v>852</v>
      </c>
      <c r="N1285" s="1">
        <v>195.0</v>
      </c>
      <c r="O1285" s="1">
        <v>209.0</v>
      </c>
      <c r="P1285" s="1">
        <v>1.0</v>
      </c>
      <c r="Q1285" s="1" t="b">
        <v>1</v>
      </c>
      <c r="R1285" s="1">
        <v>100.0</v>
      </c>
      <c r="S1285" s="1" t="s">
        <v>282</v>
      </c>
      <c r="T1285" s="1" t="s">
        <v>422</v>
      </c>
      <c r="U1285" s="1"/>
    </row>
    <row r="1286">
      <c r="A1286" s="218">
        <v>45236.92763550926</v>
      </c>
      <c r="B1286" s="1" t="s">
        <v>58</v>
      </c>
      <c r="C1286" s="1" t="s">
        <v>112</v>
      </c>
      <c r="D1286" s="1">
        <v>5.0</v>
      </c>
      <c r="E1286" s="1">
        <v>4.0</v>
      </c>
      <c r="F1286" s="1" t="s">
        <v>1514</v>
      </c>
      <c r="G1286" s="218">
        <v>45241.66666666667</v>
      </c>
      <c r="H1286" s="1" t="s">
        <v>57</v>
      </c>
      <c r="I1286" s="1" t="s">
        <v>945</v>
      </c>
      <c r="J1286" s="219">
        <v>1.5</v>
      </c>
      <c r="K1286" s="219">
        <v>2.5</v>
      </c>
      <c r="L1286" s="219">
        <v>125.0</v>
      </c>
      <c r="M1286" s="219" t="s">
        <v>937</v>
      </c>
      <c r="N1286" s="1">
        <v>245.0</v>
      </c>
      <c r="O1286" s="1">
        <v>195.0</v>
      </c>
      <c r="P1286" s="1">
        <v>1.0</v>
      </c>
      <c r="Q1286" s="1" t="b">
        <v>1</v>
      </c>
      <c r="R1286" s="1">
        <v>100.0</v>
      </c>
      <c r="S1286" s="1" t="s">
        <v>292</v>
      </c>
      <c r="T1286" s="1" t="s">
        <v>422</v>
      </c>
      <c r="U1286" s="1"/>
    </row>
    <row r="1287">
      <c r="A1287" s="218">
        <v>45236.92763550926</v>
      </c>
      <c r="B1287" s="1" t="s">
        <v>58</v>
      </c>
      <c r="C1287" s="1" t="s">
        <v>111</v>
      </c>
      <c r="D1287" s="1">
        <v>4.0</v>
      </c>
      <c r="E1287" s="1">
        <v>5.0</v>
      </c>
      <c r="F1287" s="1" t="s">
        <v>1515</v>
      </c>
      <c r="G1287" s="218">
        <v>45241.79166666667</v>
      </c>
      <c r="H1287" s="1" t="s">
        <v>62</v>
      </c>
      <c r="I1287" s="1" t="s">
        <v>981</v>
      </c>
      <c r="J1287" s="219">
        <v>1.5</v>
      </c>
      <c r="K1287" s="219">
        <v>2.5</v>
      </c>
      <c r="L1287" s="219">
        <v>-137.0</v>
      </c>
      <c r="M1287" s="219" t="s">
        <v>235</v>
      </c>
      <c r="N1287" s="1">
        <v>206.0</v>
      </c>
      <c r="O1287" s="1">
        <v>256.0</v>
      </c>
      <c r="P1287" s="1">
        <v>1.0</v>
      </c>
      <c r="Q1287" s="1" t="b">
        <v>0</v>
      </c>
      <c r="R1287" s="1">
        <v>100.0</v>
      </c>
      <c r="S1287" s="1" t="s">
        <v>355</v>
      </c>
      <c r="T1287" s="1" t="s">
        <v>423</v>
      </c>
      <c r="U1287" s="1"/>
    </row>
    <row r="1288">
      <c r="A1288" s="218">
        <v>45236.92763550926</v>
      </c>
      <c r="B1288" s="1" t="s">
        <v>58</v>
      </c>
      <c r="C1288" s="1" t="s">
        <v>105</v>
      </c>
      <c r="D1288" s="1">
        <v>3.0</v>
      </c>
      <c r="E1288" s="1">
        <v>6.0</v>
      </c>
      <c r="F1288" s="1" t="s">
        <v>1516</v>
      </c>
      <c r="G1288" s="218">
        <v>45241.79166666667</v>
      </c>
      <c r="H1288" s="1" t="s">
        <v>70</v>
      </c>
      <c r="I1288" s="1" t="s">
        <v>99</v>
      </c>
      <c r="J1288" s="219">
        <v>-4.5</v>
      </c>
      <c r="K1288" s="219">
        <v>-4.5</v>
      </c>
      <c r="L1288" s="219">
        <v>172.0</v>
      </c>
      <c r="M1288" s="219" t="s">
        <v>906</v>
      </c>
      <c r="N1288" s="1">
        <v>237.0</v>
      </c>
      <c r="O1288" s="1">
        <v>289.0</v>
      </c>
      <c r="P1288" s="1">
        <v>1.0</v>
      </c>
      <c r="Q1288" s="1" t="b">
        <v>1</v>
      </c>
      <c r="R1288" s="1">
        <v>100.0</v>
      </c>
      <c r="S1288" s="1" t="s">
        <v>353</v>
      </c>
      <c r="T1288" s="1" t="s">
        <v>423</v>
      </c>
      <c r="U1288" s="1"/>
    </row>
    <row r="1289">
      <c r="A1289" s="218">
        <v>45236.92763550926</v>
      </c>
      <c r="B1289" s="1" t="s">
        <v>58</v>
      </c>
      <c r="C1289" s="1" t="s">
        <v>109</v>
      </c>
      <c r="D1289" s="1">
        <v>6.0</v>
      </c>
      <c r="E1289" s="1">
        <v>3.0</v>
      </c>
      <c r="F1289" s="1" t="s">
        <v>1517</v>
      </c>
      <c r="G1289" s="218">
        <v>45241.875</v>
      </c>
      <c r="H1289" s="1" t="s">
        <v>60</v>
      </c>
      <c r="I1289" s="1" t="s">
        <v>287</v>
      </c>
      <c r="J1289" s="219">
        <v>-20.5</v>
      </c>
      <c r="K1289" s="219">
        <v>-17.5</v>
      </c>
      <c r="L1289" s="219">
        <v>680.0</v>
      </c>
      <c r="M1289" s="219" t="s">
        <v>906</v>
      </c>
      <c r="N1289" s="1">
        <v>257.0</v>
      </c>
      <c r="O1289" s="1">
        <v>147.0</v>
      </c>
      <c r="P1289" s="1">
        <v>1.0</v>
      </c>
      <c r="Q1289" s="1" t="b">
        <v>1</v>
      </c>
      <c r="R1289" s="1">
        <v>100.0</v>
      </c>
      <c r="S1289" s="1" t="s">
        <v>354</v>
      </c>
      <c r="T1289" s="1" t="s">
        <v>422</v>
      </c>
      <c r="U1289" s="1"/>
    </row>
    <row r="1290">
      <c r="A1290" s="218">
        <v>45236.92763550926</v>
      </c>
      <c r="B1290" s="1" t="s">
        <v>58</v>
      </c>
      <c r="C1290" s="1" t="s">
        <v>119</v>
      </c>
      <c r="D1290" s="1">
        <v>5.0</v>
      </c>
      <c r="E1290" s="1">
        <v>4.0</v>
      </c>
      <c r="F1290" s="1" t="s">
        <v>1518</v>
      </c>
      <c r="G1290" s="218">
        <v>45241.92708333333</v>
      </c>
      <c r="H1290" s="1" t="s">
        <v>56</v>
      </c>
      <c r="I1290" s="1" t="s">
        <v>76</v>
      </c>
      <c r="J1290" s="219">
        <v>4.5</v>
      </c>
      <c r="K1290" s="219">
        <v>7.0</v>
      </c>
      <c r="L1290" s="219">
        <v>-295.0</v>
      </c>
      <c r="M1290" s="219" t="s">
        <v>843</v>
      </c>
      <c r="N1290" s="1">
        <v>206.0</v>
      </c>
      <c r="O1290" s="1">
        <v>242.0</v>
      </c>
      <c r="P1290" s="1">
        <v>1.0</v>
      </c>
      <c r="Q1290" s="1" t="b">
        <v>1</v>
      </c>
      <c r="R1290" s="1">
        <v>100.0</v>
      </c>
      <c r="S1290" s="1" t="s">
        <v>296</v>
      </c>
      <c r="T1290" s="1" t="s">
        <v>422</v>
      </c>
      <c r="U1290" s="1"/>
    </row>
    <row r="1291">
      <c r="A1291" s="218">
        <v>45236.92763550926</v>
      </c>
      <c r="B1291" s="1" t="s">
        <v>58</v>
      </c>
      <c r="C1291" s="1" t="s">
        <v>113</v>
      </c>
      <c r="D1291" s="1">
        <v>4.0</v>
      </c>
      <c r="E1291" s="1">
        <v>5.0</v>
      </c>
      <c r="F1291" s="1" t="s">
        <v>1519</v>
      </c>
      <c r="G1291" s="218">
        <v>45241.5</v>
      </c>
      <c r="H1291" s="1" t="s">
        <v>62</v>
      </c>
      <c r="I1291" s="1" t="s">
        <v>900</v>
      </c>
      <c r="J1291" s="219">
        <v>1.5</v>
      </c>
      <c r="K1291" s="219">
        <v>2.5</v>
      </c>
      <c r="L1291" s="219">
        <v>114.0</v>
      </c>
      <c r="M1291" s="219" t="s">
        <v>937</v>
      </c>
      <c r="N1291" s="1">
        <v>212.0</v>
      </c>
      <c r="O1291" s="1">
        <v>217.0</v>
      </c>
      <c r="P1291" s="1">
        <v>1.0</v>
      </c>
      <c r="Q1291" s="1" t="b">
        <v>0</v>
      </c>
      <c r="R1291" s="1">
        <v>100.0</v>
      </c>
      <c r="S1291" s="1" t="s">
        <v>301</v>
      </c>
      <c r="T1291" s="1" t="s">
        <v>422</v>
      </c>
      <c r="U1291" s="1"/>
    </row>
    <row r="1292">
      <c r="A1292" s="218">
        <v>45236.92763550926</v>
      </c>
      <c r="B1292" s="1"/>
      <c r="C1292" s="1"/>
      <c r="D1292" s="1"/>
      <c r="E1292" s="1"/>
      <c r="F1292" s="1"/>
      <c r="G1292" s="218"/>
      <c r="H1292" s="1"/>
      <c r="I1292" s="1"/>
      <c r="J1292" s="219"/>
      <c r="K1292" s="219"/>
      <c r="L1292" s="219"/>
      <c r="M1292" s="219"/>
      <c r="N1292" s="1"/>
      <c r="O1292" s="1"/>
      <c r="P1292" s="1"/>
      <c r="Q1292" s="1"/>
      <c r="R1292" s="1"/>
      <c r="S1292" s="1" t="e">
        <v>#N/A</v>
      </c>
      <c r="T1292" s="1" t="e">
        <v>#N/A</v>
      </c>
      <c r="U1292" s="1"/>
    </row>
    <row r="1293">
      <c r="A1293" s="218">
        <v>45236.92763550926</v>
      </c>
      <c r="B1293" s="1" t="s">
        <v>56</v>
      </c>
      <c r="C1293" s="1" t="s">
        <v>120</v>
      </c>
      <c r="D1293" s="1">
        <v>8.0</v>
      </c>
      <c r="E1293" s="1">
        <v>1.0</v>
      </c>
      <c r="F1293" s="1" t="s">
        <v>1520</v>
      </c>
      <c r="G1293" s="218">
        <v>45238.8125</v>
      </c>
      <c r="H1293" s="1" t="s">
        <v>59</v>
      </c>
      <c r="I1293" s="1" t="s">
        <v>36</v>
      </c>
      <c r="J1293" s="219">
        <v>-17.5</v>
      </c>
      <c r="K1293" s="219">
        <v>-18.5</v>
      </c>
      <c r="L1293" s="219">
        <v>740.0</v>
      </c>
      <c r="M1293" s="219" t="s">
        <v>906</v>
      </c>
      <c r="N1293" s="1">
        <v>310.0</v>
      </c>
      <c r="O1293" s="1">
        <v>174.0</v>
      </c>
      <c r="P1293" s="1">
        <v>1.0</v>
      </c>
      <c r="Q1293" s="1" t="b">
        <v>0</v>
      </c>
      <c r="R1293" s="1">
        <v>100.0</v>
      </c>
      <c r="S1293" s="1" t="s">
        <v>352</v>
      </c>
      <c r="T1293" s="1" t="s">
        <v>423</v>
      </c>
      <c r="U1293" s="1"/>
    </row>
    <row r="1294">
      <c r="A1294" s="218">
        <v>45236.92763550926</v>
      </c>
      <c r="B1294" s="1" t="s">
        <v>56</v>
      </c>
      <c r="C1294" s="1" t="s">
        <v>126</v>
      </c>
      <c r="D1294" s="1">
        <v>6.0</v>
      </c>
      <c r="E1294" s="1">
        <v>3.0</v>
      </c>
      <c r="F1294" s="1" t="s">
        <v>1521</v>
      </c>
      <c r="G1294" s="218">
        <v>45241.64583333333</v>
      </c>
      <c r="H1294" s="1" t="s">
        <v>57</v>
      </c>
      <c r="I1294" s="1" t="s">
        <v>935</v>
      </c>
      <c r="J1294" s="219">
        <v>1.5</v>
      </c>
      <c r="K1294" s="219">
        <v>-1.5</v>
      </c>
      <c r="L1294" s="219">
        <v>-122.0</v>
      </c>
      <c r="M1294" s="219" t="s">
        <v>969</v>
      </c>
      <c r="N1294" s="1">
        <v>326.0</v>
      </c>
      <c r="O1294" s="1">
        <v>254.0</v>
      </c>
      <c r="P1294" s="1">
        <v>1.0</v>
      </c>
      <c r="Q1294" s="1" t="b">
        <v>1</v>
      </c>
      <c r="R1294" s="1">
        <v>100.0</v>
      </c>
      <c r="S1294" s="1" t="s">
        <v>355</v>
      </c>
      <c r="T1294" s="1" t="s">
        <v>423</v>
      </c>
      <c r="U1294" s="1"/>
    </row>
    <row r="1295">
      <c r="A1295" s="218">
        <v>45236.92763550926</v>
      </c>
      <c r="B1295" s="1" t="s">
        <v>56</v>
      </c>
      <c r="C1295" s="1" t="s">
        <v>130</v>
      </c>
      <c r="D1295" s="1">
        <v>4.0</v>
      </c>
      <c r="E1295" s="1">
        <v>5.0</v>
      </c>
      <c r="F1295" s="1" t="s">
        <v>1522</v>
      </c>
      <c r="G1295" s="218">
        <v>45241.64583333333</v>
      </c>
      <c r="H1295" s="1" t="s">
        <v>69</v>
      </c>
      <c r="I1295" s="1" t="s">
        <v>900</v>
      </c>
      <c r="J1295" s="219">
        <v>-3.5</v>
      </c>
      <c r="K1295" s="219">
        <v>1.5</v>
      </c>
      <c r="L1295" s="219">
        <v>-120.0</v>
      </c>
      <c r="M1295" s="219" t="s">
        <v>1302</v>
      </c>
      <c r="N1295" s="1">
        <v>221.0</v>
      </c>
      <c r="O1295" s="1">
        <v>210.0</v>
      </c>
      <c r="P1295" s="1">
        <v>1.0</v>
      </c>
      <c r="Q1295" s="1" t="b">
        <v>1</v>
      </c>
      <c r="R1295" s="1">
        <v>100.0</v>
      </c>
      <c r="S1295" s="1" t="s">
        <v>301</v>
      </c>
      <c r="T1295" s="1" t="s">
        <v>422</v>
      </c>
      <c r="U1295" s="1"/>
    </row>
    <row r="1296">
      <c r="A1296" s="218">
        <v>45236.92763550926</v>
      </c>
      <c r="B1296" s="1" t="s">
        <v>56</v>
      </c>
      <c r="C1296" s="1" t="s">
        <v>133</v>
      </c>
      <c r="D1296" s="1">
        <v>4.0</v>
      </c>
      <c r="E1296" s="1">
        <v>5.0</v>
      </c>
      <c r="F1296" s="1" t="s">
        <v>1523</v>
      </c>
      <c r="G1296" s="218">
        <v>45241.66666666667</v>
      </c>
      <c r="H1296" s="1" t="s">
        <v>62</v>
      </c>
      <c r="I1296" s="1" t="s">
        <v>935</v>
      </c>
      <c r="J1296" s="219">
        <v>-9.5</v>
      </c>
      <c r="K1296" s="219">
        <v>-9.5</v>
      </c>
      <c r="L1296" s="219">
        <v>310.0</v>
      </c>
      <c r="M1296" s="219" t="s">
        <v>852</v>
      </c>
      <c r="N1296" s="1">
        <v>249.0</v>
      </c>
      <c r="O1296" s="1">
        <v>236.0</v>
      </c>
      <c r="P1296" s="1">
        <v>1.0</v>
      </c>
      <c r="Q1296" s="1" t="b">
        <v>1</v>
      </c>
      <c r="R1296" s="1">
        <v>100.0</v>
      </c>
      <c r="S1296" s="1" t="s">
        <v>407</v>
      </c>
      <c r="T1296" s="1" t="s">
        <v>423</v>
      </c>
      <c r="U1296" s="1"/>
    </row>
    <row r="1297">
      <c r="A1297" s="218">
        <v>45236.92763550926</v>
      </c>
      <c r="B1297" s="1" t="s">
        <v>56</v>
      </c>
      <c r="C1297" s="1" t="s">
        <v>127</v>
      </c>
      <c r="D1297" s="1">
        <v>5.0</v>
      </c>
      <c r="E1297" s="1">
        <v>4.0</v>
      </c>
      <c r="F1297" s="1" t="s">
        <v>1524</v>
      </c>
      <c r="G1297" s="218">
        <v>45241.8125</v>
      </c>
      <c r="H1297" s="1" t="s">
        <v>69</v>
      </c>
      <c r="I1297" s="1" t="s">
        <v>945</v>
      </c>
      <c r="J1297" s="219">
        <v>13.5</v>
      </c>
      <c r="K1297" s="219">
        <v>13.5</v>
      </c>
      <c r="L1297" s="219">
        <v>480.0</v>
      </c>
      <c r="M1297" s="219" t="s">
        <v>908</v>
      </c>
      <c r="N1297" s="1">
        <v>260.0</v>
      </c>
      <c r="O1297" s="1">
        <v>222.0</v>
      </c>
      <c r="P1297" s="1">
        <v>1.0</v>
      </c>
      <c r="Q1297" s="1" t="b">
        <v>1</v>
      </c>
      <c r="R1297" s="1">
        <v>100.0</v>
      </c>
      <c r="S1297" s="1" t="s">
        <v>292</v>
      </c>
      <c r="T1297" s="1" t="s">
        <v>422</v>
      </c>
      <c r="U1297" s="1"/>
    </row>
    <row r="1298">
      <c r="A1298" s="218">
        <v>45236.92763550926</v>
      </c>
      <c r="B1298" s="1" t="s">
        <v>56</v>
      </c>
      <c r="C1298" s="1" t="s">
        <v>124</v>
      </c>
      <c r="D1298" s="1">
        <v>5.0</v>
      </c>
      <c r="E1298" s="1">
        <v>4.0</v>
      </c>
      <c r="F1298" s="1" t="s">
        <v>1518</v>
      </c>
      <c r="G1298" s="218">
        <v>45241.92708333333</v>
      </c>
      <c r="H1298" s="1" t="s">
        <v>58</v>
      </c>
      <c r="I1298" s="1" t="s">
        <v>76</v>
      </c>
      <c r="J1298" s="219">
        <v>-4.5</v>
      </c>
      <c r="K1298" s="219">
        <v>-7.0</v>
      </c>
      <c r="L1298" s="219">
        <v>-295.0</v>
      </c>
      <c r="M1298" s="219" t="s">
        <v>843</v>
      </c>
      <c r="N1298" s="1">
        <v>212.0</v>
      </c>
      <c r="O1298" s="1">
        <v>186.0</v>
      </c>
      <c r="P1298" s="1">
        <v>1.0</v>
      </c>
      <c r="Q1298" s="1" t="b">
        <v>0</v>
      </c>
      <c r="R1298" s="1">
        <v>100.0</v>
      </c>
      <c r="S1298" s="1" t="s">
        <v>296</v>
      </c>
      <c r="T1298" s="1" t="s">
        <v>422</v>
      </c>
      <c r="U1298" s="1"/>
    </row>
    <row r="1299">
      <c r="A1299" s="218">
        <v>45236.92763550926</v>
      </c>
      <c r="B1299" s="1" t="s">
        <v>56</v>
      </c>
      <c r="C1299" s="1" t="s">
        <v>129</v>
      </c>
      <c r="D1299" s="1">
        <v>4.0</v>
      </c>
      <c r="E1299" s="1">
        <v>5.0</v>
      </c>
      <c r="F1299" s="1" t="s">
        <v>1525</v>
      </c>
      <c r="G1299" s="218">
        <v>45241.9375</v>
      </c>
      <c r="H1299" s="1" t="s">
        <v>62</v>
      </c>
      <c r="I1299" s="1" t="s">
        <v>99</v>
      </c>
      <c r="J1299" s="219"/>
      <c r="K1299" s="219"/>
      <c r="L1299" s="219"/>
      <c r="M1299" s="219"/>
      <c r="N1299" s="1">
        <v>297.0</v>
      </c>
      <c r="O1299" s="1">
        <v>247.0</v>
      </c>
      <c r="P1299" s="1">
        <v>1.0</v>
      </c>
      <c r="Q1299" s="1" t="b">
        <v>0</v>
      </c>
      <c r="R1299" s="1">
        <v>100.0</v>
      </c>
      <c r="S1299" s="1" t="s">
        <v>353</v>
      </c>
      <c r="T1299" s="1" t="s">
        <v>423</v>
      </c>
      <c r="U1299" s="1"/>
    </row>
    <row r="1300">
      <c r="A1300" s="218">
        <v>45236.92763550926</v>
      </c>
      <c r="B1300" s="1" t="s">
        <v>56</v>
      </c>
      <c r="C1300" s="1" t="s">
        <v>135</v>
      </c>
      <c r="D1300" s="1">
        <v>8.0</v>
      </c>
      <c r="E1300" s="1">
        <v>1.0</v>
      </c>
      <c r="F1300" s="1" t="s">
        <v>1526</v>
      </c>
      <c r="G1300" s="218">
        <v>45241.5</v>
      </c>
      <c r="H1300" s="1" t="s">
        <v>59</v>
      </c>
      <c r="I1300" s="1" t="s">
        <v>92</v>
      </c>
      <c r="J1300" s="219">
        <v>1.5</v>
      </c>
      <c r="K1300" s="219">
        <v>5.5</v>
      </c>
      <c r="L1300" s="219">
        <v>-205.0</v>
      </c>
      <c r="M1300" s="219" t="s">
        <v>122</v>
      </c>
      <c r="N1300" s="1">
        <v>362.0</v>
      </c>
      <c r="O1300" s="1">
        <v>107.0</v>
      </c>
      <c r="P1300" s="1">
        <v>1.0</v>
      </c>
      <c r="Q1300" s="1" t="b">
        <v>0</v>
      </c>
      <c r="R1300" s="1">
        <v>100.0</v>
      </c>
      <c r="S1300" s="1" t="s">
        <v>282</v>
      </c>
      <c r="T1300" s="1" t="s">
        <v>422</v>
      </c>
      <c r="U1300" s="1"/>
    </row>
    <row r="1301">
      <c r="A1301" s="218">
        <v>45236.92763550926</v>
      </c>
      <c r="B1301" s="1" t="s">
        <v>56</v>
      </c>
      <c r="C1301" s="1" t="s">
        <v>123</v>
      </c>
      <c r="D1301" s="1">
        <v>3.0</v>
      </c>
      <c r="E1301" s="1">
        <v>6.0</v>
      </c>
      <c r="F1301" s="1" t="s">
        <v>1527</v>
      </c>
      <c r="G1301" s="218">
        <v>45241.5</v>
      </c>
      <c r="H1301" s="1"/>
      <c r="I1301" s="1" t="s">
        <v>99</v>
      </c>
      <c r="J1301" s="219"/>
      <c r="K1301" s="219"/>
      <c r="L1301" s="219"/>
      <c r="M1301" s="219"/>
      <c r="N1301" s="1">
        <v>184.0</v>
      </c>
      <c r="O1301" s="1">
        <v>207.0</v>
      </c>
      <c r="P1301" s="1">
        <v>1.0</v>
      </c>
      <c r="Q1301" s="1" t="b">
        <v>0</v>
      </c>
      <c r="R1301" s="1">
        <v>100.0</v>
      </c>
      <c r="S1301" s="1" t="s">
        <v>351</v>
      </c>
      <c r="T1301" s="1" t="s">
        <v>423</v>
      </c>
      <c r="U1301" s="1"/>
    </row>
    <row r="1302">
      <c r="A1302" s="218">
        <v>45236.92763550926</v>
      </c>
      <c r="B1302" s="1" t="s">
        <v>56</v>
      </c>
      <c r="C1302" s="1" t="s">
        <v>128</v>
      </c>
      <c r="D1302" s="1">
        <v>7.0</v>
      </c>
      <c r="E1302" s="1">
        <v>3.0</v>
      </c>
      <c r="F1302" s="1"/>
      <c r="G1302" s="218"/>
      <c r="H1302" s="1"/>
      <c r="I1302" s="1"/>
      <c r="J1302" s="219"/>
      <c r="K1302" s="219"/>
      <c r="L1302" s="219"/>
      <c r="M1302" s="219"/>
      <c r="N1302" s="1">
        <v>368.0</v>
      </c>
      <c r="O1302" s="1">
        <v>169.0</v>
      </c>
      <c r="P1302" s="1">
        <v>3.0</v>
      </c>
      <c r="Q1302" s="1" t="b">
        <v>0</v>
      </c>
      <c r="R1302" s="1">
        <v>100.0</v>
      </c>
      <c r="S1302" s="1" t="s">
        <v>354</v>
      </c>
      <c r="T1302" s="1" t="s">
        <v>422</v>
      </c>
      <c r="U1302" s="1"/>
    </row>
    <row r="1303">
      <c r="A1303" s="218">
        <v>45236.92763550926</v>
      </c>
      <c r="B1303" s="1"/>
      <c r="C1303" s="1"/>
      <c r="D1303" s="1"/>
      <c r="E1303" s="1"/>
      <c r="F1303" s="1"/>
      <c r="G1303" s="218"/>
      <c r="H1303" s="1"/>
      <c r="I1303" s="1"/>
      <c r="J1303" s="219"/>
      <c r="K1303" s="219"/>
      <c r="L1303" s="219"/>
      <c r="M1303" s="219"/>
      <c r="N1303" s="1"/>
      <c r="O1303" s="1"/>
      <c r="P1303" s="1"/>
      <c r="Q1303" s="1"/>
      <c r="R1303" s="1"/>
      <c r="S1303" s="1" t="e">
        <v>#N/A</v>
      </c>
      <c r="T1303" s="1" t="e">
        <v>#N/A</v>
      </c>
      <c r="U1303" s="1"/>
    </row>
    <row r="1304">
      <c r="A1304" s="218">
        <v>45236.92763550926</v>
      </c>
      <c r="B1304" s="1" t="s">
        <v>60</v>
      </c>
      <c r="C1304" s="1" t="s">
        <v>177</v>
      </c>
      <c r="D1304" s="1">
        <v>2.0</v>
      </c>
      <c r="E1304" s="1">
        <v>7.0</v>
      </c>
      <c r="F1304" s="1" t="s">
        <v>1510</v>
      </c>
      <c r="G1304" s="218">
        <v>45237.79166666667</v>
      </c>
      <c r="H1304" s="1" t="s">
        <v>58</v>
      </c>
      <c r="I1304" s="1" t="s">
        <v>99</v>
      </c>
      <c r="J1304" s="219">
        <v>8.5</v>
      </c>
      <c r="K1304" s="219">
        <v>10.5</v>
      </c>
      <c r="L1304" s="219">
        <v>290.0</v>
      </c>
      <c r="M1304" s="219" t="s">
        <v>122</v>
      </c>
      <c r="N1304" s="1">
        <v>150.0</v>
      </c>
      <c r="O1304" s="1">
        <v>256.0</v>
      </c>
      <c r="P1304" s="1">
        <v>1.0</v>
      </c>
      <c r="Q1304" s="1" t="b">
        <v>1</v>
      </c>
      <c r="R1304" s="1">
        <v>100.0</v>
      </c>
      <c r="S1304" s="1" t="s">
        <v>352</v>
      </c>
      <c r="T1304" s="1" t="s">
        <v>423</v>
      </c>
      <c r="U1304" s="1"/>
    </row>
    <row r="1305">
      <c r="A1305" s="218">
        <v>45236.92763550926</v>
      </c>
      <c r="B1305" s="1" t="s">
        <v>60</v>
      </c>
      <c r="C1305" s="1" t="s">
        <v>175</v>
      </c>
      <c r="D1305" s="1">
        <v>5.0</v>
      </c>
      <c r="E1305" s="1">
        <v>4.0</v>
      </c>
      <c r="F1305" s="1" t="s">
        <v>1528</v>
      </c>
      <c r="G1305" s="218">
        <v>45239.8125</v>
      </c>
      <c r="H1305" s="1" t="s">
        <v>70</v>
      </c>
      <c r="I1305" s="1" t="s">
        <v>40</v>
      </c>
      <c r="J1305" s="219"/>
      <c r="K1305" s="219"/>
      <c r="L1305" s="219"/>
      <c r="M1305" s="219"/>
      <c r="N1305" s="1">
        <v>280.0</v>
      </c>
      <c r="O1305" s="1">
        <v>252.0</v>
      </c>
      <c r="P1305" s="1">
        <v>1.0</v>
      </c>
      <c r="Q1305" s="1" t="b">
        <v>0</v>
      </c>
      <c r="R1305" s="1">
        <v>100.0</v>
      </c>
      <c r="S1305" s="1" t="s">
        <v>355</v>
      </c>
      <c r="T1305" s="1" t="s">
        <v>423</v>
      </c>
      <c r="U1305" s="1"/>
    </row>
    <row r="1306">
      <c r="A1306" s="218">
        <v>45236.92763550926</v>
      </c>
      <c r="B1306" s="1" t="s">
        <v>60</v>
      </c>
      <c r="C1306" s="1" t="s">
        <v>164</v>
      </c>
      <c r="D1306" s="1">
        <v>8.0</v>
      </c>
      <c r="E1306" s="1">
        <v>1.0</v>
      </c>
      <c r="F1306" s="1" t="s">
        <v>1529</v>
      </c>
      <c r="G1306" s="218">
        <v>45239.8125</v>
      </c>
      <c r="H1306" s="1"/>
      <c r="I1306" s="1" t="s">
        <v>76</v>
      </c>
      <c r="J1306" s="219">
        <v>-16.5</v>
      </c>
      <c r="K1306" s="219">
        <v>-20.5</v>
      </c>
      <c r="L1306" s="219">
        <v>920.0</v>
      </c>
      <c r="M1306" s="219" t="s">
        <v>845</v>
      </c>
      <c r="N1306" s="1">
        <v>296.0</v>
      </c>
      <c r="O1306" s="1">
        <v>147.0</v>
      </c>
      <c r="P1306" s="1">
        <v>1.0</v>
      </c>
      <c r="Q1306" s="1" t="b">
        <v>0</v>
      </c>
      <c r="R1306" s="1">
        <v>100.0</v>
      </c>
      <c r="S1306" s="1" t="s">
        <v>301</v>
      </c>
      <c r="T1306" s="1" t="s">
        <v>422</v>
      </c>
      <c r="U1306" s="1"/>
    </row>
    <row r="1307">
      <c r="A1307" s="218">
        <v>45236.92763550926</v>
      </c>
      <c r="B1307" s="1" t="s">
        <v>60</v>
      </c>
      <c r="C1307" s="1" t="s">
        <v>139</v>
      </c>
      <c r="D1307" s="1">
        <v>7.0</v>
      </c>
      <c r="E1307" s="1">
        <v>2.0</v>
      </c>
      <c r="F1307" s="1" t="s">
        <v>1530</v>
      </c>
      <c r="G1307" s="218">
        <v>45240.875</v>
      </c>
      <c r="H1307" s="1" t="s">
        <v>67</v>
      </c>
      <c r="I1307" s="1" t="s">
        <v>36</v>
      </c>
      <c r="J1307" s="219">
        <v>-13.5</v>
      </c>
      <c r="K1307" s="219">
        <v>-16.5</v>
      </c>
      <c r="L1307" s="219">
        <v>640.0</v>
      </c>
      <c r="M1307" s="219" t="s">
        <v>871</v>
      </c>
      <c r="N1307" s="1">
        <v>360.0</v>
      </c>
      <c r="O1307" s="1">
        <v>143.0</v>
      </c>
      <c r="P1307" s="1">
        <v>1.0</v>
      </c>
      <c r="Q1307" s="1" t="b">
        <v>0</v>
      </c>
      <c r="R1307" s="1">
        <v>100.0</v>
      </c>
      <c r="S1307" s="1" t="s">
        <v>407</v>
      </c>
      <c r="T1307" s="1" t="s">
        <v>423</v>
      </c>
      <c r="U1307" s="1"/>
    </row>
    <row r="1308">
      <c r="A1308" s="218">
        <v>45236.92763550926</v>
      </c>
      <c r="B1308" s="1" t="s">
        <v>60</v>
      </c>
      <c r="C1308" s="1" t="s">
        <v>179</v>
      </c>
      <c r="D1308" s="1">
        <v>7.0</v>
      </c>
      <c r="E1308" s="1">
        <v>2.0</v>
      </c>
      <c r="F1308" s="1" t="s">
        <v>1531</v>
      </c>
      <c r="G1308" s="218">
        <v>45241.79166666667</v>
      </c>
      <c r="H1308" s="1"/>
      <c r="I1308" s="1" t="s">
        <v>92</v>
      </c>
      <c r="J1308" s="219">
        <v>-13.0</v>
      </c>
      <c r="K1308" s="219">
        <v>-12.5</v>
      </c>
      <c r="L1308" s="219">
        <v>430.0</v>
      </c>
      <c r="M1308" s="219" t="s">
        <v>203</v>
      </c>
      <c r="N1308" s="1">
        <v>359.0</v>
      </c>
      <c r="O1308" s="1">
        <v>178.0</v>
      </c>
      <c r="P1308" s="1">
        <v>1.0</v>
      </c>
      <c r="Q1308" s="1" t="b">
        <v>0</v>
      </c>
      <c r="R1308" s="1">
        <v>100.0</v>
      </c>
      <c r="S1308" s="1" t="s">
        <v>296</v>
      </c>
      <c r="T1308" s="1" t="s">
        <v>422</v>
      </c>
      <c r="U1308" s="1"/>
    </row>
    <row r="1309">
      <c r="A1309" s="218">
        <v>45236.92763550926</v>
      </c>
      <c r="B1309" s="1" t="s">
        <v>60</v>
      </c>
      <c r="C1309" s="1" t="s">
        <v>178</v>
      </c>
      <c r="D1309" s="1">
        <v>3.0</v>
      </c>
      <c r="E1309" s="1">
        <v>6.0</v>
      </c>
      <c r="F1309" s="1" t="s">
        <v>1532</v>
      </c>
      <c r="G1309" s="218">
        <v>45241.8125</v>
      </c>
      <c r="H1309" s="1" t="s">
        <v>57</v>
      </c>
      <c r="I1309" s="1" t="s">
        <v>90</v>
      </c>
      <c r="J1309" s="219">
        <v>24.5</v>
      </c>
      <c r="K1309" s="219">
        <v>31.5</v>
      </c>
      <c r="L1309" s="219">
        <v>2000.0</v>
      </c>
      <c r="M1309" s="219" t="s">
        <v>906</v>
      </c>
      <c r="N1309" s="1">
        <v>164.0</v>
      </c>
      <c r="O1309" s="1">
        <v>239.0</v>
      </c>
      <c r="P1309" s="1">
        <v>1.0</v>
      </c>
      <c r="Q1309" s="1" t="b">
        <v>1</v>
      </c>
      <c r="R1309" s="1">
        <v>100.0</v>
      </c>
      <c r="S1309" s="1" t="s">
        <v>282</v>
      </c>
      <c r="T1309" s="1" t="s">
        <v>422</v>
      </c>
      <c r="U1309" s="1"/>
    </row>
    <row r="1310">
      <c r="A1310" s="218">
        <v>45236.92763550926</v>
      </c>
      <c r="B1310" s="1" t="s">
        <v>60</v>
      </c>
      <c r="C1310" s="1" t="s">
        <v>174</v>
      </c>
      <c r="D1310" s="1">
        <v>2.0</v>
      </c>
      <c r="E1310" s="1">
        <v>7.0</v>
      </c>
      <c r="F1310" s="1" t="s">
        <v>1517</v>
      </c>
      <c r="G1310" s="218">
        <v>45241.875</v>
      </c>
      <c r="H1310" s="1" t="s">
        <v>58</v>
      </c>
      <c r="I1310" s="1" t="s">
        <v>287</v>
      </c>
      <c r="J1310" s="219">
        <v>20.5</v>
      </c>
      <c r="K1310" s="219">
        <v>17.5</v>
      </c>
      <c r="L1310" s="219">
        <v>680.0</v>
      </c>
      <c r="M1310" s="219" t="s">
        <v>906</v>
      </c>
      <c r="N1310" s="1">
        <v>160.0</v>
      </c>
      <c r="O1310" s="1">
        <v>267.0</v>
      </c>
      <c r="P1310" s="1">
        <v>1.0</v>
      </c>
      <c r="Q1310" s="1" t="b">
        <v>0</v>
      </c>
      <c r="R1310" s="1">
        <v>100.0</v>
      </c>
      <c r="S1310" s="1" t="s">
        <v>354</v>
      </c>
      <c r="T1310" s="1" t="s">
        <v>422</v>
      </c>
      <c r="U1310" s="1"/>
    </row>
    <row r="1311">
      <c r="A1311" s="218">
        <v>45236.92763550926</v>
      </c>
      <c r="B1311" s="1" t="s">
        <v>60</v>
      </c>
      <c r="C1311" s="1" t="s">
        <v>173</v>
      </c>
      <c r="D1311" s="1">
        <v>3.0</v>
      </c>
      <c r="E1311" s="1">
        <v>7.0</v>
      </c>
      <c r="F1311" s="1" t="s">
        <v>1533</v>
      </c>
      <c r="G1311" s="218">
        <v>45241.95833333333</v>
      </c>
      <c r="H1311" s="1" t="s">
        <v>69</v>
      </c>
      <c r="I1311" s="1" t="s">
        <v>1077</v>
      </c>
      <c r="J1311" s="219">
        <v>17.5</v>
      </c>
      <c r="K1311" s="219">
        <v>18.5</v>
      </c>
      <c r="L1311" s="219">
        <v>-1250.0</v>
      </c>
      <c r="M1311" s="219" t="s">
        <v>854</v>
      </c>
      <c r="N1311" s="1">
        <v>215.0</v>
      </c>
      <c r="O1311" s="1">
        <v>340.0</v>
      </c>
      <c r="P1311" s="1">
        <v>1.0</v>
      </c>
      <c r="Q1311" s="1" t="b">
        <v>1</v>
      </c>
      <c r="R1311" s="1">
        <v>100.0</v>
      </c>
      <c r="S1311" s="1" t="s">
        <v>353</v>
      </c>
      <c r="T1311" s="1" t="s">
        <v>423</v>
      </c>
      <c r="U1311" s="1"/>
    </row>
    <row r="1312">
      <c r="A1312" s="218">
        <v>45236.92763550926</v>
      </c>
      <c r="B1312" s="1" t="s">
        <v>60</v>
      </c>
      <c r="C1312" s="1" t="s">
        <v>137</v>
      </c>
      <c r="D1312" s="1">
        <v>8.0</v>
      </c>
      <c r="E1312" s="1">
        <v>1.0</v>
      </c>
      <c r="F1312" s="1" t="s">
        <v>1534</v>
      </c>
      <c r="G1312" s="218">
        <v>45241.5</v>
      </c>
      <c r="H1312" s="1" t="s">
        <v>70</v>
      </c>
      <c r="I1312" s="1" t="s">
        <v>76</v>
      </c>
      <c r="J1312" s="219">
        <v>-9.5</v>
      </c>
      <c r="K1312" s="219">
        <v>-10.5</v>
      </c>
      <c r="L1312" s="219">
        <v>-465.0</v>
      </c>
      <c r="M1312" s="219" t="s">
        <v>854</v>
      </c>
      <c r="N1312" s="1">
        <v>287.0</v>
      </c>
      <c r="O1312" s="1">
        <v>160.0</v>
      </c>
      <c r="P1312" s="1">
        <v>1.0</v>
      </c>
      <c r="Q1312" s="1" t="b">
        <v>0</v>
      </c>
      <c r="R1312" s="1">
        <v>100.0</v>
      </c>
      <c r="S1312" s="1" t="s">
        <v>292</v>
      </c>
      <c r="T1312" s="1" t="s">
        <v>422</v>
      </c>
      <c r="U1312" s="1"/>
    </row>
    <row r="1313">
      <c r="A1313" s="218">
        <v>45236.92763550926</v>
      </c>
      <c r="B1313" s="1" t="s">
        <v>60</v>
      </c>
      <c r="C1313" s="1" t="s">
        <v>176</v>
      </c>
      <c r="D1313" s="1">
        <v>3.0</v>
      </c>
      <c r="E1313" s="1">
        <v>7.0</v>
      </c>
      <c r="F1313" s="1"/>
      <c r="G1313" s="218"/>
      <c r="H1313" s="1"/>
      <c r="I1313" s="1"/>
      <c r="J1313" s="219"/>
      <c r="K1313" s="219"/>
      <c r="L1313" s="219"/>
      <c r="M1313" s="219"/>
      <c r="N1313" s="1">
        <v>235.0</v>
      </c>
      <c r="O1313" s="1">
        <v>374.0</v>
      </c>
      <c r="P1313" s="1">
        <v>3.0</v>
      </c>
      <c r="Q1313" s="1" t="b">
        <v>1</v>
      </c>
      <c r="R1313" s="1">
        <v>100.0</v>
      </c>
      <c r="S1313" s="1" t="s">
        <v>351</v>
      </c>
      <c r="T1313" s="1" t="s">
        <v>423</v>
      </c>
      <c r="U1313" s="1"/>
    </row>
    <row r="1314">
      <c r="A1314" s="218">
        <v>45236.92763550926</v>
      </c>
      <c r="B1314" s="1"/>
      <c r="C1314" s="1"/>
      <c r="D1314" s="1"/>
      <c r="E1314" s="1"/>
      <c r="F1314" s="1"/>
      <c r="G1314" s="218"/>
      <c r="H1314" s="1"/>
      <c r="I1314" s="1"/>
      <c r="J1314" s="219"/>
      <c r="K1314" s="219"/>
      <c r="L1314" s="219"/>
      <c r="M1314" s="219"/>
      <c r="N1314" s="1"/>
      <c r="O1314" s="1"/>
      <c r="P1314" s="1"/>
      <c r="Q1314" s="1"/>
      <c r="R1314" s="1"/>
      <c r="S1314" s="1" t="e">
        <v>#N/A</v>
      </c>
      <c r="T1314" s="1" t="e">
        <v>#N/A</v>
      </c>
      <c r="U1314" s="1"/>
    </row>
    <row r="1315">
      <c r="A1315" s="218">
        <v>45236.92763550926</v>
      </c>
      <c r="B1315" s="1" t="s">
        <v>46</v>
      </c>
      <c r="C1315" s="1" t="s">
        <v>189</v>
      </c>
      <c r="D1315" s="1">
        <v>2.0</v>
      </c>
      <c r="E1315" s="1">
        <v>7.0</v>
      </c>
      <c r="F1315" s="1" t="s">
        <v>1535</v>
      </c>
      <c r="G1315" s="218">
        <v>45238.79166666667</v>
      </c>
      <c r="H1315" s="1" t="s">
        <v>62</v>
      </c>
      <c r="I1315" s="1" t="s">
        <v>40</v>
      </c>
      <c r="J1315" s="219">
        <v>17.0</v>
      </c>
      <c r="K1315" s="219">
        <v>17.5</v>
      </c>
      <c r="L1315" s="219">
        <v>640.0</v>
      </c>
      <c r="M1315" s="219" t="s">
        <v>122</v>
      </c>
      <c r="N1315" s="1">
        <v>154.0</v>
      </c>
      <c r="O1315" s="1">
        <v>262.0</v>
      </c>
      <c r="P1315" s="1">
        <v>1.0</v>
      </c>
      <c r="Q1315" s="1" t="b">
        <v>1</v>
      </c>
      <c r="R1315" s="1">
        <v>100.0</v>
      </c>
      <c r="S1315" s="1" t="s">
        <v>352</v>
      </c>
      <c r="T1315" s="1" t="s">
        <v>423</v>
      </c>
      <c r="U1315" s="1"/>
    </row>
    <row r="1316">
      <c r="A1316" s="218">
        <v>45236.92763550926</v>
      </c>
      <c r="B1316" s="1" t="s">
        <v>46</v>
      </c>
      <c r="C1316" s="1" t="s">
        <v>183</v>
      </c>
      <c r="D1316" s="1">
        <v>6.0</v>
      </c>
      <c r="E1316" s="1">
        <v>3.0</v>
      </c>
      <c r="F1316" s="1" t="s">
        <v>1536</v>
      </c>
      <c r="G1316" s="218">
        <v>45240.94791666667</v>
      </c>
      <c r="H1316" s="1" t="s">
        <v>57</v>
      </c>
      <c r="I1316" s="1" t="s">
        <v>96</v>
      </c>
      <c r="J1316" s="219">
        <v>3.5</v>
      </c>
      <c r="K1316" s="219">
        <v>4.5</v>
      </c>
      <c r="L1316" s="219">
        <v>160.0</v>
      </c>
      <c r="M1316" s="219" t="s">
        <v>73</v>
      </c>
      <c r="N1316" s="1">
        <v>215.0</v>
      </c>
      <c r="O1316" s="1">
        <v>226.0</v>
      </c>
      <c r="P1316" s="1">
        <v>1.0</v>
      </c>
      <c r="Q1316" s="1" t="b">
        <v>1</v>
      </c>
      <c r="R1316" s="1">
        <v>100.0</v>
      </c>
      <c r="S1316" s="1" t="s">
        <v>353</v>
      </c>
      <c r="T1316" s="1" t="s">
        <v>423</v>
      </c>
      <c r="U1316" s="1"/>
    </row>
    <row r="1317">
      <c r="A1317" s="218">
        <v>45236.92763550926</v>
      </c>
      <c r="B1317" s="1" t="s">
        <v>46</v>
      </c>
      <c r="C1317" s="1" t="s">
        <v>181</v>
      </c>
      <c r="D1317" s="1">
        <v>7.0</v>
      </c>
      <c r="E1317" s="1">
        <v>2.0</v>
      </c>
      <c r="F1317" s="1" t="s">
        <v>1537</v>
      </c>
      <c r="G1317" s="218">
        <v>45241.58333333333</v>
      </c>
      <c r="H1317" s="1" t="s">
        <v>67</v>
      </c>
      <c r="I1317" s="1" t="s">
        <v>935</v>
      </c>
      <c r="J1317" s="219">
        <v>-20.5</v>
      </c>
      <c r="K1317" s="219">
        <v>-20.5</v>
      </c>
      <c r="L1317" s="219">
        <v>-2100.0</v>
      </c>
      <c r="M1317" s="219" t="s">
        <v>852</v>
      </c>
      <c r="N1317" s="1">
        <v>245.0</v>
      </c>
      <c r="O1317" s="1">
        <v>145.0</v>
      </c>
      <c r="P1317" s="1">
        <v>1.0</v>
      </c>
      <c r="Q1317" s="1" t="b">
        <v>0</v>
      </c>
      <c r="R1317" s="1">
        <v>100.0</v>
      </c>
      <c r="S1317" s="1" t="s">
        <v>355</v>
      </c>
      <c r="T1317" s="1" t="s">
        <v>423</v>
      </c>
      <c r="U1317" s="1"/>
    </row>
    <row r="1318">
      <c r="A1318" s="218">
        <v>45236.92763550926</v>
      </c>
      <c r="B1318" s="1" t="s">
        <v>46</v>
      </c>
      <c r="C1318" s="1" t="s">
        <v>180</v>
      </c>
      <c r="D1318" s="1">
        <v>9.0</v>
      </c>
      <c r="E1318" s="1">
        <v>0.0</v>
      </c>
      <c r="F1318" s="1" t="s">
        <v>1538</v>
      </c>
      <c r="G1318" s="218">
        <v>45241.64583333333</v>
      </c>
      <c r="H1318" s="1" t="s">
        <v>59</v>
      </c>
      <c r="I1318" s="1" t="s">
        <v>92</v>
      </c>
      <c r="J1318" s="219">
        <v>-10.5</v>
      </c>
      <c r="K1318" s="219">
        <v>-9.5</v>
      </c>
      <c r="L1318" s="219">
        <v>290.0</v>
      </c>
      <c r="M1318" s="219" t="s">
        <v>68</v>
      </c>
      <c r="N1318" s="1">
        <v>375.0</v>
      </c>
      <c r="O1318" s="1">
        <v>207.0</v>
      </c>
      <c r="P1318" s="1">
        <v>1.0</v>
      </c>
      <c r="Q1318" s="1" t="b">
        <v>1</v>
      </c>
      <c r="R1318" s="1">
        <v>100.0</v>
      </c>
      <c r="S1318" s="1" t="s">
        <v>354</v>
      </c>
      <c r="T1318" s="1" t="s">
        <v>422</v>
      </c>
      <c r="U1318" s="1"/>
    </row>
    <row r="1319">
      <c r="A1319" s="218">
        <v>45236.92763550926</v>
      </c>
      <c r="B1319" s="1" t="s">
        <v>46</v>
      </c>
      <c r="C1319" s="1" t="s">
        <v>185</v>
      </c>
      <c r="D1319" s="1">
        <v>6.0</v>
      </c>
      <c r="E1319" s="1">
        <v>3.0</v>
      </c>
      <c r="F1319" s="1" t="s">
        <v>1539</v>
      </c>
      <c r="G1319" s="218">
        <v>45241.64583333333</v>
      </c>
      <c r="H1319" s="1" t="s">
        <v>61</v>
      </c>
      <c r="I1319" s="1" t="s">
        <v>888</v>
      </c>
      <c r="J1319" s="219">
        <v>5.5</v>
      </c>
      <c r="K1319" s="219">
        <v>2.5</v>
      </c>
      <c r="L1319" s="219">
        <v>-100.0</v>
      </c>
      <c r="M1319" s="219" t="s">
        <v>1540</v>
      </c>
      <c r="N1319" s="1">
        <v>241.0</v>
      </c>
      <c r="O1319" s="1">
        <v>161.0</v>
      </c>
      <c r="P1319" s="1">
        <v>1.0</v>
      </c>
      <c r="Q1319" s="1" t="b">
        <v>1</v>
      </c>
      <c r="R1319" s="1">
        <v>100.0</v>
      </c>
      <c r="S1319" s="1" t="s">
        <v>351</v>
      </c>
      <c r="T1319" s="1" t="s">
        <v>423</v>
      </c>
      <c r="U1319" s="1"/>
    </row>
    <row r="1320">
      <c r="A1320" s="218">
        <v>45236.92763550926</v>
      </c>
      <c r="B1320" s="1" t="s">
        <v>46</v>
      </c>
      <c r="C1320" s="1" t="s">
        <v>187</v>
      </c>
      <c r="D1320" s="1">
        <v>6.0</v>
      </c>
      <c r="E1320" s="1">
        <v>3.0</v>
      </c>
      <c r="F1320" s="1" t="s">
        <v>1541</v>
      </c>
      <c r="G1320" s="218">
        <v>45241.83333333333</v>
      </c>
      <c r="H1320" s="1" t="s">
        <v>67</v>
      </c>
      <c r="I1320" s="1" t="s">
        <v>900</v>
      </c>
      <c r="J1320" s="219">
        <v>8.5</v>
      </c>
      <c r="K1320" s="219">
        <v>10.5</v>
      </c>
      <c r="L1320" s="219">
        <v>390.0</v>
      </c>
      <c r="M1320" s="219" t="s">
        <v>937</v>
      </c>
      <c r="N1320" s="1">
        <v>231.0</v>
      </c>
      <c r="O1320" s="1">
        <v>141.0</v>
      </c>
      <c r="P1320" s="1">
        <v>1.0</v>
      </c>
      <c r="Q1320" s="1" t="b">
        <v>1</v>
      </c>
      <c r="R1320" s="1">
        <v>100.0</v>
      </c>
      <c r="S1320" s="1" t="s">
        <v>301</v>
      </c>
      <c r="T1320" s="1" t="s">
        <v>422</v>
      </c>
      <c r="U1320" s="1"/>
    </row>
    <row r="1321">
      <c r="A1321" s="218">
        <v>45236.92763550926</v>
      </c>
      <c r="B1321" s="1" t="s">
        <v>46</v>
      </c>
      <c r="C1321" s="1" t="s">
        <v>186</v>
      </c>
      <c r="D1321" s="1">
        <v>4.0</v>
      </c>
      <c r="E1321" s="1">
        <v>5.0</v>
      </c>
      <c r="F1321" s="1" t="s">
        <v>1542</v>
      </c>
      <c r="G1321" s="218">
        <v>45241.5</v>
      </c>
      <c r="H1321" s="1" t="s">
        <v>70</v>
      </c>
      <c r="I1321" s="1" t="s">
        <v>888</v>
      </c>
      <c r="J1321" s="219">
        <v>-7.0</v>
      </c>
      <c r="K1321" s="219">
        <v>-6.5</v>
      </c>
      <c r="L1321" s="219">
        <v>184.0</v>
      </c>
      <c r="M1321" s="219" t="s">
        <v>867</v>
      </c>
      <c r="N1321" s="1">
        <v>190.0</v>
      </c>
      <c r="O1321" s="1">
        <v>248.0</v>
      </c>
      <c r="P1321" s="1">
        <v>1.0</v>
      </c>
      <c r="Q1321" s="1" t="b">
        <v>0</v>
      </c>
      <c r="R1321" s="1">
        <v>100.0</v>
      </c>
      <c r="S1321" s="1" t="s">
        <v>282</v>
      </c>
      <c r="T1321" s="1" t="s">
        <v>422</v>
      </c>
      <c r="U1321" s="1"/>
    </row>
    <row r="1322">
      <c r="A1322" s="218">
        <v>45236.92763550926</v>
      </c>
      <c r="B1322" s="1" t="s">
        <v>46</v>
      </c>
      <c r="C1322" s="1" t="s">
        <v>182</v>
      </c>
      <c r="D1322" s="1">
        <v>8.0</v>
      </c>
      <c r="E1322" s="1">
        <v>1.0</v>
      </c>
      <c r="F1322" s="1" t="s">
        <v>1543</v>
      </c>
      <c r="G1322" s="218">
        <v>45241.5</v>
      </c>
      <c r="H1322" s="1" t="s">
        <v>57</v>
      </c>
      <c r="I1322" s="1" t="s">
        <v>36</v>
      </c>
      <c r="J1322" s="219">
        <v>-20.5</v>
      </c>
      <c r="K1322" s="219">
        <v>-22.5</v>
      </c>
      <c r="L1322" s="219">
        <v>1100.0</v>
      </c>
      <c r="M1322" s="219" t="s">
        <v>73</v>
      </c>
      <c r="N1322" s="1">
        <v>258.0</v>
      </c>
      <c r="O1322" s="1">
        <v>174.0</v>
      </c>
      <c r="P1322" s="1">
        <v>1.0</v>
      </c>
      <c r="Q1322" s="1" t="b">
        <v>0</v>
      </c>
      <c r="R1322" s="1">
        <v>100.0</v>
      </c>
      <c r="S1322" s="1" t="s">
        <v>407</v>
      </c>
      <c r="T1322" s="1" t="s">
        <v>423</v>
      </c>
      <c r="U1322" s="1"/>
    </row>
    <row r="1323">
      <c r="A1323" s="218">
        <v>45236.92763550926</v>
      </c>
      <c r="B1323" s="1" t="s">
        <v>46</v>
      </c>
      <c r="C1323" s="1" t="s">
        <v>184</v>
      </c>
      <c r="D1323" s="1">
        <v>3.0</v>
      </c>
      <c r="E1323" s="1">
        <v>6.0</v>
      </c>
      <c r="F1323" s="1" t="s">
        <v>1544</v>
      </c>
      <c r="G1323" s="218">
        <v>45241.5</v>
      </c>
      <c r="H1323" s="1"/>
      <c r="I1323" s="1" t="s">
        <v>945</v>
      </c>
      <c r="J1323" s="219">
        <v>-12.5</v>
      </c>
      <c r="K1323" s="219">
        <v>-14.0</v>
      </c>
      <c r="L1323" s="219">
        <v>490.0</v>
      </c>
      <c r="M1323" s="219" t="s">
        <v>235</v>
      </c>
      <c r="N1323" s="1">
        <v>241.0</v>
      </c>
      <c r="O1323" s="1">
        <v>280.0</v>
      </c>
      <c r="P1323" s="1">
        <v>1.0</v>
      </c>
      <c r="Q1323" s="1" t="b">
        <v>1</v>
      </c>
      <c r="R1323" s="1">
        <v>100.0</v>
      </c>
      <c r="S1323" s="1" t="s">
        <v>292</v>
      </c>
      <c r="T1323" s="1" t="s">
        <v>422</v>
      </c>
      <c r="U1323" s="1"/>
    </row>
    <row r="1324">
      <c r="A1324" s="218">
        <v>45236.92763550926</v>
      </c>
      <c r="B1324" s="1" t="s">
        <v>46</v>
      </c>
      <c r="C1324" s="1" t="s">
        <v>188</v>
      </c>
      <c r="D1324" s="1">
        <v>4.0</v>
      </c>
      <c r="E1324" s="1">
        <v>5.0</v>
      </c>
      <c r="F1324" s="1" t="s">
        <v>1545</v>
      </c>
      <c r="G1324" s="218">
        <v>45241.5</v>
      </c>
      <c r="H1324" s="1" t="s">
        <v>70</v>
      </c>
      <c r="I1324" s="1" t="s">
        <v>96</v>
      </c>
      <c r="J1324" s="219">
        <v>4.5</v>
      </c>
      <c r="K1324" s="219">
        <v>3.5</v>
      </c>
      <c r="L1324" s="219">
        <v>146.0</v>
      </c>
      <c r="M1324" s="219" t="s">
        <v>969</v>
      </c>
      <c r="N1324" s="1">
        <v>275.0</v>
      </c>
      <c r="O1324" s="1">
        <v>231.0</v>
      </c>
      <c r="P1324" s="1">
        <v>1.0</v>
      </c>
      <c r="Q1324" s="1" t="b">
        <v>1</v>
      </c>
      <c r="R1324" s="1">
        <v>100.0</v>
      </c>
      <c r="S1324" s="1" t="s">
        <v>296</v>
      </c>
      <c r="T1324" s="1" t="s">
        <v>422</v>
      </c>
      <c r="U1324" s="1"/>
    </row>
    <row r="1325">
      <c r="A1325" s="218">
        <v>45236.92763550926</v>
      </c>
      <c r="B1325" s="1"/>
      <c r="C1325" s="1"/>
      <c r="D1325" s="1"/>
      <c r="E1325" s="1"/>
      <c r="F1325" s="1"/>
      <c r="G1325" s="218"/>
      <c r="H1325" s="1"/>
      <c r="I1325" s="1"/>
      <c r="J1325" s="219"/>
      <c r="K1325" s="219"/>
      <c r="L1325" s="219"/>
      <c r="M1325" s="219"/>
      <c r="N1325" s="1"/>
      <c r="O1325" s="1"/>
      <c r="P1325" s="1"/>
      <c r="Q1325" s="1"/>
      <c r="R1325" s="1"/>
      <c r="S1325" s="1" t="e">
        <v>#N/A</v>
      </c>
      <c r="T1325" s="1" t="e">
        <v>#N/A</v>
      </c>
      <c r="U1325" s="1"/>
    </row>
    <row r="1326">
      <c r="A1326" s="218">
        <v>45236.92763550926</v>
      </c>
      <c r="B1326" s="1" t="s">
        <v>70</v>
      </c>
      <c r="C1326" s="1" t="s">
        <v>199</v>
      </c>
      <c r="D1326" s="1">
        <v>3.0</v>
      </c>
      <c r="E1326" s="1">
        <v>6.0</v>
      </c>
      <c r="F1326" s="1" t="s">
        <v>1546</v>
      </c>
      <c r="G1326" s="218">
        <v>45237.8125</v>
      </c>
      <c r="H1326" s="1" t="s">
        <v>57</v>
      </c>
      <c r="I1326" s="1" t="s">
        <v>36</v>
      </c>
      <c r="J1326" s="219">
        <v>7.0</v>
      </c>
      <c r="K1326" s="219">
        <v>7.0</v>
      </c>
      <c r="L1326" s="219">
        <v>-280.0</v>
      </c>
      <c r="M1326" s="219" t="s">
        <v>867</v>
      </c>
      <c r="N1326" s="1">
        <v>220.0</v>
      </c>
      <c r="O1326" s="1">
        <v>262.0</v>
      </c>
      <c r="P1326" s="1">
        <v>1.0</v>
      </c>
      <c r="Q1326" s="1" t="b">
        <v>1</v>
      </c>
      <c r="R1326" s="1">
        <v>100.0</v>
      </c>
      <c r="S1326" s="1" t="s">
        <v>352</v>
      </c>
      <c r="T1326" s="1" t="s">
        <v>423</v>
      </c>
      <c r="U1326" s="1"/>
    </row>
    <row r="1327">
      <c r="A1327" s="218">
        <v>45236.92763550926</v>
      </c>
      <c r="B1327" s="1" t="s">
        <v>70</v>
      </c>
      <c r="C1327" s="1" t="s">
        <v>197</v>
      </c>
      <c r="D1327" s="1">
        <v>2.0</v>
      </c>
      <c r="E1327" s="1">
        <v>7.0</v>
      </c>
      <c r="F1327" s="1" t="s">
        <v>1528</v>
      </c>
      <c r="G1327" s="218">
        <v>45239.8125</v>
      </c>
      <c r="H1327" s="1" t="s">
        <v>60</v>
      </c>
      <c r="I1327" s="1" t="s">
        <v>40</v>
      </c>
      <c r="J1327" s="219"/>
      <c r="K1327" s="219"/>
      <c r="L1327" s="219"/>
      <c r="M1327" s="219"/>
      <c r="N1327" s="1">
        <v>207.0</v>
      </c>
      <c r="O1327" s="1">
        <v>322.0</v>
      </c>
      <c r="P1327" s="1">
        <v>1.0</v>
      </c>
      <c r="Q1327" s="1" t="b">
        <v>1</v>
      </c>
      <c r="R1327" s="1">
        <v>100.0</v>
      </c>
      <c r="S1327" s="1" t="s">
        <v>355</v>
      </c>
      <c r="T1327" s="1" t="s">
        <v>423</v>
      </c>
      <c r="U1327" s="1"/>
    </row>
    <row r="1328">
      <c r="A1328" s="218">
        <v>45236.92763550926</v>
      </c>
      <c r="B1328" s="1" t="s">
        <v>70</v>
      </c>
      <c r="C1328" s="1" t="s">
        <v>193</v>
      </c>
      <c r="D1328" s="1">
        <v>3.0</v>
      </c>
      <c r="E1328" s="1">
        <v>6.0</v>
      </c>
      <c r="F1328" s="1" t="s">
        <v>1547</v>
      </c>
      <c r="G1328" s="218">
        <v>45241.72916666667</v>
      </c>
      <c r="H1328" s="1" t="s">
        <v>62</v>
      </c>
      <c r="I1328" s="1" t="s">
        <v>287</v>
      </c>
      <c r="J1328" s="219">
        <v>18.5</v>
      </c>
      <c r="K1328" s="219">
        <v>21.0</v>
      </c>
      <c r="L1328" s="219">
        <v>980.0</v>
      </c>
      <c r="M1328" s="219" t="s">
        <v>68</v>
      </c>
      <c r="N1328" s="1">
        <v>192.0</v>
      </c>
      <c r="O1328" s="1">
        <v>307.0</v>
      </c>
      <c r="P1328" s="1">
        <v>1.0</v>
      </c>
      <c r="Q1328" s="1" t="b">
        <v>0</v>
      </c>
      <c r="R1328" s="1">
        <v>100.0</v>
      </c>
      <c r="S1328" s="1" t="s">
        <v>354</v>
      </c>
      <c r="T1328" s="1" t="s">
        <v>422</v>
      </c>
      <c r="U1328" s="1"/>
    </row>
    <row r="1329">
      <c r="A1329" s="218">
        <v>45236.92763550926</v>
      </c>
      <c r="B1329" s="1" t="s">
        <v>70</v>
      </c>
      <c r="C1329" s="1" t="s">
        <v>190</v>
      </c>
      <c r="D1329" s="1">
        <v>3.0</v>
      </c>
      <c r="E1329" s="1">
        <v>6.0</v>
      </c>
      <c r="F1329" s="1" t="s">
        <v>1516</v>
      </c>
      <c r="G1329" s="218">
        <v>45241.79166666667</v>
      </c>
      <c r="H1329" s="1" t="s">
        <v>58</v>
      </c>
      <c r="I1329" s="1" t="s">
        <v>99</v>
      </c>
      <c r="J1329" s="219">
        <v>4.5</v>
      </c>
      <c r="K1329" s="219">
        <v>4.5</v>
      </c>
      <c r="L1329" s="219">
        <v>172.0</v>
      </c>
      <c r="M1329" s="219" t="s">
        <v>906</v>
      </c>
      <c r="N1329" s="1">
        <v>181.0</v>
      </c>
      <c r="O1329" s="1">
        <v>257.0</v>
      </c>
      <c r="P1329" s="1">
        <v>1.0</v>
      </c>
      <c r="Q1329" s="1" t="b">
        <v>0</v>
      </c>
      <c r="R1329" s="1">
        <v>100.0</v>
      </c>
      <c r="S1329" s="1" t="s">
        <v>353</v>
      </c>
      <c r="T1329" s="1" t="s">
        <v>423</v>
      </c>
      <c r="U1329" s="1"/>
    </row>
    <row r="1330">
      <c r="A1330" s="218">
        <v>45236.92763550926</v>
      </c>
      <c r="B1330" s="1" t="s">
        <v>70</v>
      </c>
      <c r="C1330" s="1" t="s">
        <v>198</v>
      </c>
      <c r="D1330" s="1">
        <v>6.0</v>
      </c>
      <c r="E1330" s="1">
        <v>3.0</v>
      </c>
      <c r="F1330" s="1" t="s">
        <v>1548</v>
      </c>
      <c r="G1330" s="218">
        <v>45241.8125</v>
      </c>
      <c r="H1330" s="1" t="s">
        <v>125</v>
      </c>
      <c r="I1330" s="1" t="s">
        <v>40</v>
      </c>
      <c r="J1330" s="219">
        <v>-12.5</v>
      </c>
      <c r="K1330" s="219">
        <v>-12.5</v>
      </c>
      <c r="L1330" s="219">
        <v>385.0</v>
      </c>
      <c r="M1330" s="219" t="s">
        <v>954</v>
      </c>
      <c r="N1330" s="1">
        <v>281.0</v>
      </c>
      <c r="O1330" s="1">
        <v>232.0</v>
      </c>
      <c r="P1330" s="1">
        <v>1.0</v>
      </c>
      <c r="Q1330" s="1" t="b">
        <v>1</v>
      </c>
      <c r="R1330" s="1">
        <v>100.0</v>
      </c>
      <c r="S1330" s="1" t="s">
        <v>407</v>
      </c>
      <c r="T1330" s="1" t="s">
        <v>423</v>
      </c>
      <c r="U1330" s="1"/>
    </row>
    <row r="1331">
      <c r="A1331" s="218">
        <v>45236.92763550926</v>
      </c>
      <c r="B1331" s="1" t="s">
        <v>70</v>
      </c>
      <c r="C1331" s="1" t="s">
        <v>196</v>
      </c>
      <c r="D1331" s="1">
        <v>6.0</v>
      </c>
      <c r="E1331" s="1">
        <v>3.0</v>
      </c>
      <c r="F1331" s="1" t="s">
        <v>1534</v>
      </c>
      <c r="G1331" s="218">
        <v>45241.5</v>
      </c>
      <c r="H1331" s="1" t="s">
        <v>60</v>
      </c>
      <c r="I1331" s="1" t="s">
        <v>76</v>
      </c>
      <c r="J1331" s="219">
        <v>9.5</v>
      </c>
      <c r="K1331" s="219">
        <v>10.5</v>
      </c>
      <c r="L1331" s="219">
        <v>-465.0</v>
      </c>
      <c r="M1331" s="219" t="s">
        <v>854</v>
      </c>
      <c r="N1331" s="1">
        <v>270.0</v>
      </c>
      <c r="O1331" s="1">
        <v>201.0</v>
      </c>
      <c r="P1331" s="1">
        <v>1.0</v>
      </c>
      <c r="Q1331" s="1" t="b">
        <v>1</v>
      </c>
      <c r="R1331" s="1">
        <v>100.0</v>
      </c>
      <c r="S1331" s="1" t="s">
        <v>292</v>
      </c>
      <c r="T1331" s="1" t="s">
        <v>422</v>
      </c>
      <c r="U1331" s="1"/>
    </row>
    <row r="1332">
      <c r="A1332" s="218">
        <v>45236.92763550926</v>
      </c>
      <c r="B1332" s="1" t="s">
        <v>70</v>
      </c>
      <c r="C1332" s="1" t="s">
        <v>192</v>
      </c>
      <c r="D1332" s="1">
        <v>7.0</v>
      </c>
      <c r="E1332" s="1">
        <v>2.0</v>
      </c>
      <c r="F1332" s="1" t="s">
        <v>1545</v>
      </c>
      <c r="G1332" s="218">
        <v>45241.5</v>
      </c>
      <c r="H1332" s="1" t="s">
        <v>46</v>
      </c>
      <c r="I1332" s="1" t="s">
        <v>96</v>
      </c>
      <c r="J1332" s="219">
        <v>-4.5</v>
      </c>
      <c r="K1332" s="219">
        <v>-3.5</v>
      </c>
      <c r="L1332" s="219">
        <v>146.0</v>
      </c>
      <c r="M1332" s="219" t="s">
        <v>969</v>
      </c>
      <c r="N1332" s="1">
        <v>314.0</v>
      </c>
      <c r="O1332" s="1">
        <v>246.0</v>
      </c>
      <c r="P1332" s="1">
        <v>1.0</v>
      </c>
      <c r="Q1332" s="1" t="b">
        <v>0</v>
      </c>
      <c r="R1332" s="1">
        <v>100.0</v>
      </c>
      <c r="S1332" s="1" t="s">
        <v>296</v>
      </c>
      <c r="T1332" s="1" t="s">
        <v>422</v>
      </c>
      <c r="U1332" s="1"/>
    </row>
    <row r="1333">
      <c r="A1333" s="218">
        <v>45236.92763550926</v>
      </c>
      <c r="B1333" s="1" t="s">
        <v>70</v>
      </c>
      <c r="C1333" s="1" t="s">
        <v>191</v>
      </c>
      <c r="D1333" s="1">
        <v>5.0</v>
      </c>
      <c r="E1333" s="1">
        <v>4.0</v>
      </c>
      <c r="F1333" s="1" t="s">
        <v>1549</v>
      </c>
      <c r="G1333" s="218">
        <v>45241.5</v>
      </c>
      <c r="H1333" s="1" t="s">
        <v>59</v>
      </c>
      <c r="I1333" s="1" t="s">
        <v>82</v>
      </c>
      <c r="J1333" s="219">
        <v>-13.0</v>
      </c>
      <c r="K1333" s="219">
        <v>-14.5</v>
      </c>
      <c r="L1333" s="219">
        <v>490.0</v>
      </c>
      <c r="M1333" s="219" t="s">
        <v>840</v>
      </c>
      <c r="N1333" s="1">
        <v>261.0</v>
      </c>
      <c r="O1333" s="1">
        <v>191.0</v>
      </c>
      <c r="P1333" s="1">
        <v>1.0</v>
      </c>
      <c r="Q1333" s="1" t="b">
        <v>0</v>
      </c>
      <c r="R1333" s="1">
        <v>100.0</v>
      </c>
      <c r="S1333" s="1" t="s">
        <v>301</v>
      </c>
      <c r="T1333" s="1" t="s">
        <v>422</v>
      </c>
      <c r="U1333" s="1"/>
    </row>
    <row r="1334">
      <c r="A1334" s="218">
        <v>45236.92763550926</v>
      </c>
      <c r="B1334" s="1" t="s">
        <v>70</v>
      </c>
      <c r="C1334" s="1" t="s">
        <v>195</v>
      </c>
      <c r="D1334" s="1">
        <v>3.0</v>
      </c>
      <c r="E1334" s="1">
        <v>6.0</v>
      </c>
      <c r="F1334" s="1" t="s">
        <v>1542</v>
      </c>
      <c r="G1334" s="218">
        <v>45241.5</v>
      </c>
      <c r="H1334" s="1" t="s">
        <v>46</v>
      </c>
      <c r="I1334" s="1" t="s">
        <v>888</v>
      </c>
      <c r="J1334" s="219">
        <v>7.0</v>
      </c>
      <c r="K1334" s="219">
        <v>6.5</v>
      </c>
      <c r="L1334" s="219">
        <v>184.0</v>
      </c>
      <c r="M1334" s="219" t="s">
        <v>867</v>
      </c>
      <c r="N1334" s="1">
        <v>169.0</v>
      </c>
      <c r="O1334" s="1">
        <v>252.0</v>
      </c>
      <c r="P1334" s="1">
        <v>1.0</v>
      </c>
      <c r="Q1334" s="1" t="b">
        <v>1</v>
      </c>
      <c r="R1334" s="1">
        <v>100.0</v>
      </c>
      <c r="S1334" s="1" t="s">
        <v>282</v>
      </c>
      <c r="T1334" s="1" t="s">
        <v>422</v>
      </c>
      <c r="U1334" s="1"/>
    </row>
    <row r="1335">
      <c r="A1335" s="218">
        <v>45236.92763550926</v>
      </c>
      <c r="B1335" s="1" t="s">
        <v>70</v>
      </c>
      <c r="C1335" s="1" t="s">
        <v>194</v>
      </c>
      <c r="D1335" s="1">
        <v>3.0</v>
      </c>
      <c r="E1335" s="1">
        <v>7.0</v>
      </c>
      <c r="F1335" s="1"/>
      <c r="G1335" s="218"/>
      <c r="H1335" s="1"/>
      <c r="I1335" s="1"/>
      <c r="J1335" s="219"/>
      <c r="K1335" s="219"/>
      <c r="L1335" s="219"/>
      <c r="M1335" s="219"/>
      <c r="N1335" s="1">
        <v>181.0</v>
      </c>
      <c r="O1335" s="1">
        <v>266.0</v>
      </c>
      <c r="P1335" s="1">
        <v>3.0</v>
      </c>
      <c r="Q1335" s="1" t="b">
        <v>1</v>
      </c>
      <c r="R1335" s="1">
        <v>100.0</v>
      </c>
      <c r="S1335" s="1" t="s">
        <v>351</v>
      </c>
      <c r="T1335" s="1" t="s">
        <v>423</v>
      </c>
      <c r="U1335" s="1"/>
    </row>
    <row r="1336">
      <c r="A1336" s="218">
        <v>45236.92763550926</v>
      </c>
      <c r="B1336" s="1"/>
      <c r="C1336" s="1"/>
      <c r="D1336" s="1"/>
      <c r="E1336" s="1"/>
      <c r="F1336" s="1"/>
      <c r="G1336" s="218"/>
      <c r="H1336" s="1"/>
      <c r="I1336" s="1"/>
      <c r="J1336" s="219"/>
      <c r="K1336" s="219"/>
      <c r="L1336" s="219"/>
      <c r="M1336" s="219"/>
      <c r="N1336" s="1"/>
      <c r="O1336" s="1"/>
      <c r="P1336" s="1"/>
      <c r="Q1336" s="1"/>
      <c r="R1336" s="1"/>
      <c r="S1336" s="1" t="e">
        <v>#N/A</v>
      </c>
      <c r="T1336" s="1" t="e">
        <v>#N/A</v>
      </c>
      <c r="U1336" s="1"/>
    </row>
    <row r="1337">
      <c r="A1337" s="218">
        <v>45236.92763550926</v>
      </c>
      <c r="B1337" s="1" t="s">
        <v>57</v>
      </c>
      <c r="C1337" s="1" t="s">
        <v>214</v>
      </c>
      <c r="D1337" s="1">
        <v>6.0</v>
      </c>
      <c r="E1337" s="1">
        <v>3.0</v>
      </c>
      <c r="F1337" s="1" t="s">
        <v>1546</v>
      </c>
      <c r="G1337" s="218">
        <v>45237.8125</v>
      </c>
      <c r="H1337" s="1" t="s">
        <v>70</v>
      </c>
      <c r="I1337" s="1" t="s">
        <v>36</v>
      </c>
      <c r="J1337" s="219">
        <v>-7.0</v>
      </c>
      <c r="K1337" s="219">
        <v>-7.0</v>
      </c>
      <c r="L1337" s="219">
        <v>-280.0</v>
      </c>
      <c r="M1337" s="219" t="s">
        <v>867</v>
      </c>
      <c r="N1337" s="1">
        <v>196.0</v>
      </c>
      <c r="O1337" s="1">
        <v>141.0</v>
      </c>
      <c r="P1337" s="1">
        <v>1.0</v>
      </c>
      <c r="Q1337" s="1" t="b">
        <v>0</v>
      </c>
      <c r="R1337" s="1">
        <v>100.0</v>
      </c>
      <c r="S1337" s="1" t="s">
        <v>352</v>
      </c>
      <c r="T1337" s="1" t="s">
        <v>423</v>
      </c>
      <c r="U1337" s="1"/>
    </row>
    <row r="1338">
      <c r="A1338" s="218">
        <v>45236.92763550926</v>
      </c>
      <c r="B1338" s="1" t="s">
        <v>57</v>
      </c>
      <c r="C1338" s="1" t="s">
        <v>202</v>
      </c>
      <c r="D1338" s="1">
        <v>7.0</v>
      </c>
      <c r="E1338" s="1">
        <v>2.0</v>
      </c>
      <c r="F1338" s="1" t="s">
        <v>1536</v>
      </c>
      <c r="G1338" s="218">
        <v>45240.94791666667</v>
      </c>
      <c r="H1338" s="1" t="s">
        <v>46</v>
      </c>
      <c r="I1338" s="1" t="s">
        <v>96</v>
      </c>
      <c r="J1338" s="219">
        <v>-3.5</v>
      </c>
      <c r="K1338" s="219">
        <v>-4.5</v>
      </c>
      <c r="L1338" s="219">
        <v>160.0</v>
      </c>
      <c r="M1338" s="219" t="s">
        <v>73</v>
      </c>
      <c r="N1338" s="1">
        <v>330.0</v>
      </c>
      <c r="O1338" s="1">
        <v>229.0</v>
      </c>
      <c r="P1338" s="1">
        <v>1.0</v>
      </c>
      <c r="Q1338" s="1" t="b">
        <v>0</v>
      </c>
      <c r="R1338" s="1">
        <v>100.0</v>
      </c>
      <c r="S1338" s="1" t="s">
        <v>353</v>
      </c>
      <c r="T1338" s="1" t="s">
        <v>423</v>
      </c>
      <c r="U1338" s="1"/>
    </row>
    <row r="1339">
      <c r="A1339" s="218">
        <v>45236.92763550926</v>
      </c>
      <c r="B1339" s="1" t="s">
        <v>57</v>
      </c>
      <c r="C1339" s="1" t="s">
        <v>208</v>
      </c>
      <c r="D1339" s="1">
        <v>4.0</v>
      </c>
      <c r="E1339" s="1">
        <v>5.0</v>
      </c>
      <c r="F1339" s="1" t="s">
        <v>1550</v>
      </c>
      <c r="G1339" s="218">
        <v>45241.58333333333</v>
      </c>
      <c r="H1339" s="1" t="s">
        <v>61</v>
      </c>
      <c r="I1339" s="1" t="s">
        <v>1019</v>
      </c>
      <c r="J1339" s="219">
        <v>2.5</v>
      </c>
      <c r="K1339" s="219">
        <v>2.5</v>
      </c>
      <c r="L1339" s="219">
        <v>-134.0</v>
      </c>
      <c r="M1339" s="219" t="s">
        <v>867</v>
      </c>
      <c r="N1339" s="1">
        <v>199.0</v>
      </c>
      <c r="O1339" s="1">
        <v>220.0</v>
      </c>
      <c r="P1339" s="1">
        <v>1.0</v>
      </c>
      <c r="Q1339" s="1" t="b">
        <v>0</v>
      </c>
      <c r="R1339" s="1">
        <v>100.0</v>
      </c>
      <c r="S1339" s="1" t="s">
        <v>301</v>
      </c>
      <c r="T1339" s="1" t="s">
        <v>422</v>
      </c>
      <c r="U1339" s="1"/>
    </row>
    <row r="1340">
      <c r="A1340" s="218">
        <v>45236.92763550926</v>
      </c>
      <c r="B1340" s="1" t="s">
        <v>57</v>
      </c>
      <c r="C1340" s="1" t="s">
        <v>201</v>
      </c>
      <c r="D1340" s="1">
        <v>7.0</v>
      </c>
      <c r="E1340" s="1">
        <v>3.0</v>
      </c>
      <c r="F1340" s="1" t="s">
        <v>1551</v>
      </c>
      <c r="G1340" s="218">
        <v>45241.64583333333</v>
      </c>
      <c r="H1340" s="1" t="s">
        <v>62</v>
      </c>
      <c r="I1340" s="1" t="s">
        <v>935</v>
      </c>
      <c r="J1340" s="219">
        <v>5.5</v>
      </c>
      <c r="K1340" s="219">
        <v>4.5</v>
      </c>
      <c r="L1340" s="219">
        <v>176.0</v>
      </c>
      <c r="M1340" s="219" t="s">
        <v>235</v>
      </c>
      <c r="N1340" s="1">
        <v>278.0</v>
      </c>
      <c r="O1340" s="1">
        <v>200.0</v>
      </c>
      <c r="P1340" s="1">
        <v>1.0</v>
      </c>
      <c r="Q1340" s="1" t="b">
        <v>1</v>
      </c>
      <c r="R1340" s="1">
        <v>100.0</v>
      </c>
      <c r="S1340" s="1" t="s">
        <v>351</v>
      </c>
      <c r="T1340" s="1" t="s">
        <v>423</v>
      </c>
      <c r="U1340" s="1"/>
    </row>
    <row r="1341">
      <c r="A1341" s="218">
        <v>45236.92763550926</v>
      </c>
      <c r="B1341" s="1" t="s">
        <v>57</v>
      </c>
      <c r="C1341" s="1" t="s">
        <v>206</v>
      </c>
      <c r="D1341" s="1">
        <v>6.0</v>
      </c>
      <c r="E1341" s="1">
        <v>3.0</v>
      </c>
      <c r="F1341" s="1" t="s">
        <v>1521</v>
      </c>
      <c r="G1341" s="218">
        <v>45241.64583333333</v>
      </c>
      <c r="H1341" s="1" t="s">
        <v>56</v>
      </c>
      <c r="I1341" s="1" t="s">
        <v>935</v>
      </c>
      <c r="J1341" s="219">
        <v>-1.5</v>
      </c>
      <c r="K1341" s="219">
        <v>1.5</v>
      </c>
      <c r="L1341" s="219">
        <v>-122.0</v>
      </c>
      <c r="M1341" s="219" t="s">
        <v>969</v>
      </c>
      <c r="N1341" s="1">
        <v>270.0</v>
      </c>
      <c r="O1341" s="1">
        <v>189.0</v>
      </c>
      <c r="P1341" s="1">
        <v>1.0</v>
      </c>
      <c r="Q1341" s="1" t="b">
        <v>0</v>
      </c>
      <c r="R1341" s="1">
        <v>100.0</v>
      </c>
      <c r="S1341" s="1" t="s">
        <v>355</v>
      </c>
      <c r="T1341" s="1" t="s">
        <v>423</v>
      </c>
      <c r="U1341" s="1"/>
    </row>
    <row r="1342">
      <c r="A1342" s="218">
        <v>45236.92763550926</v>
      </c>
      <c r="B1342" s="1" t="s">
        <v>57</v>
      </c>
      <c r="C1342" s="1" t="s">
        <v>213</v>
      </c>
      <c r="D1342" s="1">
        <v>3.0</v>
      </c>
      <c r="E1342" s="1">
        <v>6.0</v>
      </c>
      <c r="F1342" s="1" t="s">
        <v>1514</v>
      </c>
      <c r="G1342" s="218">
        <v>45241.66666666667</v>
      </c>
      <c r="H1342" s="1" t="s">
        <v>58</v>
      </c>
      <c r="I1342" s="1" t="s">
        <v>945</v>
      </c>
      <c r="J1342" s="219">
        <v>-1.5</v>
      </c>
      <c r="K1342" s="219">
        <v>-2.5</v>
      </c>
      <c r="L1342" s="219">
        <v>125.0</v>
      </c>
      <c r="M1342" s="219" t="s">
        <v>937</v>
      </c>
      <c r="N1342" s="1">
        <v>251.0</v>
      </c>
      <c r="O1342" s="1">
        <v>219.0</v>
      </c>
      <c r="P1342" s="1">
        <v>1.0</v>
      </c>
      <c r="Q1342" s="1" t="b">
        <v>0</v>
      </c>
      <c r="R1342" s="1">
        <v>100.0</v>
      </c>
      <c r="S1342" s="1" t="s">
        <v>292</v>
      </c>
      <c r="T1342" s="1" t="s">
        <v>422</v>
      </c>
      <c r="U1342" s="1"/>
    </row>
    <row r="1343">
      <c r="A1343" s="218">
        <v>45236.92763550926</v>
      </c>
      <c r="B1343" s="1" t="s">
        <v>57</v>
      </c>
      <c r="C1343" s="1" t="s">
        <v>210</v>
      </c>
      <c r="D1343" s="1">
        <v>4.0</v>
      </c>
      <c r="E1343" s="1">
        <v>5.0</v>
      </c>
      <c r="F1343" s="1" t="s">
        <v>1552</v>
      </c>
      <c r="G1343" s="218">
        <v>45241.79166666667</v>
      </c>
      <c r="H1343" s="1" t="s">
        <v>62</v>
      </c>
      <c r="I1343" s="1" t="s">
        <v>96</v>
      </c>
      <c r="J1343" s="219">
        <v>-3.5</v>
      </c>
      <c r="K1343" s="219">
        <v>-2.5</v>
      </c>
      <c r="L1343" s="219">
        <v>108.0</v>
      </c>
      <c r="M1343" s="219" t="s">
        <v>68</v>
      </c>
      <c r="N1343" s="1">
        <v>227.0</v>
      </c>
      <c r="O1343" s="1">
        <v>284.0</v>
      </c>
      <c r="P1343" s="1">
        <v>1.0</v>
      </c>
      <c r="Q1343" s="1" t="b">
        <v>1</v>
      </c>
      <c r="R1343" s="1">
        <v>100.0</v>
      </c>
      <c r="S1343" s="1" t="s">
        <v>296</v>
      </c>
      <c r="T1343" s="1" t="s">
        <v>422</v>
      </c>
      <c r="U1343" s="1"/>
    </row>
    <row r="1344">
      <c r="A1344" s="218">
        <v>45236.92763550926</v>
      </c>
      <c r="B1344" s="1" t="s">
        <v>57</v>
      </c>
      <c r="C1344" s="1" t="s">
        <v>200</v>
      </c>
      <c r="D1344" s="1">
        <v>9.0</v>
      </c>
      <c r="E1344" s="1">
        <v>0.0</v>
      </c>
      <c r="F1344" s="1" t="s">
        <v>1532</v>
      </c>
      <c r="G1344" s="218">
        <v>45241.8125</v>
      </c>
      <c r="H1344" s="1" t="s">
        <v>60</v>
      </c>
      <c r="I1344" s="1" t="s">
        <v>90</v>
      </c>
      <c r="J1344" s="219">
        <v>-24.5</v>
      </c>
      <c r="K1344" s="219">
        <v>-31.5</v>
      </c>
      <c r="L1344" s="219">
        <v>2000.0</v>
      </c>
      <c r="M1344" s="219" t="s">
        <v>906</v>
      </c>
      <c r="N1344" s="1">
        <v>295.0</v>
      </c>
      <c r="O1344" s="1">
        <v>96.0</v>
      </c>
      <c r="P1344" s="1">
        <v>1.0</v>
      </c>
      <c r="Q1344" s="1" t="b">
        <v>0</v>
      </c>
      <c r="R1344" s="1">
        <v>100.0</v>
      </c>
      <c r="S1344" s="1" t="s">
        <v>282</v>
      </c>
      <c r="T1344" s="1" t="s">
        <v>422</v>
      </c>
      <c r="U1344" s="1"/>
    </row>
    <row r="1345">
      <c r="A1345" s="218">
        <v>45236.92763550926</v>
      </c>
      <c r="B1345" s="1" t="s">
        <v>57</v>
      </c>
      <c r="C1345" s="1" t="s">
        <v>204</v>
      </c>
      <c r="D1345" s="1">
        <v>7.0</v>
      </c>
      <c r="E1345" s="1">
        <v>3.0</v>
      </c>
      <c r="F1345" s="1" t="s">
        <v>1506</v>
      </c>
      <c r="G1345" s="218">
        <v>45241.9375</v>
      </c>
      <c r="H1345" s="1" t="s">
        <v>35</v>
      </c>
      <c r="I1345" s="1" t="s">
        <v>92</v>
      </c>
      <c r="J1345" s="219">
        <v>4.5</v>
      </c>
      <c r="K1345" s="219">
        <v>14.5</v>
      </c>
      <c r="L1345" s="219">
        <v>570.0</v>
      </c>
      <c r="M1345" s="219" t="s">
        <v>1507</v>
      </c>
      <c r="N1345" s="1">
        <v>455.0</v>
      </c>
      <c r="O1345" s="1">
        <v>345.0</v>
      </c>
      <c r="P1345" s="1">
        <v>1.0</v>
      </c>
      <c r="Q1345" s="1" t="b">
        <v>1</v>
      </c>
      <c r="R1345" s="1">
        <v>100.0</v>
      </c>
      <c r="S1345" s="1" t="s">
        <v>354</v>
      </c>
      <c r="T1345" s="1" t="s">
        <v>422</v>
      </c>
      <c r="U1345" s="1"/>
    </row>
    <row r="1346">
      <c r="A1346" s="218">
        <v>45236.92763550926</v>
      </c>
      <c r="B1346" s="1" t="s">
        <v>57</v>
      </c>
      <c r="C1346" s="1" t="s">
        <v>207</v>
      </c>
      <c r="D1346" s="1">
        <v>3.0</v>
      </c>
      <c r="E1346" s="1">
        <v>6.0</v>
      </c>
      <c r="F1346" s="1" t="s">
        <v>1543</v>
      </c>
      <c r="G1346" s="218">
        <v>45241.5</v>
      </c>
      <c r="H1346" s="1" t="s">
        <v>46</v>
      </c>
      <c r="I1346" s="1" t="s">
        <v>36</v>
      </c>
      <c r="J1346" s="219">
        <v>20.5</v>
      </c>
      <c r="K1346" s="219">
        <v>22.5</v>
      </c>
      <c r="L1346" s="219">
        <v>1100.0</v>
      </c>
      <c r="M1346" s="219" t="s">
        <v>73</v>
      </c>
      <c r="N1346" s="1">
        <v>202.0</v>
      </c>
      <c r="O1346" s="1">
        <v>320.0</v>
      </c>
      <c r="P1346" s="1">
        <v>1.0</v>
      </c>
      <c r="Q1346" s="1" t="b">
        <v>1</v>
      </c>
      <c r="R1346" s="1">
        <v>100.0</v>
      </c>
      <c r="S1346" s="1" t="s">
        <v>407</v>
      </c>
      <c r="T1346" s="1" t="s">
        <v>423</v>
      </c>
      <c r="U1346" s="1"/>
    </row>
    <row r="1347">
      <c r="A1347" s="218">
        <v>45236.92763550926</v>
      </c>
      <c r="B1347" s="1"/>
      <c r="C1347" s="1"/>
      <c r="D1347" s="1"/>
      <c r="E1347" s="1"/>
      <c r="F1347" s="1"/>
      <c r="G1347" s="218"/>
      <c r="H1347" s="1"/>
      <c r="I1347" s="1"/>
      <c r="J1347" s="219"/>
      <c r="K1347" s="219"/>
      <c r="L1347" s="219"/>
      <c r="M1347" s="219"/>
      <c r="N1347" s="1"/>
      <c r="O1347" s="1"/>
      <c r="P1347" s="1"/>
      <c r="Q1347" s="1"/>
      <c r="R1347" s="1"/>
      <c r="S1347" s="1" t="e">
        <v>#N/A</v>
      </c>
      <c r="T1347" s="1" t="e">
        <v>#N/A</v>
      </c>
      <c r="U1347" s="1"/>
    </row>
    <row r="1348">
      <c r="A1348" s="218">
        <v>45236.92763550926</v>
      </c>
      <c r="B1348" s="1" t="s">
        <v>67</v>
      </c>
      <c r="C1348" s="1" t="s">
        <v>226</v>
      </c>
      <c r="D1348" s="1">
        <v>5.0</v>
      </c>
      <c r="E1348" s="1">
        <v>4.0</v>
      </c>
      <c r="F1348" s="1" t="s">
        <v>1499</v>
      </c>
      <c r="G1348" s="218">
        <v>45238.79166666667</v>
      </c>
      <c r="H1348" s="1" t="s">
        <v>35</v>
      </c>
      <c r="I1348" s="1" t="s">
        <v>99</v>
      </c>
      <c r="J1348" s="219">
        <v>-6.5</v>
      </c>
      <c r="K1348" s="219">
        <v>-8.5</v>
      </c>
      <c r="L1348" s="219">
        <v>-330.0</v>
      </c>
      <c r="M1348" s="219" t="s">
        <v>1361</v>
      </c>
      <c r="N1348" s="1">
        <v>202.0</v>
      </c>
      <c r="O1348" s="1">
        <v>221.0</v>
      </c>
      <c r="P1348" s="1">
        <v>1.0</v>
      </c>
      <c r="Q1348" s="1" t="b">
        <v>1</v>
      </c>
      <c r="R1348" s="1">
        <v>100.0</v>
      </c>
      <c r="S1348" s="1" t="s">
        <v>352</v>
      </c>
      <c r="T1348" s="1" t="s">
        <v>423</v>
      </c>
      <c r="U1348" s="1"/>
    </row>
    <row r="1349">
      <c r="A1349" s="218">
        <v>45236.92763550926</v>
      </c>
      <c r="B1349" s="1" t="s">
        <v>67</v>
      </c>
      <c r="C1349" s="1" t="s">
        <v>221</v>
      </c>
      <c r="D1349" s="1">
        <v>3.0</v>
      </c>
      <c r="E1349" s="1">
        <v>6.0</v>
      </c>
      <c r="F1349" s="1" t="s">
        <v>1530</v>
      </c>
      <c r="G1349" s="218">
        <v>45240.875</v>
      </c>
      <c r="H1349" s="1" t="s">
        <v>60</v>
      </c>
      <c r="I1349" s="1" t="s">
        <v>36</v>
      </c>
      <c r="J1349" s="219">
        <v>13.5</v>
      </c>
      <c r="K1349" s="219">
        <v>16.5</v>
      </c>
      <c r="L1349" s="219">
        <v>640.0</v>
      </c>
      <c r="M1349" s="219" t="s">
        <v>871</v>
      </c>
      <c r="N1349" s="1">
        <v>313.0</v>
      </c>
      <c r="O1349" s="1">
        <v>330.0</v>
      </c>
      <c r="P1349" s="1">
        <v>1.0</v>
      </c>
      <c r="Q1349" s="1" t="b">
        <v>1</v>
      </c>
      <c r="R1349" s="1">
        <v>100.0</v>
      </c>
      <c r="S1349" s="1" t="s">
        <v>407</v>
      </c>
      <c r="T1349" s="1" t="s">
        <v>423</v>
      </c>
      <c r="U1349" s="1"/>
    </row>
    <row r="1350">
      <c r="A1350" s="218">
        <v>45236.92763550926</v>
      </c>
      <c r="B1350" s="1" t="s">
        <v>67</v>
      </c>
      <c r="C1350" s="1" t="s">
        <v>217</v>
      </c>
      <c r="D1350" s="1">
        <v>6.0</v>
      </c>
      <c r="E1350" s="1">
        <v>3.0</v>
      </c>
      <c r="F1350" s="1" t="s">
        <v>1553</v>
      </c>
      <c r="G1350" s="218">
        <v>45241.58333333333</v>
      </c>
      <c r="H1350" s="1" t="s">
        <v>61</v>
      </c>
      <c r="I1350" s="1" t="s">
        <v>287</v>
      </c>
      <c r="J1350" s="219">
        <v>-8.5</v>
      </c>
      <c r="K1350" s="219">
        <v>-9.5</v>
      </c>
      <c r="L1350" s="219">
        <v>-375.0</v>
      </c>
      <c r="M1350" s="219" t="s">
        <v>840</v>
      </c>
      <c r="N1350" s="1">
        <v>277.0</v>
      </c>
      <c r="O1350" s="1">
        <v>178.0</v>
      </c>
      <c r="P1350" s="1">
        <v>1.0</v>
      </c>
      <c r="Q1350" s="1" t="b">
        <v>0</v>
      </c>
      <c r="R1350" s="1">
        <v>100.0</v>
      </c>
      <c r="S1350" s="1" t="s">
        <v>354</v>
      </c>
      <c r="T1350" s="1" t="s">
        <v>422</v>
      </c>
      <c r="U1350" s="1"/>
    </row>
    <row r="1351">
      <c r="A1351" s="218">
        <v>45236.92763550926</v>
      </c>
      <c r="B1351" s="1" t="s">
        <v>67</v>
      </c>
      <c r="C1351" s="1" t="s">
        <v>218</v>
      </c>
      <c r="D1351" s="1">
        <v>2.0</v>
      </c>
      <c r="E1351" s="1">
        <v>7.0</v>
      </c>
      <c r="F1351" s="1" t="s">
        <v>1537</v>
      </c>
      <c r="G1351" s="218">
        <v>45241.58333333333</v>
      </c>
      <c r="H1351" s="1" t="s">
        <v>46</v>
      </c>
      <c r="I1351" s="1" t="s">
        <v>935</v>
      </c>
      <c r="J1351" s="219">
        <v>20.5</v>
      </c>
      <c r="K1351" s="219">
        <v>20.5</v>
      </c>
      <c r="L1351" s="219">
        <v>-2100.0</v>
      </c>
      <c r="M1351" s="219" t="s">
        <v>852</v>
      </c>
      <c r="N1351" s="1">
        <v>170.0</v>
      </c>
      <c r="O1351" s="1">
        <v>287.0</v>
      </c>
      <c r="P1351" s="1">
        <v>1.0</v>
      </c>
      <c r="Q1351" s="1" t="b">
        <v>1</v>
      </c>
      <c r="R1351" s="1">
        <v>100.0</v>
      </c>
      <c r="S1351" s="1" t="s">
        <v>353</v>
      </c>
      <c r="T1351" s="1" t="s">
        <v>423</v>
      </c>
      <c r="U1351" s="1"/>
    </row>
    <row r="1352">
      <c r="A1352" s="218">
        <v>45236.92763550926</v>
      </c>
      <c r="B1352" s="1" t="s">
        <v>67</v>
      </c>
      <c r="C1352" s="1" t="s">
        <v>220</v>
      </c>
      <c r="D1352" s="1">
        <v>4.0</v>
      </c>
      <c r="E1352" s="1">
        <v>5.0</v>
      </c>
      <c r="F1352" s="1" t="s">
        <v>1554</v>
      </c>
      <c r="G1352" s="218">
        <v>45241.64583333333</v>
      </c>
      <c r="H1352" s="1" t="s">
        <v>61</v>
      </c>
      <c r="I1352" s="1"/>
      <c r="J1352" s="219"/>
      <c r="K1352" s="219"/>
      <c r="L1352" s="219"/>
      <c r="M1352" s="219"/>
      <c r="N1352" s="1">
        <v>187.0</v>
      </c>
      <c r="O1352" s="1">
        <v>257.0</v>
      </c>
      <c r="P1352" s="1">
        <v>1.0</v>
      </c>
      <c r="Q1352" s="1" t="b">
        <v>0</v>
      </c>
      <c r="R1352" s="1">
        <v>100.0</v>
      </c>
      <c r="S1352" s="1" t="s">
        <v>351</v>
      </c>
      <c r="T1352" s="1" t="s">
        <v>423</v>
      </c>
      <c r="U1352" s="1"/>
    </row>
    <row r="1353">
      <c r="A1353" s="218">
        <v>45236.92763550926</v>
      </c>
      <c r="B1353" s="1" t="s">
        <v>67</v>
      </c>
      <c r="C1353" s="1" t="s">
        <v>222</v>
      </c>
      <c r="D1353" s="1">
        <v>2.0</v>
      </c>
      <c r="E1353" s="1">
        <v>7.0</v>
      </c>
      <c r="F1353" s="1" t="s">
        <v>1513</v>
      </c>
      <c r="G1353" s="218">
        <v>45241.64583333333</v>
      </c>
      <c r="H1353" s="1" t="s">
        <v>58</v>
      </c>
      <c r="I1353" s="1" t="s">
        <v>90</v>
      </c>
      <c r="J1353" s="219">
        <v>2.5</v>
      </c>
      <c r="K1353" s="219">
        <v>1.5</v>
      </c>
      <c r="L1353" s="219">
        <v>-118.0</v>
      </c>
      <c r="M1353" s="219" t="s">
        <v>852</v>
      </c>
      <c r="N1353" s="1">
        <v>188.0</v>
      </c>
      <c r="O1353" s="1">
        <v>281.0</v>
      </c>
      <c r="P1353" s="1">
        <v>1.0</v>
      </c>
      <c r="Q1353" s="1" t="b">
        <v>0</v>
      </c>
      <c r="R1353" s="1">
        <v>100.0</v>
      </c>
      <c r="S1353" s="1" t="s">
        <v>282</v>
      </c>
      <c r="T1353" s="1" t="s">
        <v>422</v>
      </c>
      <c r="U1353" s="1"/>
    </row>
    <row r="1354">
      <c r="A1354" s="218">
        <v>45236.92763550926</v>
      </c>
      <c r="B1354" s="1" t="s">
        <v>67</v>
      </c>
      <c r="C1354" s="1" t="s">
        <v>205</v>
      </c>
      <c r="D1354" s="1">
        <v>4.0</v>
      </c>
      <c r="E1354" s="1">
        <v>5.0</v>
      </c>
      <c r="F1354" s="1" t="s">
        <v>1555</v>
      </c>
      <c r="G1354" s="218">
        <v>45241.70833333333</v>
      </c>
      <c r="H1354" s="1" t="s">
        <v>69</v>
      </c>
      <c r="I1354" s="1" t="s">
        <v>935</v>
      </c>
      <c r="J1354" s="219">
        <v>-11.5</v>
      </c>
      <c r="K1354" s="219">
        <v>-10.5</v>
      </c>
      <c r="L1354" s="219">
        <v>350.0</v>
      </c>
      <c r="M1354" s="219" t="s">
        <v>840</v>
      </c>
      <c r="N1354" s="1">
        <v>278.0</v>
      </c>
      <c r="O1354" s="1">
        <v>197.0</v>
      </c>
      <c r="P1354" s="1">
        <v>1.0</v>
      </c>
      <c r="Q1354" s="1" t="b">
        <v>1</v>
      </c>
      <c r="R1354" s="1">
        <v>100.0</v>
      </c>
      <c r="S1354" s="1" t="s">
        <v>355</v>
      </c>
      <c r="T1354" s="1" t="s">
        <v>423</v>
      </c>
      <c r="U1354" s="1"/>
    </row>
    <row r="1355">
      <c r="A1355" s="218">
        <v>45236.92763550926</v>
      </c>
      <c r="B1355" s="1" t="s">
        <v>67</v>
      </c>
      <c r="C1355" s="1" t="s">
        <v>225</v>
      </c>
      <c r="D1355" s="1">
        <v>8.0</v>
      </c>
      <c r="E1355" s="1">
        <v>1.0</v>
      </c>
      <c r="F1355" s="1" t="s">
        <v>1504</v>
      </c>
      <c r="G1355" s="218">
        <v>45241.79166666667</v>
      </c>
      <c r="H1355" s="1" t="s">
        <v>35</v>
      </c>
      <c r="I1355" s="1" t="s">
        <v>76</v>
      </c>
      <c r="J1355" s="219">
        <v>11.5</v>
      </c>
      <c r="K1355" s="219">
        <v>11.5</v>
      </c>
      <c r="L1355" s="219">
        <v>390.0</v>
      </c>
      <c r="M1355" s="219" t="s">
        <v>203</v>
      </c>
      <c r="N1355" s="1">
        <v>349.0</v>
      </c>
      <c r="O1355" s="1">
        <v>206.0</v>
      </c>
      <c r="P1355" s="1">
        <v>1.0</v>
      </c>
      <c r="Q1355" s="1" t="b">
        <v>0</v>
      </c>
      <c r="R1355" s="1">
        <v>100.0</v>
      </c>
      <c r="S1355" s="1" t="s">
        <v>292</v>
      </c>
      <c r="T1355" s="1" t="s">
        <v>422</v>
      </c>
      <c r="U1355" s="1"/>
    </row>
    <row r="1356">
      <c r="A1356" s="218">
        <v>45236.92763550926</v>
      </c>
      <c r="B1356" s="1" t="s">
        <v>67</v>
      </c>
      <c r="C1356" s="1" t="s">
        <v>223</v>
      </c>
      <c r="D1356" s="1">
        <v>4.0</v>
      </c>
      <c r="E1356" s="1">
        <v>5.0</v>
      </c>
      <c r="F1356" s="1" t="s">
        <v>1556</v>
      </c>
      <c r="G1356" s="218">
        <v>45241.8125</v>
      </c>
      <c r="H1356" s="1" t="s">
        <v>125</v>
      </c>
      <c r="I1356" s="1" t="s">
        <v>82</v>
      </c>
      <c r="J1356" s="219">
        <v>8.0</v>
      </c>
      <c r="K1356" s="219">
        <v>9.5</v>
      </c>
      <c r="L1356" s="219">
        <v>-385.0</v>
      </c>
      <c r="M1356" s="219" t="s">
        <v>114</v>
      </c>
      <c r="N1356" s="1">
        <v>263.0</v>
      </c>
      <c r="O1356" s="1">
        <v>219.0</v>
      </c>
      <c r="P1356" s="1">
        <v>1.0</v>
      </c>
      <c r="Q1356" s="1" t="b">
        <v>1</v>
      </c>
      <c r="R1356" s="1">
        <v>100.0</v>
      </c>
      <c r="S1356" s="1" t="s">
        <v>296</v>
      </c>
      <c r="T1356" s="1" t="s">
        <v>422</v>
      </c>
      <c r="U1356" s="1"/>
    </row>
    <row r="1357">
      <c r="A1357" s="218">
        <v>45236.92763550926</v>
      </c>
      <c r="B1357" s="1" t="s">
        <v>67</v>
      </c>
      <c r="C1357" s="1" t="s">
        <v>216</v>
      </c>
      <c r="D1357" s="1">
        <v>7.0</v>
      </c>
      <c r="E1357" s="1">
        <v>2.0</v>
      </c>
      <c r="F1357" s="1" t="s">
        <v>1541</v>
      </c>
      <c r="G1357" s="218">
        <v>45241.83333333333</v>
      </c>
      <c r="H1357" s="1" t="s">
        <v>46</v>
      </c>
      <c r="I1357" s="1" t="s">
        <v>900</v>
      </c>
      <c r="J1357" s="219">
        <v>-8.5</v>
      </c>
      <c r="K1357" s="219">
        <v>-10.5</v>
      </c>
      <c r="L1357" s="219">
        <v>390.0</v>
      </c>
      <c r="M1357" s="219" t="s">
        <v>937</v>
      </c>
      <c r="N1357" s="1">
        <v>352.0</v>
      </c>
      <c r="O1357" s="1">
        <v>210.0</v>
      </c>
      <c r="P1357" s="1">
        <v>1.0</v>
      </c>
      <c r="Q1357" s="1" t="b">
        <v>0</v>
      </c>
      <c r="R1357" s="1">
        <v>100.0</v>
      </c>
      <c r="S1357" s="1" t="s">
        <v>301</v>
      </c>
      <c r="T1357" s="1" t="s">
        <v>422</v>
      </c>
      <c r="U1357" s="1"/>
    </row>
    <row r="1358">
      <c r="A1358" s="218">
        <v>45236.92763550926</v>
      </c>
      <c r="B1358" s="1"/>
      <c r="C1358" s="1"/>
      <c r="D1358" s="1"/>
      <c r="E1358" s="1"/>
      <c r="F1358" s="1"/>
      <c r="G1358" s="218"/>
      <c r="H1358" s="1"/>
      <c r="I1358" s="1"/>
      <c r="J1358" s="219"/>
      <c r="K1358" s="219"/>
      <c r="L1358" s="219"/>
      <c r="M1358" s="219"/>
      <c r="N1358" s="1"/>
      <c r="O1358" s="1"/>
      <c r="P1358" s="1"/>
      <c r="Q1358" s="1"/>
      <c r="R1358" s="1"/>
      <c r="S1358" s="1" t="e">
        <v>#N/A</v>
      </c>
      <c r="T1358" s="1" t="e">
        <v>#N/A</v>
      </c>
      <c r="U1358" s="1"/>
    </row>
    <row r="1359">
      <c r="A1359" s="218">
        <v>45236.92763550926</v>
      </c>
      <c r="B1359" s="1" t="s">
        <v>59</v>
      </c>
      <c r="C1359" s="1" t="s">
        <v>238</v>
      </c>
      <c r="D1359" s="1">
        <v>4.0</v>
      </c>
      <c r="E1359" s="1">
        <v>5.0</v>
      </c>
      <c r="F1359" s="1" t="s">
        <v>1520</v>
      </c>
      <c r="G1359" s="218">
        <v>45238.8125</v>
      </c>
      <c r="H1359" s="1" t="s">
        <v>56</v>
      </c>
      <c r="I1359" s="1" t="s">
        <v>36</v>
      </c>
      <c r="J1359" s="219"/>
      <c r="K1359" s="219"/>
      <c r="L1359" s="219"/>
      <c r="M1359" s="219"/>
      <c r="N1359" s="1">
        <v>167.0</v>
      </c>
      <c r="O1359" s="1">
        <v>201.0</v>
      </c>
      <c r="P1359" s="1">
        <v>1.0</v>
      </c>
      <c r="Q1359" s="1" t="b">
        <v>1</v>
      </c>
      <c r="R1359" s="1">
        <v>100.0</v>
      </c>
      <c r="S1359" s="1" t="s">
        <v>352</v>
      </c>
      <c r="T1359" s="1" t="s">
        <v>423</v>
      </c>
      <c r="U1359" s="1"/>
    </row>
    <row r="1360">
      <c r="A1360" s="218">
        <v>45236.92763550926</v>
      </c>
      <c r="B1360" s="1" t="s">
        <v>59</v>
      </c>
      <c r="C1360" s="1" t="s">
        <v>232</v>
      </c>
      <c r="D1360" s="1">
        <v>6.0</v>
      </c>
      <c r="E1360" s="1">
        <v>3.0</v>
      </c>
      <c r="F1360" s="1" t="s">
        <v>1500</v>
      </c>
      <c r="G1360" s="218">
        <v>45241.58333333333</v>
      </c>
      <c r="H1360" s="1" t="s">
        <v>35</v>
      </c>
      <c r="I1360" s="1" t="s">
        <v>935</v>
      </c>
      <c r="J1360" s="219">
        <v>-2.5</v>
      </c>
      <c r="K1360" s="219">
        <v>-2.5</v>
      </c>
      <c r="L1360" s="219">
        <v>126.0</v>
      </c>
      <c r="M1360" s="219" t="s">
        <v>969</v>
      </c>
      <c r="N1360" s="1">
        <v>257.0</v>
      </c>
      <c r="O1360" s="1">
        <v>246.0</v>
      </c>
      <c r="P1360" s="1">
        <v>1.0</v>
      </c>
      <c r="Q1360" s="1" t="b">
        <v>0</v>
      </c>
      <c r="R1360" s="1">
        <v>100.0</v>
      </c>
      <c r="S1360" s="1" t="s">
        <v>355</v>
      </c>
      <c r="T1360" s="1" t="s">
        <v>423</v>
      </c>
      <c r="U1360" s="1"/>
    </row>
    <row r="1361">
      <c r="A1361" s="218">
        <v>45236.92763550926</v>
      </c>
      <c r="B1361" s="1" t="s">
        <v>59</v>
      </c>
      <c r="C1361" s="1" t="s">
        <v>236</v>
      </c>
      <c r="D1361" s="1">
        <v>1.0</v>
      </c>
      <c r="E1361" s="1">
        <v>8.0</v>
      </c>
      <c r="F1361" s="1" t="s">
        <v>1557</v>
      </c>
      <c r="G1361" s="218">
        <v>45241.58333333333</v>
      </c>
      <c r="H1361" s="1" t="s">
        <v>125</v>
      </c>
      <c r="I1361" s="1" t="s">
        <v>935</v>
      </c>
      <c r="J1361" s="219">
        <v>26.5</v>
      </c>
      <c r="K1361" s="219">
        <v>26.5</v>
      </c>
      <c r="L1361" s="219">
        <v>1400.0</v>
      </c>
      <c r="M1361" s="219" t="s">
        <v>854</v>
      </c>
      <c r="N1361" s="1">
        <v>161.0</v>
      </c>
      <c r="O1361" s="1">
        <v>293.0</v>
      </c>
      <c r="P1361" s="1">
        <v>1.0</v>
      </c>
      <c r="Q1361" s="1" t="b">
        <v>1</v>
      </c>
      <c r="R1361" s="1">
        <v>100.0</v>
      </c>
      <c r="S1361" s="1" t="s">
        <v>351</v>
      </c>
      <c r="T1361" s="1" t="s">
        <v>423</v>
      </c>
      <c r="U1361" s="1"/>
    </row>
    <row r="1362">
      <c r="A1362" s="218">
        <v>45236.92763550926</v>
      </c>
      <c r="B1362" s="1" t="s">
        <v>59</v>
      </c>
      <c r="C1362" s="1" t="s">
        <v>230</v>
      </c>
      <c r="D1362" s="1">
        <v>3.0</v>
      </c>
      <c r="E1362" s="1">
        <v>6.0</v>
      </c>
      <c r="F1362" s="1" t="s">
        <v>1502</v>
      </c>
      <c r="G1362" s="218">
        <v>45241.625</v>
      </c>
      <c r="H1362" s="1" t="s">
        <v>35</v>
      </c>
      <c r="I1362" s="1" t="s">
        <v>935</v>
      </c>
      <c r="J1362" s="219">
        <v>17.0</v>
      </c>
      <c r="K1362" s="219">
        <v>20.5</v>
      </c>
      <c r="L1362" s="219">
        <v>890.0</v>
      </c>
      <c r="M1362" s="219" t="s">
        <v>840</v>
      </c>
      <c r="N1362" s="1">
        <v>204.0</v>
      </c>
      <c r="O1362" s="1">
        <v>265.0</v>
      </c>
      <c r="P1362" s="1">
        <v>1.0</v>
      </c>
      <c r="Q1362" s="1" t="b">
        <v>1</v>
      </c>
      <c r="R1362" s="1">
        <v>100.0</v>
      </c>
      <c r="S1362" s="1" t="s">
        <v>296</v>
      </c>
      <c r="T1362" s="1" t="s">
        <v>422</v>
      </c>
      <c r="U1362" s="1"/>
    </row>
    <row r="1363">
      <c r="A1363" s="218">
        <v>45236.92763550926</v>
      </c>
      <c r="B1363" s="1" t="s">
        <v>59</v>
      </c>
      <c r="C1363" s="1" t="s">
        <v>237</v>
      </c>
      <c r="D1363" s="1">
        <v>7.0</v>
      </c>
      <c r="E1363" s="1">
        <v>2.0</v>
      </c>
      <c r="F1363" s="1" t="s">
        <v>1558</v>
      </c>
      <c r="G1363" s="218">
        <v>45241.64583333333</v>
      </c>
      <c r="H1363" s="1" t="s">
        <v>61</v>
      </c>
      <c r="I1363" s="1" t="s">
        <v>86</v>
      </c>
      <c r="J1363" s="219">
        <v>-1.5</v>
      </c>
      <c r="K1363" s="219">
        <v>1.5</v>
      </c>
      <c r="L1363" s="219">
        <v>-120.0</v>
      </c>
      <c r="M1363" s="219" t="s">
        <v>954</v>
      </c>
      <c r="N1363" s="1">
        <v>292.0</v>
      </c>
      <c r="O1363" s="1">
        <v>216.0</v>
      </c>
      <c r="P1363" s="1">
        <v>1.0</v>
      </c>
      <c r="Q1363" s="1" t="b">
        <v>1</v>
      </c>
      <c r="R1363" s="1">
        <v>100.0</v>
      </c>
      <c r="S1363" s="1" t="s">
        <v>292</v>
      </c>
      <c r="T1363" s="1" t="s">
        <v>422</v>
      </c>
      <c r="U1363" s="1"/>
    </row>
    <row r="1364">
      <c r="A1364" s="218">
        <v>45236.92763550926</v>
      </c>
      <c r="B1364" s="1" t="s">
        <v>59</v>
      </c>
      <c r="C1364" s="1" t="s">
        <v>231</v>
      </c>
      <c r="D1364" s="1">
        <v>7.0</v>
      </c>
      <c r="E1364" s="1">
        <v>2.0</v>
      </c>
      <c r="F1364" s="1" t="s">
        <v>1538</v>
      </c>
      <c r="G1364" s="218">
        <v>45241.64583333333</v>
      </c>
      <c r="H1364" s="1" t="s">
        <v>46</v>
      </c>
      <c r="I1364" s="1" t="s">
        <v>92</v>
      </c>
      <c r="J1364" s="219">
        <v>10.5</v>
      </c>
      <c r="K1364" s="219">
        <v>9.5</v>
      </c>
      <c r="L1364" s="219">
        <v>290.0</v>
      </c>
      <c r="M1364" s="219" t="s">
        <v>68</v>
      </c>
      <c r="N1364" s="1">
        <v>225.0</v>
      </c>
      <c r="O1364" s="1">
        <v>143.0</v>
      </c>
      <c r="P1364" s="1">
        <v>1.0</v>
      </c>
      <c r="Q1364" s="1" t="b">
        <v>0</v>
      </c>
      <c r="R1364" s="1">
        <v>100.0</v>
      </c>
      <c r="S1364" s="1" t="s">
        <v>354</v>
      </c>
      <c r="T1364" s="1" t="s">
        <v>422</v>
      </c>
      <c r="U1364" s="1"/>
    </row>
    <row r="1365">
      <c r="A1365" s="218">
        <v>45236.92763550926</v>
      </c>
      <c r="B1365" s="1" t="s">
        <v>59</v>
      </c>
      <c r="C1365" s="1" t="s">
        <v>234</v>
      </c>
      <c r="D1365" s="1">
        <v>3.0</v>
      </c>
      <c r="E1365" s="1">
        <v>5.0</v>
      </c>
      <c r="F1365" s="1" t="s">
        <v>1559</v>
      </c>
      <c r="G1365" s="218">
        <v>45241.64583333333</v>
      </c>
      <c r="H1365" s="1" t="s">
        <v>61</v>
      </c>
      <c r="I1365" s="1" t="s">
        <v>99</v>
      </c>
      <c r="J1365" s="219">
        <v>4.5</v>
      </c>
      <c r="K1365" s="219">
        <v>4.5</v>
      </c>
      <c r="L1365" s="219">
        <v>-200.0</v>
      </c>
      <c r="M1365" s="219" t="s">
        <v>68</v>
      </c>
      <c r="N1365" s="1">
        <v>146.0</v>
      </c>
      <c r="O1365" s="1">
        <v>187.0</v>
      </c>
      <c r="P1365" s="1">
        <v>1.0</v>
      </c>
      <c r="Q1365" s="1" t="b">
        <v>1</v>
      </c>
      <c r="R1365" s="1">
        <v>100.0</v>
      </c>
      <c r="S1365" s="1" t="s">
        <v>407</v>
      </c>
      <c r="T1365" s="1" t="s">
        <v>423</v>
      </c>
      <c r="U1365" s="1"/>
    </row>
    <row r="1366">
      <c r="A1366" s="218">
        <v>45236.92763550926</v>
      </c>
      <c r="B1366" s="1" t="s">
        <v>59</v>
      </c>
      <c r="C1366" s="1" t="s">
        <v>227</v>
      </c>
      <c r="D1366" s="1">
        <v>4.0</v>
      </c>
      <c r="E1366" s="1">
        <v>5.0</v>
      </c>
      <c r="F1366" s="1" t="s">
        <v>1505</v>
      </c>
      <c r="G1366" s="218">
        <v>45241.91666666667</v>
      </c>
      <c r="H1366" s="1" t="s">
        <v>35</v>
      </c>
      <c r="I1366" s="1" t="s">
        <v>96</v>
      </c>
      <c r="J1366" s="219">
        <v>-26.5</v>
      </c>
      <c r="K1366" s="219">
        <v>-26.5</v>
      </c>
      <c r="L1366" s="219">
        <v>1200.0</v>
      </c>
      <c r="M1366" s="219" t="s">
        <v>969</v>
      </c>
      <c r="N1366" s="1">
        <v>270.0</v>
      </c>
      <c r="O1366" s="1">
        <v>260.0</v>
      </c>
      <c r="P1366" s="1">
        <v>1.0</v>
      </c>
      <c r="Q1366" s="1" t="b">
        <v>0</v>
      </c>
      <c r="R1366" s="1">
        <v>100.0</v>
      </c>
      <c r="S1366" s="1" t="s">
        <v>353</v>
      </c>
      <c r="T1366" s="1" t="s">
        <v>423</v>
      </c>
      <c r="U1366" s="1"/>
    </row>
    <row r="1367">
      <c r="A1367" s="218">
        <v>45236.92763550926</v>
      </c>
      <c r="B1367" s="1" t="s">
        <v>59</v>
      </c>
      <c r="C1367" s="1" t="s">
        <v>209</v>
      </c>
      <c r="D1367" s="1">
        <v>9.0</v>
      </c>
      <c r="E1367" s="1">
        <v>0.0</v>
      </c>
      <c r="F1367" s="1" t="s">
        <v>1526</v>
      </c>
      <c r="G1367" s="218">
        <v>45241.5</v>
      </c>
      <c r="H1367" s="1" t="s">
        <v>56</v>
      </c>
      <c r="I1367" s="1" t="s">
        <v>92</v>
      </c>
      <c r="J1367" s="219">
        <v>-1.5</v>
      </c>
      <c r="K1367" s="219">
        <v>-5.5</v>
      </c>
      <c r="L1367" s="219">
        <v>-205.0</v>
      </c>
      <c r="M1367" s="219" t="s">
        <v>122</v>
      </c>
      <c r="N1367" s="1">
        <v>366.0</v>
      </c>
      <c r="O1367" s="1">
        <v>60.0</v>
      </c>
      <c r="P1367" s="1">
        <v>1.0</v>
      </c>
      <c r="Q1367" s="1" t="b">
        <v>1</v>
      </c>
      <c r="R1367" s="1">
        <v>100.0</v>
      </c>
      <c r="S1367" s="1" t="s">
        <v>282</v>
      </c>
      <c r="T1367" s="1" t="s">
        <v>422</v>
      </c>
      <c r="U1367" s="1"/>
    </row>
    <row r="1368">
      <c r="A1368" s="218">
        <v>45236.92763550926</v>
      </c>
      <c r="B1368" s="1" t="s">
        <v>59</v>
      </c>
      <c r="C1368" s="1" t="s">
        <v>229</v>
      </c>
      <c r="D1368" s="1">
        <v>5.0</v>
      </c>
      <c r="E1368" s="1">
        <v>4.0</v>
      </c>
      <c r="F1368" s="1" t="s">
        <v>1549</v>
      </c>
      <c r="G1368" s="218">
        <v>45241.5</v>
      </c>
      <c r="H1368" s="1" t="s">
        <v>70</v>
      </c>
      <c r="I1368" s="1" t="s">
        <v>82</v>
      </c>
      <c r="J1368" s="219">
        <v>13.0</v>
      </c>
      <c r="K1368" s="219">
        <v>14.5</v>
      </c>
      <c r="L1368" s="219">
        <v>490.0</v>
      </c>
      <c r="M1368" s="219" t="s">
        <v>840</v>
      </c>
      <c r="N1368" s="1">
        <v>299.0</v>
      </c>
      <c r="O1368" s="1">
        <v>271.0</v>
      </c>
      <c r="P1368" s="1">
        <v>1.0</v>
      </c>
      <c r="Q1368" s="1" t="b">
        <v>1</v>
      </c>
      <c r="R1368" s="1">
        <v>100.0</v>
      </c>
      <c r="S1368" s="1" t="s">
        <v>301</v>
      </c>
      <c r="T1368" s="1" t="s">
        <v>422</v>
      </c>
      <c r="U1368" s="1"/>
    </row>
    <row r="1369">
      <c r="A1369" s="218">
        <v>45236.92763550926</v>
      </c>
      <c r="B1369" s="1"/>
      <c r="C1369" s="1"/>
      <c r="D1369" s="1"/>
      <c r="E1369" s="1"/>
      <c r="F1369" s="1"/>
      <c r="G1369" s="218"/>
      <c r="H1369" s="1"/>
      <c r="I1369" s="1"/>
      <c r="J1369" s="219"/>
      <c r="K1369" s="219"/>
      <c r="L1369" s="219"/>
      <c r="M1369" s="219"/>
      <c r="N1369" s="1"/>
      <c r="O1369" s="1"/>
      <c r="P1369" s="1"/>
      <c r="Q1369" s="1"/>
      <c r="R1369" s="1"/>
      <c r="S1369" s="1" t="e">
        <v>#N/A</v>
      </c>
      <c r="T1369" s="1" t="e">
        <v>#N/A</v>
      </c>
      <c r="U1369" s="1"/>
    </row>
    <row r="1370">
      <c r="A1370" s="218">
        <v>45236.92763550926</v>
      </c>
      <c r="B1370" s="1" t="s">
        <v>62</v>
      </c>
      <c r="C1370" s="1" t="s">
        <v>240</v>
      </c>
      <c r="D1370" s="1">
        <v>7.0</v>
      </c>
      <c r="E1370" s="1">
        <v>2.0</v>
      </c>
      <c r="F1370" s="1" t="s">
        <v>1535</v>
      </c>
      <c r="G1370" s="218">
        <v>45238.79166666667</v>
      </c>
      <c r="H1370" s="1" t="s">
        <v>46</v>
      </c>
      <c r="I1370" s="1"/>
      <c r="J1370" s="219"/>
      <c r="K1370" s="219"/>
      <c r="L1370" s="219"/>
      <c r="M1370" s="219"/>
      <c r="N1370" s="1">
        <v>268.0</v>
      </c>
      <c r="O1370" s="1">
        <v>171.0</v>
      </c>
      <c r="P1370" s="1">
        <v>1.0</v>
      </c>
      <c r="Q1370" s="1" t="b">
        <v>0</v>
      </c>
      <c r="R1370" s="1">
        <v>100.0</v>
      </c>
      <c r="S1370" s="1" t="s">
        <v>352</v>
      </c>
      <c r="T1370" s="1" t="s">
        <v>423</v>
      </c>
      <c r="U1370" s="1"/>
    </row>
    <row r="1371">
      <c r="A1371" s="218">
        <v>45236.92763550926</v>
      </c>
      <c r="B1371" s="1" t="s">
        <v>62</v>
      </c>
      <c r="C1371" s="1" t="s">
        <v>215</v>
      </c>
      <c r="D1371" s="1">
        <v>5.0</v>
      </c>
      <c r="E1371" s="1">
        <v>4.0</v>
      </c>
      <c r="F1371" s="1" t="s">
        <v>1551</v>
      </c>
      <c r="G1371" s="218">
        <v>45241.64583333333</v>
      </c>
      <c r="H1371" s="1" t="s">
        <v>57</v>
      </c>
      <c r="I1371" s="1" t="s">
        <v>935</v>
      </c>
      <c r="J1371" s="219">
        <v>-5.5</v>
      </c>
      <c r="K1371" s="219">
        <v>-4.5</v>
      </c>
      <c r="L1371" s="219">
        <v>176.0</v>
      </c>
      <c r="M1371" s="219" t="s">
        <v>235</v>
      </c>
      <c r="N1371" s="1">
        <v>260.0</v>
      </c>
      <c r="O1371" s="1">
        <v>249.0</v>
      </c>
      <c r="P1371" s="1">
        <v>1.0</v>
      </c>
      <c r="Q1371" s="1" t="b">
        <v>0</v>
      </c>
      <c r="R1371" s="1">
        <v>100.0</v>
      </c>
      <c r="S1371" s="1" t="s">
        <v>351</v>
      </c>
      <c r="T1371" s="1" t="s">
        <v>423</v>
      </c>
      <c r="U1371" s="1"/>
    </row>
    <row r="1372">
      <c r="A1372" s="218">
        <v>45236.92763550926</v>
      </c>
      <c r="B1372" s="1" t="s">
        <v>62</v>
      </c>
      <c r="C1372" s="1" t="s">
        <v>246</v>
      </c>
      <c r="D1372" s="1">
        <v>1.0</v>
      </c>
      <c r="E1372" s="1">
        <v>8.0</v>
      </c>
      <c r="F1372" s="1" t="s">
        <v>1523</v>
      </c>
      <c r="G1372" s="218">
        <v>45241.66666666667</v>
      </c>
      <c r="H1372" s="1" t="s">
        <v>56</v>
      </c>
      <c r="I1372" s="1" t="s">
        <v>935</v>
      </c>
      <c r="J1372" s="219">
        <v>9.5</v>
      </c>
      <c r="K1372" s="219">
        <v>9.5</v>
      </c>
      <c r="L1372" s="219">
        <v>310.0</v>
      </c>
      <c r="M1372" s="219" t="s">
        <v>852</v>
      </c>
      <c r="N1372" s="1">
        <v>159.0</v>
      </c>
      <c r="O1372" s="1">
        <v>223.0</v>
      </c>
      <c r="P1372" s="1">
        <v>1.0</v>
      </c>
      <c r="Q1372" s="1" t="b">
        <v>0</v>
      </c>
      <c r="R1372" s="1">
        <v>100.0</v>
      </c>
      <c r="S1372" s="1" t="s">
        <v>407</v>
      </c>
      <c r="T1372" s="1" t="s">
        <v>423</v>
      </c>
      <c r="U1372" s="1"/>
    </row>
    <row r="1373">
      <c r="A1373" s="218">
        <v>45236.92763550926</v>
      </c>
      <c r="B1373" s="1" t="s">
        <v>62</v>
      </c>
      <c r="C1373" s="1" t="s">
        <v>247</v>
      </c>
      <c r="D1373" s="1">
        <v>7.0</v>
      </c>
      <c r="E1373" s="1">
        <v>2.0</v>
      </c>
      <c r="F1373" s="1" t="s">
        <v>1547</v>
      </c>
      <c r="G1373" s="218">
        <v>45241.72916666667</v>
      </c>
      <c r="H1373" s="1" t="s">
        <v>70</v>
      </c>
      <c r="I1373" s="1" t="s">
        <v>287</v>
      </c>
      <c r="J1373" s="219">
        <v>-18.5</v>
      </c>
      <c r="K1373" s="219">
        <v>-21.0</v>
      </c>
      <c r="L1373" s="219">
        <v>980.0</v>
      </c>
      <c r="M1373" s="219" t="s">
        <v>68</v>
      </c>
      <c r="N1373" s="1">
        <v>317.0</v>
      </c>
      <c r="O1373" s="1">
        <v>188.0</v>
      </c>
      <c r="P1373" s="1">
        <v>1.0</v>
      </c>
      <c r="Q1373" s="1" t="b">
        <v>1</v>
      </c>
      <c r="R1373" s="1">
        <v>100.0</v>
      </c>
      <c r="S1373" s="1" t="s">
        <v>354</v>
      </c>
      <c r="T1373" s="1" t="s">
        <v>422</v>
      </c>
      <c r="U1373" s="1"/>
    </row>
    <row r="1374">
      <c r="A1374" s="218">
        <v>45236.92763550926</v>
      </c>
      <c r="B1374" s="1" t="s">
        <v>62</v>
      </c>
      <c r="C1374" s="1" t="s">
        <v>245</v>
      </c>
      <c r="D1374" s="1">
        <v>6.0</v>
      </c>
      <c r="E1374" s="1">
        <v>3.0</v>
      </c>
      <c r="F1374" s="1" t="s">
        <v>1515</v>
      </c>
      <c r="G1374" s="218">
        <v>45241.79166666667</v>
      </c>
      <c r="H1374" s="1" t="s">
        <v>58</v>
      </c>
      <c r="I1374" s="1" t="s">
        <v>981</v>
      </c>
      <c r="J1374" s="219">
        <v>-1.5</v>
      </c>
      <c r="K1374" s="219">
        <v>-2.5</v>
      </c>
      <c r="L1374" s="219">
        <v>-137.0</v>
      </c>
      <c r="M1374" s="219" t="s">
        <v>235</v>
      </c>
      <c r="N1374" s="1">
        <v>294.0</v>
      </c>
      <c r="O1374" s="1">
        <v>242.0</v>
      </c>
      <c r="P1374" s="1">
        <v>1.0</v>
      </c>
      <c r="Q1374" s="1" t="b">
        <v>1</v>
      </c>
      <c r="R1374" s="1">
        <v>100.0</v>
      </c>
      <c r="S1374" s="1" t="s">
        <v>355</v>
      </c>
      <c r="T1374" s="1" t="s">
        <v>423</v>
      </c>
      <c r="U1374" s="1"/>
    </row>
    <row r="1375">
      <c r="A1375" s="218">
        <v>45236.92763550926</v>
      </c>
      <c r="B1375" s="1" t="s">
        <v>62</v>
      </c>
      <c r="C1375" s="1" t="s">
        <v>242</v>
      </c>
      <c r="D1375" s="1">
        <v>2.0</v>
      </c>
      <c r="E1375" s="1">
        <v>7.0</v>
      </c>
      <c r="F1375" s="1" t="s">
        <v>1552</v>
      </c>
      <c r="G1375" s="218">
        <v>45241.79166666667</v>
      </c>
      <c r="H1375" s="1" t="s">
        <v>57</v>
      </c>
      <c r="I1375" s="1" t="s">
        <v>96</v>
      </c>
      <c r="J1375" s="219">
        <v>3.5</v>
      </c>
      <c r="K1375" s="219">
        <v>2.5</v>
      </c>
      <c r="L1375" s="219">
        <v>108.0</v>
      </c>
      <c r="M1375" s="219" t="s">
        <v>68</v>
      </c>
      <c r="N1375" s="1">
        <v>228.0</v>
      </c>
      <c r="O1375" s="1">
        <v>255.0</v>
      </c>
      <c r="P1375" s="1">
        <v>1.0</v>
      </c>
      <c r="Q1375" s="1" t="b">
        <v>0</v>
      </c>
      <c r="R1375" s="1">
        <v>100.0</v>
      </c>
      <c r="S1375" s="1" t="s">
        <v>296</v>
      </c>
      <c r="T1375" s="1" t="s">
        <v>422</v>
      </c>
      <c r="U1375" s="1"/>
    </row>
    <row r="1376">
      <c r="A1376" s="218">
        <v>45236.92763550926</v>
      </c>
      <c r="B1376" s="1" t="s">
        <v>62</v>
      </c>
      <c r="C1376" s="1" t="s">
        <v>249</v>
      </c>
      <c r="D1376" s="1">
        <v>4.0</v>
      </c>
      <c r="E1376" s="1">
        <v>5.0</v>
      </c>
      <c r="F1376" s="1" t="s">
        <v>1560</v>
      </c>
      <c r="G1376" s="218">
        <v>45241.8125</v>
      </c>
      <c r="H1376" s="1" t="s">
        <v>125</v>
      </c>
      <c r="I1376" s="1" t="s">
        <v>36</v>
      </c>
      <c r="J1376" s="219">
        <v>13.0</v>
      </c>
      <c r="K1376" s="219">
        <v>18.5</v>
      </c>
      <c r="L1376" s="219">
        <v>740.0</v>
      </c>
      <c r="M1376" s="219" t="s">
        <v>867</v>
      </c>
      <c r="N1376" s="1">
        <v>204.0</v>
      </c>
      <c r="O1376" s="1">
        <v>231.0</v>
      </c>
      <c r="P1376" s="1">
        <v>1.0</v>
      </c>
      <c r="Q1376" s="1" t="b">
        <v>0</v>
      </c>
      <c r="R1376" s="1">
        <v>100.0</v>
      </c>
      <c r="S1376" s="1" t="s">
        <v>292</v>
      </c>
      <c r="T1376" s="1" t="s">
        <v>422</v>
      </c>
      <c r="U1376" s="1"/>
    </row>
    <row r="1377">
      <c r="A1377" s="218">
        <v>45236.92763550926</v>
      </c>
      <c r="B1377" s="1" t="s">
        <v>62</v>
      </c>
      <c r="C1377" s="1" t="s">
        <v>241</v>
      </c>
      <c r="D1377" s="1">
        <v>8.0</v>
      </c>
      <c r="E1377" s="1">
        <v>1.0</v>
      </c>
      <c r="F1377" s="1" t="s">
        <v>1525</v>
      </c>
      <c r="G1377" s="218">
        <v>45241.9375</v>
      </c>
      <c r="H1377" s="1" t="s">
        <v>56</v>
      </c>
      <c r="I1377" s="1" t="s">
        <v>99</v>
      </c>
      <c r="J1377" s="219">
        <v>-1.5</v>
      </c>
      <c r="K1377" s="219">
        <v>-2.5</v>
      </c>
      <c r="L1377" s="219">
        <v>-126.0</v>
      </c>
      <c r="M1377" s="219" t="s">
        <v>840</v>
      </c>
      <c r="N1377" s="1">
        <v>306.0</v>
      </c>
      <c r="O1377" s="1">
        <v>195.0</v>
      </c>
      <c r="P1377" s="1">
        <v>1.0</v>
      </c>
      <c r="Q1377" s="1" t="b">
        <v>1</v>
      </c>
      <c r="R1377" s="1">
        <v>100.0</v>
      </c>
      <c r="S1377" s="1" t="s">
        <v>353</v>
      </c>
      <c r="T1377" s="1" t="s">
        <v>423</v>
      </c>
      <c r="U1377" s="1"/>
    </row>
    <row r="1378">
      <c r="A1378" s="218">
        <v>45236.92763550926</v>
      </c>
      <c r="B1378" s="1" t="s">
        <v>62</v>
      </c>
      <c r="C1378" s="1" t="s">
        <v>244</v>
      </c>
      <c r="D1378" s="1">
        <v>5.0</v>
      </c>
      <c r="E1378" s="1">
        <v>4.0</v>
      </c>
      <c r="F1378" s="1" t="s">
        <v>1509</v>
      </c>
      <c r="G1378" s="218">
        <v>45241.5</v>
      </c>
      <c r="H1378" s="1" t="s">
        <v>35</v>
      </c>
      <c r="I1378" s="1" t="s">
        <v>958</v>
      </c>
      <c r="J1378" s="219">
        <v>-3.0</v>
      </c>
      <c r="K1378" s="219">
        <v>-2.5</v>
      </c>
      <c r="L1378" s="219">
        <v>-130.0</v>
      </c>
      <c r="M1378" s="219" t="s">
        <v>867</v>
      </c>
      <c r="N1378" s="1">
        <v>276.0</v>
      </c>
      <c r="O1378" s="1">
        <v>214.0</v>
      </c>
      <c r="P1378" s="1">
        <v>1.0</v>
      </c>
      <c r="Q1378" s="1" t="b">
        <v>1</v>
      </c>
      <c r="R1378" s="1">
        <v>100.0</v>
      </c>
      <c r="S1378" s="1" t="s">
        <v>282</v>
      </c>
      <c r="T1378" s="1" t="s">
        <v>422</v>
      </c>
      <c r="U1378" s="1"/>
    </row>
    <row r="1379">
      <c r="A1379" s="218">
        <v>45236.92763550926</v>
      </c>
      <c r="B1379" s="1" t="s">
        <v>62</v>
      </c>
      <c r="C1379" s="1" t="s">
        <v>248</v>
      </c>
      <c r="D1379" s="1">
        <v>6.0</v>
      </c>
      <c r="E1379" s="1">
        <v>3.0</v>
      </c>
      <c r="F1379" s="1" t="s">
        <v>1519</v>
      </c>
      <c r="G1379" s="218">
        <v>45241.5</v>
      </c>
      <c r="H1379" s="1" t="s">
        <v>58</v>
      </c>
      <c r="I1379" s="1" t="s">
        <v>900</v>
      </c>
      <c r="J1379" s="219">
        <v>-1.5</v>
      </c>
      <c r="K1379" s="219">
        <v>-2.5</v>
      </c>
      <c r="L1379" s="219">
        <v>114.0</v>
      </c>
      <c r="M1379" s="219" t="s">
        <v>937</v>
      </c>
      <c r="N1379" s="1">
        <v>242.0</v>
      </c>
      <c r="O1379" s="1">
        <v>237.0</v>
      </c>
      <c r="P1379" s="1">
        <v>1.0</v>
      </c>
      <c r="Q1379" s="1" t="b">
        <v>1</v>
      </c>
      <c r="R1379" s="1">
        <v>100.0</v>
      </c>
      <c r="S1379" s="1" t="s">
        <v>301</v>
      </c>
      <c r="T1379" s="1" t="s">
        <v>422</v>
      </c>
      <c r="U1379" s="1"/>
    </row>
    <row r="1380">
      <c r="A1380" s="218">
        <v>45236.92763550926</v>
      </c>
      <c r="B1380" s="1"/>
      <c r="C1380" s="1"/>
      <c r="D1380" s="1"/>
      <c r="E1380" s="1"/>
      <c r="F1380" s="1"/>
      <c r="G1380" s="218"/>
      <c r="H1380" s="1"/>
      <c r="I1380" s="1"/>
      <c r="J1380" s="219"/>
      <c r="K1380" s="219"/>
      <c r="L1380" s="219"/>
      <c r="M1380" s="219"/>
      <c r="N1380" s="1"/>
      <c r="O1380" s="1"/>
      <c r="P1380" s="1"/>
      <c r="Q1380" s="1"/>
      <c r="R1380" s="1"/>
      <c r="S1380" s="1" t="e">
        <v>#N/A</v>
      </c>
      <c r="T1380" s="1" t="e">
        <v>#N/A</v>
      </c>
      <c r="U1380" s="1"/>
    </row>
    <row r="1381">
      <c r="A1381" s="218">
        <v>45236.92763550926</v>
      </c>
      <c r="B1381" s="1" t="s">
        <v>69</v>
      </c>
      <c r="C1381" s="1" t="s">
        <v>252</v>
      </c>
      <c r="D1381" s="1">
        <v>3.0</v>
      </c>
      <c r="E1381" s="1">
        <v>6.0</v>
      </c>
      <c r="F1381" s="1" t="s">
        <v>1512</v>
      </c>
      <c r="G1381" s="218">
        <v>45241.58333333333</v>
      </c>
      <c r="H1381" s="1" t="s">
        <v>58</v>
      </c>
      <c r="I1381" s="1" t="s">
        <v>935</v>
      </c>
      <c r="J1381" s="219">
        <v>11.5</v>
      </c>
      <c r="K1381" s="219">
        <v>11.5</v>
      </c>
      <c r="L1381" s="219">
        <v>-490.0</v>
      </c>
      <c r="M1381" s="219" t="s">
        <v>114</v>
      </c>
      <c r="N1381" s="1">
        <v>151.0</v>
      </c>
      <c r="O1381" s="1">
        <v>223.0</v>
      </c>
      <c r="P1381" s="1">
        <v>1.0</v>
      </c>
      <c r="Q1381" s="1" t="b">
        <v>0</v>
      </c>
      <c r="R1381" s="1">
        <v>100.0</v>
      </c>
      <c r="S1381" s="1" t="s">
        <v>352</v>
      </c>
      <c r="T1381" s="1" t="s">
        <v>423</v>
      </c>
      <c r="U1381" s="1"/>
    </row>
    <row r="1382">
      <c r="A1382" s="218">
        <v>45236.92763550926</v>
      </c>
      <c r="B1382" s="1" t="s">
        <v>69</v>
      </c>
      <c r="C1382" s="1" t="s">
        <v>250</v>
      </c>
      <c r="D1382" s="1">
        <v>3.0</v>
      </c>
      <c r="E1382" s="1">
        <v>7.0</v>
      </c>
      <c r="F1382" s="1" t="s">
        <v>1501</v>
      </c>
      <c r="G1382" s="218">
        <v>45241.625</v>
      </c>
      <c r="H1382" s="1" t="s">
        <v>35</v>
      </c>
      <c r="I1382" s="1" t="s">
        <v>935</v>
      </c>
      <c r="J1382" s="219">
        <v>-8.5</v>
      </c>
      <c r="K1382" s="219">
        <v>-8.5</v>
      </c>
      <c r="L1382" s="219">
        <v>275.0</v>
      </c>
      <c r="M1382" s="219" t="s">
        <v>854</v>
      </c>
      <c r="N1382" s="1">
        <v>267.0</v>
      </c>
      <c r="O1382" s="1">
        <v>303.0</v>
      </c>
      <c r="P1382" s="1">
        <v>1.0</v>
      </c>
      <c r="Q1382" s="1" t="b">
        <v>1</v>
      </c>
      <c r="R1382" s="1">
        <v>100.0</v>
      </c>
      <c r="S1382" s="1" t="s">
        <v>351</v>
      </c>
      <c r="T1382" s="1" t="s">
        <v>423</v>
      </c>
      <c r="U1382" s="1"/>
    </row>
    <row r="1383">
      <c r="A1383" s="218">
        <v>45236.92763550926</v>
      </c>
      <c r="B1383" s="1" t="s">
        <v>69</v>
      </c>
      <c r="C1383" s="1" t="s">
        <v>256</v>
      </c>
      <c r="D1383" s="1">
        <v>2.0</v>
      </c>
      <c r="E1383" s="1">
        <v>7.0</v>
      </c>
      <c r="F1383" s="1" t="s">
        <v>1522</v>
      </c>
      <c r="G1383" s="218">
        <v>45241.64583333333</v>
      </c>
      <c r="H1383" s="1" t="s">
        <v>56</v>
      </c>
      <c r="I1383" s="1"/>
      <c r="J1383" s="219">
        <v>3.5</v>
      </c>
      <c r="K1383" s="219">
        <v>-1.5</v>
      </c>
      <c r="L1383" s="219">
        <v>-120.0</v>
      </c>
      <c r="M1383" s="219" t="s">
        <v>1302</v>
      </c>
      <c r="N1383" s="1">
        <v>186.0</v>
      </c>
      <c r="O1383" s="1">
        <v>254.0</v>
      </c>
      <c r="P1383" s="1">
        <v>1.0</v>
      </c>
      <c r="Q1383" s="1" t="b">
        <v>0</v>
      </c>
      <c r="R1383" s="1">
        <v>100.0</v>
      </c>
      <c r="S1383" s="1" t="s">
        <v>301</v>
      </c>
      <c r="T1383" s="1" t="s">
        <v>422</v>
      </c>
      <c r="U1383" s="1"/>
    </row>
    <row r="1384">
      <c r="A1384" s="218">
        <v>45236.92763550926</v>
      </c>
      <c r="B1384" s="1" t="s">
        <v>69</v>
      </c>
      <c r="C1384" s="1" t="s">
        <v>257</v>
      </c>
      <c r="D1384" s="1">
        <v>4.0</v>
      </c>
      <c r="E1384" s="1">
        <v>5.0</v>
      </c>
      <c r="F1384" s="1" t="s">
        <v>1561</v>
      </c>
      <c r="G1384" s="218">
        <v>45241.64583333333</v>
      </c>
      <c r="H1384" s="1" t="s">
        <v>61</v>
      </c>
      <c r="I1384" s="1" t="s">
        <v>76</v>
      </c>
      <c r="J1384" s="219">
        <v>3.5</v>
      </c>
      <c r="K1384" s="219">
        <v>2.5</v>
      </c>
      <c r="L1384" s="219">
        <v>-128.0</v>
      </c>
      <c r="M1384" s="219" t="s">
        <v>908</v>
      </c>
      <c r="N1384" s="1">
        <v>295.0</v>
      </c>
      <c r="O1384" s="1">
        <v>265.0</v>
      </c>
      <c r="P1384" s="1">
        <v>1.0</v>
      </c>
      <c r="Q1384" s="1" t="b">
        <v>1</v>
      </c>
      <c r="R1384" s="1">
        <v>100.0</v>
      </c>
      <c r="S1384" s="1" t="s">
        <v>296</v>
      </c>
      <c r="T1384" s="1" t="s">
        <v>422</v>
      </c>
      <c r="U1384" s="1"/>
    </row>
    <row r="1385">
      <c r="A1385" s="218">
        <v>45236.92763550926</v>
      </c>
      <c r="B1385" s="1" t="s">
        <v>69</v>
      </c>
      <c r="C1385" s="1" t="s">
        <v>255</v>
      </c>
      <c r="D1385" s="1">
        <v>5.0</v>
      </c>
      <c r="E1385" s="1">
        <v>4.0</v>
      </c>
      <c r="F1385" s="1" t="s">
        <v>1562</v>
      </c>
      <c r="G1385" s="218">
        <v>45241.64583333333</v>
      </c>
      <c r="H1385" s="1" t="s">
        <v>125</v>
      </c>
      <c r="I1385" s="1" t="s">
        <v>96</v>
      </c>
      <c r="J1385" s="219">
        <v>-10.5</v>
      </c>
      <c r="K1385" s="219">
        <v>-12.5</v>
      </c>
      <c r="L1385" s="219">
        <v>400.0</v>
      </c>
      <c r="M1385" s="219" t="s">
        <v>843</v>
      </c>
      <c r="N1385" s="1">
        <v>212.0</v>
      </c>
      <c r="O1385" s="1">
        <v>172.0</v>
      </c>
      <c r="P1385" s="1">
        <v>1.0</v>
      </c>
      <c r="Q1385" s="1" t="b">
        <v>1</v>
      </c>
      <c r="R1385" s="1">
        <v>100.0</v>
      </c>
      <c r="S1385" s="1" t="s">
        <v>282</v>
      </c>
      <c r="T1385" s="1" t="s">
        <v>422</v>
      </c>
      <c r="U1385" s="1"/>
    </row>
    <row r="1386">
      <c r="A1386" s="218">
        <v>45236.92763550926</v>
      </c>
      <c r="B1386" s="1" t="s">
        <v>69</v>
      </c>
      <c r="C1386" s="1" t="s">
        <v>251</v>
      </c>
      <c r="D1386" s="1">
        <v>3.0</v>
      </c>
      <c r="E1386" s="1">
        <v>6.0</v>
      </c>
      <c r="F1386" s="1" t="s">
        <v>1563</v>
      </c>
      <c r="G1386" s="218">
        <v>45241.66666666667</v>
      </c>
      <c r="H1386" s="1" t="s">
        <v>125</v>
      </c>
      <c r="I1386" s="1" t="s">
        <v>36</v>
      </c>
      <c r="J1386" s="219">
        <v>-1.5</v>
      </c>
      <c r="K1386" s="219">
        <v>-1.5</v>
      </c>
      <c r="L1386" s="219">
        <v>-108.0</v>
      </c>
      <c r="M1386" s="219" t="s">
        <v>954</v>
      </c>
      <c r="N1386" s="1">
        <v>277.0</v>
      </c>
      <c r="O1386" s="1">
        <v>331.0</v>
      </c>
      <c r="P1386" s="1">
        <v>1.0</v>
      </c>
      <c r="Q1386" s="1" t="b">
        <v>1</v>
      </c>
      <c r="R1386" s="1">
        <v>100.0</v>
      </c>
      <c r="S1386" s="1" t="s">
        <v>354</v>
      </c>
      <c r="T1386" s="1" t="s">
        <v>422</v>
      </c>
      <c r="U1386" s="1"/>
    </row>
    <row r="1387">
      <c r="A1387" s="218">
        <v>45236.92763550926</v>
      </c>
      <c r="B1387" s="1" t="s">
        <v>69</v>
      </c>
      <c r="C1387" s="1" t="s">
        <v>254</v>
      </c>
      <c r="D1387" s="1">
        <v>5.0</v>
      </c>
      <c r="E1387" s="1">
        <v>4.0</v>
      </c>
      <c r="F1387" s="1" t="s">
        <v>1555</v>
      </c>
      <c r="G1387" s="218">
        <v>45241.70833333333</v>
      </c>
      <c r="H1387" s="1" t="s">
        <v>67</v>
      </c>
      <c r="I1387" s="1" t="s">
        <v>935</v>
      </c>
      <c r="J1387" s="219">
        <v>11.5</v>
      </c>
      <c r="K1387" s="219">
        <v>10.5</v>
      </c>
      <c r="L1387" s="219">
        <v>350.0</v>
      </c>
      <c r="M1387" s="219" t="s">
        <v>840</v>
      </c>
      <c r="N1387" s="1">
        <v>221.0</v>
      </c>
      <c r="O1387" s="1">
        <v>287.0</v>
      </c>
      <c r="P1387" s="1">
        <v>1.0</v>
      </c>
      <c r="Q1387" s="1" t="b">
        <v>0</v>
      </c>
      <c r="R1387" s="1">
        <v>100.0</v>
      </c>
      <c r="S1387" s="1" t="s">
        <v>355</v>
      </c>
      <c r="T1387" s="1" t="s">
        <v>423</v>
      </c>
      <c r="U1387" s="1"/>
    </row>
    <row r="1388">
      <c r="A1388" s="218">
        <v>45236.92763550926</v>
      </c>
      <c r="B1388" s="1" t="s">
        <v>69</v>
      </c>
      <c r="C1388" s="1" t="s">
        <v>219</v>
      </c>
      <c r="D1388" s="1">
        <v>6.0</v>
      </c>
      <c r="E1388" s="1">
        <v>3.0</v>
      </c>
      <c r="F1388" s="1" t="s">
        <v>1524</v>
      </c>
      <c r="G1388" s="218">
        <v>45241.8125</v>
      </c>
      <c r="H1388" s="1" t="s">
        <v>56</v>
      </c>
      <c r="I1388" s="1" t="s">
        <v>945</v>
      </c>
      <c r="J1388" s="219">
        <v>-13.5</v>
      </c>
      <c r="K1388" s="219">
        <v>-13.5</v>
      </c>
      <c r="L1388" s="219">
        <v>480.0</v>
      </c>
      <c r="M1388" s="219" t="s">
        <v>908</v>
      </c>
      <c r="N1388" s="1">
        <v>407.0</v>
      </c>
      <c r="O1388" s="1">
        <v>254.0</v>
      </c>
      <c r="P1388" s="1">
        <v>1.0</v>
      </c>
      <c r="Q1388" s="1" t="b">
        <v>0</v>
      </c>
      <c r="R1388" s="1">
        <v>100.0</v>
      </c>
      <c r="S1388" s="1" t="s">
        <v>292</v>
      </c>
      <c r="T1388" s="1" t="s">
        <v>422</v>
      </c>
      <c r="U1388" s="1"/>
    </row>
    <row r="1389">
      <c r="A1389" s="218">
        <v>45236.92763550926</v>
      </c>
      <c r="B1389" s="1" t="s">
        <v>69</v>
      </c>
      <c r="C1389" s="1" t="s">
        <v>243</v>
      </c>
      <c r="D1389" s="1">
        <v>8.0</v>
      </c>
      <c r="E1389" s="1">
        <v>1.0</v>
      </c>
      <c r="F1389" s="1" t="s">
        <v>1533</v>
      </c>
      <c r="G1389" s="218">
        <v>45241.95833333333</v>
      </c>
      <c r="H1389" s="1" t="s">
        <v>60</v>
      </c>
      <c r="I1389" s="1" t="s">
        <v>1077</v>
      </c>
      <c r="J1389" s="219">
        <v>-17.5</v>
      </c>
      <c r="K1389" s="219">
        <v>-18.5</v>
      </c>
      <c r="L1389" s="219">
        <v>-1250.0</v>
      </c>
      <c r="M1389" s="219" t="s">
        <v>854</v>
      </c>
      <c r="N1389" s="1">
        <v>272.0</v>
      </c>
      <c r="O1389" s="1">
        <v>130.0</v>
      </c>
      <c r="P1389" s="1">
        <v>1.0</v>
      </c>
      <c r="Q1389" s="1" t="b">
        <v>0</v>
      </c>
      <c r="R1389" s="1">
        <v>100.0</v>
      </c>
      <c r="S1389" s="1" t="s">
        <v>353</v>
      </c>
      <c r="T1389" s="1" t="s">
        <v>423</v>
      </c>
      <c r="U1389" s="1"/>
    </row>
    <row r="1390">
      <c r="A1390" s="218">
        <v>45236.92763550926</v>
      </c>
      <c r="B1390" s="1" t="s">
        <v>69</v>
      </c>
      <c r="C1390" s="1" t="s">
        <v>253</v>
      </c>
      <c r="D1390" s="1">
        <v>4.0</v>
      </c>
      <c r="E1390" s="1">
        <v>5.0</v>
      </c>
      <c r="F1390" s="1" t="s">
        <v>1508</v>
      </c>
      <c r="G1390" s="218">
        <v>45241.5</v>
      </c>
      <c r="H1390" s="1" t="s">
        <v>35</v>
      </c>
      <c r="I1390" s="1" t="s">
        <v>935</v>
      </c>
      <c r="J1390" s="219">
        <v>-7.0</v>
      </c>
      <c r="K1390" s="219">
        <v>-7.5</v>
      </c>
      <c r="L1390" s="219">
        <v>255.0</v>
      </c>
      <c r="M1390" s="219" t="s">
        <v>1363</v>
      </c>
      <c r="N1390" s="1">
        <v>274.0</v>
      </c>
      <c r="O1390" s="1">
        <v>333.0</v>
      </c>
      <c r="P1390" s="1">
        <v>1.0</v>
      </c>
      <c r="Q1390" s="1" t="b">
        <v>1</v>
      </c>
      <c r="R1390" s="1">
        <v>100.0</v>
      </c>
      <c r="S1390" s="1" t="s">
        <v>407</v>
      </c>
      <c r="T1390" s="1" t="s">
        <v>423</v>
      </c>
      <c r="U1390" s="1"/>
    </row>
    <row r="1391">
      <c r="A1391" s="218">
        <v>45236.92763550926</v>
      </c>
      <c r="B1391" s="1"/>
      <c r="C1391" s="1"/>
      <c r="D1391" s="1"/>
      <c r="E1391" s="1"/>
      <c r="F1391" s="1"/>
      <c r="G1391" s="218"/>
      <c r="H1391" s="1"/>
      <c r="I1391" s="1"/>
      <c r="J1391" s="219"/>
      <c r="K1391" s="219"/>
      <c r="L1391" s="219"/>
      <c r="M1391" s="219"/>
      <c r="N1391" s="1"/>
      <c r="O1391" s="1"/>
      <c r="P1391" s="1"/>
      <c r="Q1391" s="1"/>
      <c r="R1391" s="1"/>
      <c r="S1391" s="1" t="e">
        <v>#N/A</v>
      </c>
      <c r="T1391" s="1" t="e">
        <v>#N/A</v>
      </c>
      <c r="U1391" s="1"/>
    </row>
    <row r="1392">
      <c r="A1392" s="218">
        <v>45236.92763550926</v>
      </c>
      <c r="B1392" s="1" t="s">
        <v>125</v>
      </c>
      <c r="C1392" s="1" t="s">
        <v>265</v>
      </c>
      <c r="D1392" s="1">
        <v>5.0</v>
      </c>
      <c r="E1392" s="1">
        <v>4.0</v>
      </c>
      <c r="F1392" s="1" t="s">
        <v>1564</v>
      </c>
      <c r="G1392" s="218">
        <v>45237.79166666667</v>
      </c>
      <c r="H1392" s="1" t="s">
        <v>61</v>
      </c>
      <c r="I1392" s="1" t="s">
        <v>40</v>
      </c>
      <c r="J1392" s="219">
        <v>3.0</v>
      </c>
      <c r="K1392" s="219">
        <v>3.5</v>
      </c>
      <c r="L1392" s="219">
        <v>140.0</v>
      </c>
      <c r="M1392" s="219" t="s">
        <v>104</v>
      </c>
      <c r="N1392" s="1">
        <v>213.0</v>
      </c>
      <c r="O1392" s="1">
        <v>269.0</v>
      </c>
      <c r="P1392" s="1">
        <v>1.0</v>
      </c>
      <c r="Q1392" s="1" t="b">
        <v>0</v>
      </c>
      <c r="R1392" s="1">
        <v>100.0</v>
      </c>
      <c r="S1392" s="1" t="s">
        <v>352</v>
      </c>
      <c r="T1392" s="1" t="s">
        <v>423</v>
      </c>
      <c r="U1392" s="1"/>
    </row>
    <row r="1393">
      <c r="A1393" s="218">
        <v>45236.92763550926</v>
      </c>
      <c r="B1393" s="1" t="s">
        <v>125</v>
      </c>
      <c r="C1393" s="1" t="s">
        <v>262</v>
      </c>
      <c r="D1393" s="1">
        <v>9.0</v>
      </c>
      <c r="E1393" s="1">
        <v>0.0</v>
      </c>
      <c r="F1393" s="1" t="s">
        <v>1557</v>
      </c>
      <c r="G1393" s="218">
        <v>45241.58333333333</v>
      </c>
      <c r="H1393" s="1" t="s">
        <v>59</v>
      </c>
      <c r="I1393" s="1" t="s">
        <v>935</v>
      </c>
      <c r="J1393" s="219">
        <v>-26.5</v>
      </c>
      <c r="K1393" s="219">
        <v>-26.5</v>
      </c>
      <c r="L1393" s="219">
        <v>1400.0</v>
      </c>
      <c r="M1393" s="219" t="s">
        <v>854</v>
      </c>
      <c r="N1393" s="1">
        <v>299.0</v>
      </c>
      <c r="O1393" s="1">
        <v>176.0</v>
      </c>
      <c r="P1393" s="1">
        <v>1.0</v>
      </c>
      <c r="Q1393" s="1" t="b">
        <v>0</v>
      </c>
      <c r="R1393" s="1">
        <v>100.0</v>
      </c>
      <c r="S1393" s="1" t="s">
        <v>355</v>
      </c>
      <c r="T1393" s="1" t="s">
        <v>423</v>
      </c>
      <c r="U1393" s="1"/>
    </row>
    <row r="1394">
      <c r="A1394" s="218">
        <v>45236.92763550926</v>
      </c>
      <c r="B1394" s="1" t="s">
        <v>125</v>
      </c>
      <c r="C1394" s="1" t="s">
        <v>258</v>
      </c>
      <c r="D1394" s="1">
        <v>2.0</v>
      </c>
      <c r="E1394" s="1">
        <v>7.0</v>
      </c>
      <c r="F1394" s="1" t="s">
        <v>1565</v>
      </c>
      <c r="G1394" s="218">
        <v>45241.625</v>
      </c>
      <c r="H1394" s="1" t="s">
        <v>61</v>
      </c>
      <c r="I1394" s="1" t="s">
        <v>1185</v>
      </c>
      <c r="J1394" s="219">
        <v>15.5</v>
      </c>
      <c r="K1394" s="219">
        <v>15.5</v>
      </c>
      <c r="L1394" s="219">
        <v>530.0</v>
      </c>
      <c r="M1394" s="219" t="s">
        <v>104</v>
      </c>
      <c r="N1394" s="1">
        <v>158.0</v>
      </c>
      <c r="O1394" s="1">
        <v>288.0</v>
      </c>
      <c r="P1394" s="1">
        <v>1.0</v>
      </c>
      <c r="Q1394" s="1" t="b">
        <v>1</v>
      </c>
      <c r="R1394" s="1">
        <v>100.0</v>
      </c>
      <c r="S1394" s="1" t="s">
        <v>353</v>
      </c>
      <c r="T1394" s="1" t="s">
        <v>423</v>
      </c>
      <c r="U1394" s="1"/>
    </row>
    <row r="1395">
      <c r="A1395" s="218">
        <v>45236.92763550926</v>
      </c>
      <c r="B1395" s="1" t="s">
        <v>125</v>
      </c>
      <c r="C1395" s="1" t="s">
        <v>224</v>
      </c>
      <c r="D1395" s="1">
        <v>9.0</v>
      </c>
      <c r="E1395" s="1">
        <v>0.0</v>
      </c>
      <c r="F1395" s="1" t="s">
        <v>1503</v>
      </c>
      <c r="G1395" s="218">
        <v>45241.64583333333</v>
      </c>
      <c r="H1395" s="1" t="s">
        <v>35</v>
      </c>
      <c r="I1395" s="1" t="s">
        <v>82</v>
      </c>
      <c r="J1395" s="219">
        <v>-13.5</v>
      </c>
      <c r="K1395" s="219">
        <v>-14.5</v>
      </c>
      <c r="L1395" s="219">
        <v>530.0</v>
      </c>
      <c r="M1395" s="219" t="s">
        <v>937</v>
      </c>
      <c r="N1395" s="1">
        <v>356.0</v>
      </c>
      <c r="O1395" s="1">
        <v>153.0</v>
      </c>
      <c r="P1395" s="1">
        <v>1.0</v>
      </c>
      <c r="Q1395" s="1" t="b">
        <v>1</v>
      </c>
      <c r="R1395" s="1">
        <v>100.0</v>
      </c>
      <c r="S1395" s="1" t="s">
        <v>301</v>
      </c>
      <c r="T1395" s="1" t="s">
        <v>422</v>
      </c>
      <c r="U1395" s="1"/>
    </row>
    <row r="1396">
      <c r="A1396" s="218">
        <v>45236.92763550926</v>
      </c>
      <c r="B1396" s="1" t="s">
        <v>125</v>
      </c>
      <c r="C1396" s="1" t="s">
        <v>261</v>
      </c>
      <c r="D1396" s="1">
        <v>4.0</v>
      </c>
      <c r="E1396" s="1">
        <v>5.0</v>
      </c>
      <c r="F1396" s="1" t="s">
        <v>1562</v>
      </c>
      <c r="G1396" s="218">
        <v>45241.64583333333</v>
      </c>
      <c r="H1396" s="1" t="s">
        <v>69</v>
      </c>
      <c r="I1396" s="1" t="s">
        <v>96</v>
      </c>
      <c r="J1396" s="219">
        <v>10.5</v>
      </c>
      <c r="K1396" s="219">
        <v>12.5</v>
      </c>
      <c r="L1396" s="219">
        <v>400.0</v>
      </c>
      <c r="M1396" s="219" t="s">
        <v>843</v>
      </c>
      <c r="N1396" s="1">
        <v>181.0</v>
      </c>
      <c r="O1396" s="1">
        <v>218.0</v>
      </c>
      <c r="P1396" s="1">
        <v>1.0</v>
      </c>
      <c r="Q1396" s="1" t="b">
        <v>0</v>
      </c>
      <c r="R1396" s="1">
        <v>100.0</v>
      </c>
      <c r="S1396" s="1" t="s">
        <v>282</v>
      </c>
      <c r="T1396" s="1" t="s">
        <v>422</v>
      </c>
      <c r="U1396" s="1"/>
    </row>
    <row r="1397">
      <c r="A1397" s="218">
        <v>45236.92763550926</v>
      </c>
      <c r="B1397" s="1" t="s">
        <v>125</v>
      </c>
      <c r="C1397" s="1" t="s">
        <v>259</v>
      </c>
      <c r="D1397" s="1">
        <v>4.0</v>
      </c>
      <c r="E1397" s="1">
        <v>5.0</v>
      </c>
      <c r="F1397" s="1" t="s">
        <v>1563</v>
      </c>
      <c r="G1397" s="218">
        <v>45241.66666666667</v>
      </c>
      <c r="H1397" s="1" t="s">
        <v>69</v>
      </c>
      <c r="I1397" s="1" t="s">
        <v>36</v>
      </c>
      <c r="J1397" s="219">
        <v>1.5</v>
      </c>
      <c r="K1397" s="219">
        <v>1.5</v>
      </c>
      <c r="L1397" s="219">
        <v>-108.0</v>
      </c>
      <c r="M1397" s="219" t="s">
        <v>954</v>
      </c>
      <c r="N1397" s="1">
        <v>264.0</v>
      </c>
      <c r="O1397" s="1">
        <v>257.0</v>
      </c>
      <c r="P1397" s="1">
        <v>1.0</v>
      </c>
      <c r="Q1397" s="1" t="b">
        <v>0</v>
      </c>
      <c r="R1397" s="1">
        <v>100.0</v>
      </c>
      <c r="S1397" s="1" t="s">
        <v>354</v>
      </c>
      <c r="T1397" s="1" t="s">
        <v>422</v>
      </c>
      <c r="U1397" s="1"/>
    </row>
    <row r="1398">
      <c r="A1398" s="218">
        <v>45236.92763550926</v>
      </c>
      <c r="B1398" s="1" t="s">
        <v>125</v>
      </c>
      <c r="C1398" s="1" t="s">
        <v>263</v>
      </c>
      <c r="D1398" s="1">
        <v>4.0</v>
      </c>
      <c r="E1398" s="1">
        <v>5.0</v>
      </c>
      <c r="F1398" s="1" t="s">
        <v>1548</v>
      </c>
      <c r="G1398" s="218">
        <v>45241.8125</v>
      </c>
      <c r="H1398" s="1" t="s">
        <v>70</v>
      </c>
      <c r="I1398" s="1" t="s">
        <v>40</v>
      </c>
      <c r="J1398" s="219">
        <v>12.5</v>
      </c>
      <c r="K1398" s="219">
        <v>12.5</v>
      </c>
      <c r="L1398" s="219">
        <v>385.0</v>
      </c>
      <c r="M1398" s="219" t="s">
        <v>954</v>
      </c>
      <c r="N1398" s="1">
        <v>297.0</v>
      </c>
      <c r="O1398" s="1">
        <v>258.0</v>
      </c>
      <c r="P1398" s="1">
        <v>1.0</v>
      </c>
      <c r="Q1398" s="1" t="b">
        <v>0</v>
      </c>
      <c r="R1398" s="1">
        <v>100.0</v>
      </c>
      <c r="S1398" s="1" t="s">
        <v>407</v>
      </c>
      <c r="T1398" s="1" t="s">
        <v>423</v>
      </c>
      <c r="U1398" s="1"/>
    </row>
    <row r="1399">
      <c r="A1399" s="218">
        <v>45236.92763550926</v>
      </c>
      <c r="B1399" s="1" t="s">
        <v>125</v>
      </c>
      <c r="C1399" s="1" t="s">
        <v>264</v>
      </c>
      <c r="D1399" s="1">
        <v>5.0</v>
      </c>
      <c r="E1399" s="1">
        <v>4.0</v>
      </c>
      <c r="F1399" s="1" t="s">
        <v>1560</v>
      </c>
      <c r="G1399" s="218">
        <v>45241.8125</v>
      </c>
      <c r="H1399" s="1" t="s">
        <v>62</v>
      </c>
      <c r="I1399" s="1" t="s">
        <v>36</v>
      </c>
      <c r="J1399" s="219">
        <v>-13.0</v>
      </c>
      <c r="K1399" s="219">
        <v>-18.5</v>
      </c>
      <c r="L1399" s="219">
        <v>740.0</v>
      </c>
      <c r="M1399" s="219" t="s">
        <v>867</v>
      </c>
      <c r="N1399" s="1">
        <v>291.0</v>
      </c>
      <c r="O1399" s="1">
        <v>194.0</v>
      </c>
      <c r="P1399" s="1">
        <v>1.0</v>
      </c>
      <c r="Q1399" s="1" t="b">
        <v>1</v>
      </c>
      <c r="R1399" s="1">
        <v>100.0</v>
      </c>
      <c r="S1399" s="1" t="s">
        <v>292</v>
      </c>
      <c r="T1399" s="1" t="s">
        <v>422</v>
      </c>
      <c r="U1399" s="1"/>
    </row>
    <row r="1400">
      <c r="A1400" s="218">
        <v>45236.92763550926</v>
      </c>
      <c r="B1400" s="1" t="s">
        <v>125</v>
      </c>
      <c r="C1400" s="1" t="s">
        <v>239</v>
      </c>
      <c r="D1400" s="1">
        <v>8.0</v>
      </c>
      <c r="E1400" s="1">
        <v>1.0</v>
      </c>
      <c r="F1400" s="1" t="s">
        <v>1556</v>
      </c>
      <c r="G1400" s="218">
        <v>45241.8125</v>
      </c>
      <c r="H1400" s="1" t="s">
        <v>67</v>
      </c>
      <c r="I1400" s="1" t="s">
        <v>82</v>
      </c>
      <c r="J1400" s="219">
        <v>-8.0</v>
      </c>
      <c r="K1400" s="219">
        <v>-9.5</v>
      </c>
      <c r="L1400" s="219">
        <v>-385.0</v>
      </c>
      <c r="M1400" s="219" t="s">
        <v>114</v>
      </c>
      <c r="N1400" s="1">
        <v>309.0</v>
      </c>
      <c r="O1400" s="1">
        <v>158.0</v>
      </c>
      <c r="P1400" s="1">
        <v>1.0</v>
      </c>
      <c r="Q1400" s="1" t="b">
        <v>0</v>
      </c>
      <c r="R1400" s="1">
        <v>100.0</v>
      </c>
      <c r="S1400" s="1" t="s">
        <v>296</v>
      </c>
      <c r="T1400" s="1" t="s">
        <v>422</v>
      </c>
      <c r="U1400" s="1"/>
    </row>
    <row r="1401">
      <c r="A1401" s="218">
        <v>45236.92763550926</v>
      </c>
      <c r="B1401" s="1" t="s">
        <v>125</v>
      </c>
      <c r="C1401" s="1" t="s">
        <v>260</v>
      </c>
      <c r="D1401" s="1">
        <v>7.0</v>
      </c>
      <c r="E1401" s="1">
        <v>3.0</v>
      </c>
      <c r="F1401" s="1"/>
      <c r="G1401" s="218"/>
      <c r="H1401" s="1"/>
      <c r="I1401" s="1"/>
      <c r="J1401" s="219"/>
      <c r="K1401" s="219"/>
      <c r="L1401" s="219"/>
      <c r="M1401" s="219"/>
      <c r="N1401" s="1">
        <v>285.0</v>
      </c>
      <c r="O1401" s="1">
        <v>207.0</v>
      </c>
      <c r="P1401" s="1">
        <v>3.0</v>
      </c>
      <c r="Q1401" s="1" t="b">
        <v>1</v>
      </c>
      <c r="R1401" s="1">
        <v>100.0</v>
      </c>
      <c r="S1401" s="1" t="s">
        <v>351</v>
      </c>
      <c r="T1401" s="1" t="s">
        <v>423</v>
      </c>
      <c r="U1401" s="1"/>
    </row>
    <row r="1402">
      <c r="A1402" s="218">
        <v>45236.92763550926</v>
      </c>
      <c r="B1402" s="1"/>
      <c r="C1402" s="1"/>
      <c r="D1402" s="1"/>
      <c r="E1402" s="1"/>
      <c r="F1402" s="1"/>
      <c r="G1402" s="218"/>
      <c r="H1402" s="1"/>
      <c r="I1402" s="1"/>
      <c r="J1402" s="219"/>
      <c r="K1402" s="219"/>
      <c r="L1402" s="219"/>
      <c r="M1402" s="219"/>
      <c r="N1402" s="1"/>
      <c r="O1402" s="1"/>
      <c r="P1402" s="1"/>
      <c r="Q1402" s="1"/>
      <c r="R1402" s="1"/>
      <c r="S1402" s="1" t="e">
        <v>#N/A</v>
      </c>
      <c r="T1402" s="1" t="e">
        <v>#N/A</v>
      </c>
      <c r="U1402" s="1"/>
    </row>
    <row r="1403">
      <c r="A1403" s="218">
        <v>45236.92763550926</v>
      </c>
      <c r="B1403" s="1" t="s">
        <v>61</v>
      </c>
      <c r="C1403" s="1" t="s">
        <v>272</v>
      </c>
      <c r="D1403" s="1">
        <v>3.0</v>
      </c>
      <c r="E1403" s="1">
        <v>6.0</v>
      </c>
      <c r="F1403" s="1" t="s">
        <v>1564</v>
      </c>
      <c r="G1403" s="218">
        <v>45237.79166666667</v>
      </c>
      <c r="H1403" s="1" t="s">
        <v>125</v>
      </c>
      <c r="I1403" s="1" t="s">
        <v>40</v>
      </c>
      <c r="J1403" s="219">
        <v>-3.0</v>
      </c>
      <c r="K1403" s="219">
        <v>-3.5</v>
      </c>
      <c r="L1403" s="219">
        <v>140.0</v>
      </c>
      <c r="M1403" s="219" t="s">
        <v>104</v>
      </c>
      <c r="N1403" s="1">
        <v>236.0</v>
      </c>
      <c r="O1403" s="1">
        <v>295.0</v>
      </c>
      <c r="P1403" s="1">
        <v>1.0</v>
      </c>
      <c r="Q1403" s="1" t="b">
        <v>1</v>
      </c>
      <c r="R1403" s="1">
        <v>100.0</v>
      </c>
      <c r="S1403" s="1" t="s">
        <v>352</v>
      </c>
      <c r="T1403" s="1" t="s">
        <v>423</v>
      </c>
      <c r="U1403" s="1"/>
    </row>
    <row r="1404">
      <c r="A1404" s="218">
        <v>45236.92763550926</v>
      </c>
      <c r="B1404" s="1" t="s">
        <v>61</v>
      </c>
      <c r="C1404" s="1" t="s">
        <v>270</v>
      </c>
      <c r="D1404" s="1">
        <v>4.0</v>
      </c>
      <c r="E1404" s="1">
        <v>5.0</v>
      </c>
      <c r="F1404" s="1" t="s">
        <v>1511</v>
      </c>
      <c r="G1404" s="218">
        <v>45241.54166666667</v>
      </c>
      <c r="H1404" s="1" t="s">
        <v>58</v>
      </c>
      <c r="I1404" s="1" t="s">
        <v>935</v>
      </c>
      <c r="J1404" s="219">
        <v>13.5</v>
      </c>
      <c r="K1404" s="219">
        <v>13.5</v>
      </c>
      <c r="L1404" s="219">
        <v>460.0</v>
      </c>
      <c r="M1404" s="219" t="s">
        <v>203</v>
      </c>
      <c r="N1404" s="1">
        <v>220.0</v>
      </c>
      <c r="O1404" s="1">
        <v>236.0</v>
      </c>
      <c r="P1404" s="1">
        <v>1.0</v>
      </c>
      <c r="Q1404" s="1" t="b">
        <v>0</v>
      </c>
      <c r="R1404" s="1">
        <v>100.0</v>
      </c>
      <c r="S1404" s="1" t="s">
        <v>355</v>
      </c>
      <c r="T1404" s="1" t="s">
        <v>423</v>
      </c>
      <c r="U1404" s="1"/>
    </row>
    <row r="1405">
      <c r="A1405" s="218">
        <v>45236.92763550926</v>
      </c>
      <c r="B1405" s="1" t="s">
        <v>61</v>
      </c>
      <c r="C1405" s="1" t="s">
        <v>269</v>
      </c>
      <c r="D1405" s="1">
        <v>4.0</v>
      </c>
      <c r="E1405" s="1">
        <v>5.0</v>
      </c>
      <c r="F1405" s="1" t="s">
        <v>1553</v>
      </c>
      <c r="G1405" s="218">
        <v>45241.58333333333</v>
      </c>
      <c r="H1405" s="1" t="s">
        <v>67</v>
      </c>
      <c r="I1405" s="1" t="s">
        <v>287</v>
      </c>
      <c r="J1405" s="219">
        <v>8.5</v>
      </c>
      <c r="K1405" s="219">
        <v>9.5</v>
      </c>
      <c r="L1405" s="219">
        <v>-375.0</v>
      </c>
      <c r="M1405" s="219" t="s">
        <v>840</v>
      </c>
      <c r="N1405" s="1">
        <v>276.0</v>
      </c>
      <c r="O1405" s="1">
        <v>305.0</v>
      </c>
      <c r="P1405" s="1">
        <v>1.0</v>
      </c>
      <c r="Q1405" s="1" t="b">
        <v>1</v>
      </c>
      <c r="R1405" s="1">
        <v>100.0</v>
      </c>
      <c r="S1405" s="1" t="s">
        <v>354</v>
      </c>
      <c r="T1405" s="1" t="s">
        <v>422</v>
      </c>
      <c r="U1405" s="1"/>
    </row>
    <row r="1406">
      <c r="A1406" s="218">
        <v>45236.92763550926</v>
      </c>
      <c r="B1406" s="1" t="s">
        <v>61</v>
      </c>
      <c r="C1406" s="1" t="s">
        <v>268</v>
      </c>
      <c r="D1406" s="1">
        <v>6.0</v>
      </c>
      <c r="E1406" s="1">
        <v>3.0</v>
      </c>
      <c r="F1406" s="1" t="s">
        <v>1550</v>
      </c>
      <c r="G1406" s="218">
        <v>45241.58333333333</v>
      </c>
      <c r="H1406" s="1" t="s">
        <v>57</v>
      </c>
      <c r="I1406" s="1" t="s">
        <v>1019</v>
      </c>
      <c r="J1406" s="219">
        <v>-2.5</v>
      </c>
      <c r="K1406" s="219">
        <v>-2.5</v>
      </c>
      <c r="L1406" s="219">
        <v>-134.0</v>
      </c>
      <c r="M1406" s="219" t="s">
        <v>867</v>
      </c>
      <c r="N1406" s="1">
        <v>222.0</v>
      </c>
      <c r="O1406" s="1">
        <v>188.0</v>
      </c>
      <c r="P1406" s="1">
        <v>1.0</v>
      </c>
      <c r="Q1406" s="1" t="b">
        <v>1</v>
      </c>
      <c r="R1406" s="1">
        <v>100.0</v>
      </c>
      <c r="S1406" s="1" t="s">
        <v>301</v>
      </c>
      <c r="T1406" s="1" t="s">
        <v>422</v>
      </c>
      <c r="U1406" s="1"/>
    </row>
    <row r="1407">
      <c r="A1407" s="218">
        <v>45236.92763550926</v>
      </c>
      <c r="B1407" s="1" t="s">
        <v>61</v>
      </c>
      <c r="C1407" s="1" t="s">
        <v>273</v>
      </c>
      <c r="D1407" s="1">
        <v>4.0</v>
      </c>
      <c r="E1407" s="1">
        <v>5.0</v>
      </c>
      <c r="F1407" s="1" t="s">
        <v>1565</v>
      </c>
      <c r="G1407" s="218">
        <v>45241.625</v>
      </c>
      <c r="H1407" s="1" t="s">
        <v>125</v>
      </c>
      <c r="I1407" s="1" t="s">
        <v>1185</v>
      </c>
      <c r="J1407" s="219">
        <v>-15.5</v>
      </c>
      <c r="K1407" s="219">
        <v>-15.5</v>
      </c>
      <c r="L1407" s="219">
        <v>530.0</v>
      </c>
      <c r="M1407" s="219" t="s">
        <v>104</v>
      </c>
      <c r="N1407" s="1">
        <v>314.0</v>
      </c>
      <c r="O1407" s="1">
        <v>296.0</v>
      </c>
      <c r="P1407" s="1">
        <v>1.0</v>
      </c>
      <c r="Q1407" s="1" t="b">
        <v>0</v>
      </c>
      <c r="R1407" s="1">
        <v>100.0</v>
      </c>
      <c r="S1407" s="1" t="s">
        <v>353</v>
      </c>
      <c r="T1407" s="1" t="s">
        <v>423</v>
      </c>
      <c r="U1407" s="1"/>
    </row>
    <row r="1408">
      <c r="A1408" s="218">
        <v>45236.92763550926</v>
      </c>
      <c r="B1408" s="1" t="s">
        <v>61</v>
      </c>
      <c r="C1408" s="1" t="s">
        <v>228</v>
      </c>
      <c r="D1408" s="1">
        <v>2.0</v>
      </c>
      <c r="E1408" s="1">
        <v>7.0</v>
      </c>
      <c r="F1408" s="1" t="s">
        <v>1554</v>
      </c>
      <c r="G1408" s="218">
        <v>45241.64583333333</v>
      </c>
      <c r="H1408" s="1" t="s">
        <v>67</v>
      </c>
      <c r="I1408" s="1" t="s">
        <v>935</v>
      </c>
      <c r="J1408" s="219">
        <v>-11.5</v>
      </c>
      <c r="K1408" s="219">
        <v>-11.5</v>
      </c>
      <c r="L1408" s="219">
        <v>365.0</v>
      </c>
      <c r="M1408" s="219" t="s">
        <v>73</v>
      </c>
      <c r="N1408" s="1">
        <v>197.0</v>
      </c>
      <c r="O1408" s="1">
        <v>278.0</v>
      </c>
      <c r="P1408" s="1">
        <v>1.0</v>
      </c>
      <c r="Q1408" s="1" t="b">
        <v>1</v>
      </c>
      <c r="R1408" s="1">
        <v>100.0</v>
      </c>
      <c r="S1408" s="1" t="s">
        <v>351</v>
      </c>
      <c r="T1408" s="1" t="s">
        <v>423</v>
      </c>
      <c r="U1408" s="1"/>
    </row>
    <row r="1409">
      <c r="A1409" s="218">
        <v>45236.92763550926</v>
      </c>
      <c r="B1409" s="1" t="s">
        <v>61</v>
      </c>
      <c r="C1409" s="1" t="s">
        <v>267</v>
      </c>
      <c r="D1409" s="1">
        <v>7.0</v>
      </c>
      <c r="E1409" s="1">
        <v>2.0</v>
      </c>
      <c r="F1409" s="1" t="s">
        <v>1561</v>
      </c>
      <c r="G1409" s="218">
        <v>45241.64583333333</v>
      </c>
      <c r="H1409" s="1" t="s">
        <v>69</v>
      </c>
      <c r="I1409" s="1" t="s">
        <v>76</v>
      </c>
      <c r="J1409" s="219">
        <v>-3.5</v>
      </c>
      <c r="K1409" s="219">
        <v>-2.5</v>
      </c>
      <c r="L1409" s="219">
        <v>-128.0</v>
      </c>
      <c r="M1409" s="219" t="s">
        <v>908</v>
      </c>
      <c r="N1409" s="1">
        <v>276.0</v>
      </c>
      <c r="O1409" s="1">
        <v>219.0</v>
      </c>
      <c r="P1409" s="1">
        <v>1.0</v>
      </c>
      <c r="Q1409" s="1" t="b">
        <v>0</v>
      </c>
      <c r="R1409" s="1">
        <v>100.0</v>
      </c>
      <c r="S1409" s="1" t="s">
        <v>296</v>
      </c>
      <c r="T1409" s="1" t="s">
        <v>422</v>
      </c>
      <c r="U1409" s="1"/>
    </row>
    <row r="1410">
      <c r="A1410" s="218">
        <v>45236.92763550926</v>
      </c>
      <c r="B1410" s="1" t="s">
        <v>61</v>
      </c>
      <c r="C1410" s="1" t="s">
        <v>266</v>
      </c>
      <c r="D1410" s="1">
        <v>7.0</v>
      </c>
      <c r="E1410" s="1">
        <v>2.0</v>
      </c>
      <c r="F1410" s="1" t="s">
        <v>1539</v>
      </c>
      <c r="G1410" s="218">
        <v>45241.64583333333</v>
      </c>
      <c r="H1410" s="1" t="s">
        <v>46</v>
      </c>
      <c r="I1410" s="1" t="s">
        <v>888</v>
      </c>
      <c r="J1410" s="219">
        <v>-5.5</v>
      </c>
      <c r="K1410" s="219">
        <v>-2.5</v>
      </c>
      <c r="L1410" s="219">
        <v>-100.0</v>
      </c>
      <c r="M1410" s="219" t="s">
        <v>1540</v>
      </c>
      <c r="N1410" s="1">
        <v>166.0</v>
      </c>
      <c r="O1410" s="1">
        <v>123.0</v>
      </c>
      <c r="P1410" s="1">
        <v>1.0</v>
      </c>
      <c r="Q1410" s="1" t="b">
        <v>0</v>
      </c>
      <c r="R1410" s="1">
        <v>100.0</v>
      </c>
      <c r="S1410" s="1" t="s">
        <v>282</v>
      </c>
      <c r="T1410" s="1" t="s">
        <v>422</v>
      </c>
      <c r="U1410" s="1"/>
    </row>
    <row r="1411">
      <c r="A1411" s="218">
        <v>45236.92763550926</v>
      </c>
      <c r="B1411" s="1" t="s">
        <v>61</v>
      </c>
      <c r="C1411" s="1" t="s">
        <v>271</v>
      </c>
      <c r="D1411" s="1">
        <v>3.0</v>
      </c>
      <c r="E1411" s="1">
        <v>6.0</v>
      </c>
      <c r="F1411" s="1" t="s">
        <v>1559</v>
      </c>
      <c r="G1411" s="218">
        <v>45241.64583333333</v>
      </c>
      <c r="H1411" s="1" t="s">
        <v>59</v>
      </c>
      <c r="I1411" s="1" t="s">
        <v>99</v>
      </c>
      <c r="J1411" s="219">
        <v>-4.5</v>
      </c>
      <c r="K1411" s="219">
        <v>-4.5</v>
      </c>
      <c r="L1411" s="219">
        <v>-200.0</v>
      </c>
      <c r="M1411" s="219" t="s">
        <v>68</v>
      </c>
      <c r="N1411" s="1">
        <v>277.0</v>
      </c>
      <c r="O1411" s="1">
        <v>343.0</v>
      </c>
      <c r="P1411" s="1">
        <v>1.0</v>
      </c>
      <c r="Q1411" s="1" t="b">
        <v>0</v>
      </c>
      <c r="R1411" s="1">
        <v>100.0</v>
      </c>
      <c r="S1411" s="1" t="s">
        <v>407</v>
      </c>
      <c r="T1411" s="1" t="s">
        <v>423</v>
      </c>
      <c r="U1411" s="1"/>
    </row>
    <row r="1412">
      <c r="A1412" s="218">
        <v>45243.92762878472</v>
      </c>
      <c r="B1412" s="1" t="s">
        <v>35</v>
      </c>
      <c r="C1412" s="1" t="s">
        <v>71</v>
      </c>
      <c r="D1412" s="1">
        <v>6.0</v>
      </c>
      <c r="E1412" s="1">
        <v>4.0</v>
      </c>
      <c r="F1412" s="1" t="s">
        <v>1566</v>
      </c>
      <c r="G1412" s="218">
        <v>45248.58333333333</v>
      </c>
      <c r="H1412" s="1" t="s">
        <v>125</v>
      </c>
      <c r="I1412" s="1" t="s">
        <v>935</v>
      </c>
      <c r="J1412" s="219">
        <v>11.5</v>
      </c>
      <c r="K1412" s="219">
        <v>11.5</v>
      </c>
      <c r="L1412" s="219">
        <v>365.0</v>
      </c>
      <c r="M1412" s="219" t="s">
        <v>840</v>
      </c>
      <c r="N1412" s="1">
        <v>348.0</v>
      </c>
      <c r="O1412" s="1">
        <v>270.0</v>
      </c>
      <c r="P1412" s="1">
        <v>1.0</v>
      </c>
      <c r="Q1412" s="1" t="b">
        <v>0</v>
      </c>
      <c r="R1412" s="1">
        <v>100.0</v>
      </c>
      <c r="S1412" s="1" t="s">
        <v>355</v>
      </c>
      <c r="T1412" s="1" t="s">
        <v>423</v>
      </c>
      <c r="U1412" s="1"/>
    </row>
    <row r="1413">
      <c r="A1413" s="218">
        <v>45243.92762878472</v>
      </c>
      <c r="B1413" s="1" t="s">
        <v>35</v>
      </c>
      <c r="C1413" s="1" t="s">
        <v>75</v>
      </c>
      <c r="D1413" s="1">
        <v>1.0</v>
      </c>
      <c r="E1413" s="1">
        <v>9.0</v>
      </c>
      <c r="F1413" s="1" t="s">
        <v>1567</v>
      </c>
      <c r="G1413" s="218">
        <v>45248.58333333333</v>
      </c>
      <c r="H1413" s="1" t="s">
        <v>60</v>
      </c>
      <c r="I1413" s="1" t="s">
        <v>935</v>
      </c>
      <c r="J1413" s="219">
        <v>12.5</v>
      </c>
      <c r="K1413" s="219">
        <v>12.5</v>
      </c>
      <c r="L1413" s="219">
        <v>420.0</v>
      </c>
      <c r="M1413" s="219" t="s">
        <v>1361</v>
      </c>
      <c r="N1413" s="1">
        <v>146.0</v>
      </c>
      <c r="O1413" s="1">
        <v>344.0</v>
      </c>
      <c r="P1413" s="1">
        <v>1.0</v>
      </c>
      <c r="Q1413" s="1" t="b">
        <v>1</v>
      </c>
      <c r="R1413" s="1">
        <v>100.0</v>
      </c>
      <c r="S1413" s="1" t="s">
        <v>352</v>
      </c>
      <c r="T1413" s="1" t="s">
        <v>423</v>
      </c>
      <c r="U1413" s="1"/>
    </row>
    <row r="1414">
      <c r="A1414" s="218">
        <v>45243.92762878472</v>
      </c>
      <c r="B1414" s="1" t="s">
        <v>35</v>
      </c>
      <c r="C1414" s="1" t="s">
        <v>81</v>
      </c>
      <c r="D1414" s="1">
        <v>3.0</v>
      </c>
      <c r="E1414" s="1">
        <v>7.0</v>
      </c>
      <c r="F1414" s="1" t="s">
        <v>1568</v>
      </c>
      <c r="G1414" s="218">
        <v>45248.625</v>
      </c>
      <c r="H1414" s="1" t="s">
        <v>61</v>
      </c>
      <c r="I1414" s="1" t="s">
        <v>935</v>
      </c>
      <c r="J1414" s="219">
        <v>7.5</v>
      </c>
      <c r="K1414" s="219">
        <v>6.5</v>
      </c>
      <c r="L1414" s="219">
        <v>215.0</v>
      </c>
      <c r="M1414" s="219" t="s">
        <v>990</v>
      </c>
      <c r="N1414" s="1">
        <v>208.0</v>
      </c>
      <c r="O1414" s="1">
        <v>349.0</v>
      </c>
      <c r="P1414" s="1">
        <v>1.0</v>
      </c>
      <c r="Q1414" s="1" t="b">
        <v>0</v>
      </c>
      <c r="R1414" s="1">
        <v>100.0</v>
      </c>
      <c r="S1414" s="1" t="s">
        <v>407</v>
      </c>
      <c r="T1414" s="1" t="s">
        <v>423</v>
      </c>
      <c r="U1414" s="1"/>
    </row>
    <row r="1415">
      <c r="A1415" s="218">
        <v>45243.92762878472</v>
      </c>
      <c r="B1415" s="1" t="s">
        <v>35</v>
      </c>
      <c r="C1415" s="1" t="s">
        <v>63</v>
      </c>
      <c r="D1415" s="1">
        <v>10.0</v>
      </c>
      <c r="E1415" s="1">
        <v>0.0</v>
      </c>
      <c r="F1415" s="1" t="s">
        <v>1569</v>
      </c>
      <c r="G1415" s="218">
        <v>45248.64583333333</v>
      </c>
      <c r="H1415" s="1" t="s">
        <v>61</v>
      </c>
      <c r="I1415" s="1" t="s">
        <v>86</v>
      </c>
      <c r="J1415" s="219">
        <v>-7.5</v>
      </c>
      <c r="K1415" s="219">
        <v>-10.0</v>
      </c>
      <c r="L1415" s="219">
        <v>-430.0</v>
      </c>
      <c r="M1415" s="219" t="s">
        <v>203</v>
      </c>
      <c r="N1415" s="1">
        <v>406.0</v>
      </c>
      <c r="O1415" s="1">
        <v>156.0</v>
      </c>
      <c r="P1415" s="1">
        <v>1.0</v>
      </c>
      <c r="Q1415" s="1" t="b">
        <v>1</v>
      </c>
      <c r="R1415" s="1">
        <v>100.0</v>
      </c>
      <c r="S1415" s="1" t="s">
        <v>292</v>
      </c>
      <c r="T1415" s="1" t="s">
        <v>422</v>
      </c>
      <c r="U1415" s="1"/>
    </row>
    <row r="1416">
      <c r="A1416" s="218">
        <v>45243.92762878472</v>
      </c>
      <c r="B1416" s="1" t="s">
        <v>35</v>
      </c>
      <c r="C1416" s="1" t="s">
        <v>78</v>
      </c>
      <c r="D1416" s="1">
        <v>2.0</v>
      </c>
      <c r="E1416" s="1">
        <v>8.0</v>
      </c>
      <c r="F1416" s="1" t="s">
        <v>1570</v>
      </c>
      <c r="G1416" s="218">
        <v>45248.64583333333</v>
      </c>
      <c r="H1416" s="1" t="s">
        <v>62</v>
      </c>
      <c r="I1416" s="1" t="s">
        <v>935</v>
      </c>
      <c r="J1416" s="219">
        <v>12.5</v>
      </c>
      <c r="K1416" s="219">
        <v>12.5</v>
      </c>
      <c r="L1416" s="219">
        <v>400.0</v>
      </c>
      <c r="M1416" s="219" t="s">
        <v>73</v>
      </c>
      <c r="N1416" s="1">
        <v>194.0</v>
      </c>
      <c r="O1416" s="1">
        <v>266.0</v>
      </c>
      <c r="P1416" s="1">
        <v>1.0</v>
      </c>
      <c r="Q1416" s="1" t="b">
        <v>0</v>
      </c>
      <c r="R1416" s="1">
        <v>100.0</v>
      </c>
      <c r="S1416" s="1" t="s">
        <v>351</v>
      </c>
      <c r="T1416" s="1" t="s">
        <v>423</v>
      </c>
      <c r="U1416" s="1"/>
    </row>
    <row r="1417">
      <c r="A1417" s="218">
        <v>45243.92762878472</v>
      </c>
      <c r="B1417" s="1" t="s">
        <v>35</v>
      </c>
      <c r="C1417" s="1" t="s">
        <v>74</v>
      </c>
      <c r="D1417" s="1">
        <v>7.0</v>
      </c>
      <c r="E1417" s="1">
        <v>3.0</v>
      </c>
      <c r="F1417" s="1" t="s">
        <v>1571</v>
      </c>
      <c r="G1417" s="218">
        <v>45248.79166666667</v>
      </c>
      <c r="H1417" s="1" t="s">
        <v>70</v>
      </c>
      <c r="I1417" s="1" t="s">
        <v>96</v>
      </c>
      <c r="J1417" s="219">
        <v>-6.5</v>
      </c>
      <c r="K1417" s="219">
        <v>-7.5</v>
      </c>
      <c r="L1417" s="219">
        <v>-315.0</v>
      </c>
      <c r="M1417" s="219" t="s">
        <v>840</v>
      </c>
      <c r="N1417" s="1">
        <v>388.0</v>
      </c>
      <c r="O1417" s="1">
        <v>185.0</v>
      </c>
      <c r="P1417" s="1">
        <v>1.0</v>
      </c>
      <c r="Q1417" s="1" t="b">
        <v>0</v>
      </c>
      <c r="R1417" s="1">
        <v>100.0</v>
      </c>
      <c r="S1417" s="1" t="s">
        <v>296</v>
      </c>
      <c r="T1417" s="1" t="s">
        <v>422</v>
      </c>
      <c r="U1417" s="1"/>
    </row>
    <row r="1418">
      <c r="A1418" s="218">
        <v>45243.92762878472</v>
      </c>
      <c r="B1418" s="1" t="s">
        <v>35</v>
      </c>
      <c r="C1418" s="1" t="s">
        <v>80</v>
      </c>
      <c r="D1418" s="1">
        <v>5.0</v>
      </c>
      <c r="E1418" s="1">
        <v>5.0</v>
      </c>
      <c r="F1418" s="1" t="s">
        <v>1572</v>
      </c>
      <c r="G1418" s="218">
        <v>45248.8125</v>
      </c>
      <c r="H1418" s="1" t="s">
        <v>69</v>
      </c>
      <c r="I1418" s="1" t="s">
        <v>90</v>
      </c>
      <c r="J1418" s="219">
        <v>5.5</v>
      </c>
      <c r="K1418" s="219">
        <v>6.5</v>
      </c>
      <c r="L1418" s="219">
        <v>188.0</v>
      </c>
      <c r="M1418" s="219" t="s">
        <v>1365</v>
      </c>
      <c r="N1418" s="1">
        <v>189.0</v>
      </c>
      <c r="O1418" s="1">
        <v>182.0</v>
      </c>
      <c r="P1418" s="1">
        <v>1.0</v>
      </c>
      <c r="Q1418" s="1" t="b">
        <v>1</v>
      </c>
      <c r="R1418" s="1">
        <v>100.0</v>
      </c>
      <c r="S1418" s="1" t="s">
        <v>282</v>
      </c>
      <c r="T1418" s="1" t="s">
        <v>422</v>
      </c>
      <c r="U1418" s="1"/>
    </row>
    <row r="1419">
      <c r="A1419" s="218">
        <v>45243.92762878472</v>
      </c>
      <c r="B1419" s="1" t="s">
        <v>35</v>
      </c>
      <c r="C1419" s="1" t="s">
        <v>88</v>
      </c>
      <c r="D1419" s="1">
        <v>3.0</v>
      </c>
      <c r="E1419" s="1">
        <v>7.0</v>
      </c>
      <c r="F1419" s="1" t="s">
        <v>1573</v>
      </c>
      <c r="G1419" s="218">
        <v>45248.9375</v>
      </c>
      <c r="H1419" s="1" t="s">
        <v>62</v>
      </c>
      <c r="I1419" s="1" t="s">
        <v>96</v>
      </c>
      <c r="J1419" s="219">
        <v>24.5</v>
      </c>
      <c r="K1419" s="219">
        <v>24.5</v>
      </c>
      <c r="L1419" s="219">
        <v>1100.0</v>
      </c>
      <c r="M1419" s="219" t="s">
        <v>104</v>
      </c>
      <c r="N1419" s="1">
        <v>261.0</v>
      </c>
      <c r="O1419" s="1">
        <v>360.0</v>
      </c>
      <c r="P1419" s="1">
        <v>1.0</v>
      </c>
      <c r="Q1419" s="1" t="b">
        <v>0</v>
      </c>
      <c r="R1419" s="1">
        <v>100.0</v>
      </c>
      <c r="S1419" s="1" t="s">
        <v>353</v>
      </c>
      <c r="T1419" s="1" t="s">
        <v>423</v>
      </c>
      <c r="U1419" s="1"/>
    </row>
    <row r="1420">
      <c r="A1420" s="218">
        <v>45243.92762878472</v>
      </c>
      <c r="B1420" s="1" t="s">
        <v>35</v>
      </c>
      <c r="C1420" s="1" t="s">
        <v>38</v>
      </c>
      <c r="D1420" s="1">
        <v>9.0</v>
      </c>
      <c r="E1420" s="1">
        <v>1.0</v>
      </c>
      <c r="F1420" s="1" t="s">
        <v>1574</v>
      </c>
      <c r="G1420" s="218">
        <v>45248.0</v>
      </c>
      <c r="H1420" s="1" t="s">
        <v>60</v>
      </c>
      <c r="I1420" s="1" t="s">
        <v>92</v>
      </c>
      <c r="J1420" s="219">
        <v>-22.5</v>
      </c>
      <c r="K1420" s="219">
        <v>-22.5</v>
      </c>
      <c r="L1420" s="219">
        <v>-2800.0</v>
      </c>
      <c r="M1420" s="219" t="s">
        <v>114</v>
      </c>
      <c r="N1420" s="1">
        <v>463.0</v>
      </c>
      <c r="O1420" s="1">
        <v>171.0</v>
      </c>
      <c r="P1420" s="1">
        <v>1.0</v>
      </c>
      <c r="Q1420" s="1" t="b">
        <v>0</v>
      </c>
      <c r="R1420" s="1">
        <v>100.0</v>
      </c>
      <c r="S1420" s="1" t="s">
        <v>354</v>
      </c>
      <c r="T1420" s="1" t="s">
        <v>422</v>
      </c>
      <c r="U1420" s="1"/>
    </row>
    <row r="1421">
      <c r="A1421" s="218">
        <v>45243.92762878472</v>
      </c>
      <c r="B1421" s="1" t="s">
        <v>35</v>
      </c>
      <c r="C1421" s="1" t="s">
        <v>79</v>
      </c>
      <c r="D1421" s="1">
        <v>6.0</v>
      </c>
      <c r="E1421" s="1">
        <v>4.0</v>
      </c>
      <c r="F1421" s="1" t="s">
        <v>1575</v>
      </c>
      <c r="G1421" s="218">
        <v>45248.5</v>
      </c>
      <c r="H1421" s="1" t="s">
        <v>60</v>
      </c>
      <c r="I1421" s="1" t="s">
        <v>36</v>
      </c>
      <c r="J1421" s="219">
        <v>-1.5</v>
      </c>
      <c r="K1421" s="219">
        <v>2.5</v>
      </c>
      <c r="L1421" s="219">
        <v>-126.0</v>
      </c>
      <c r="M1421" s="219" t="s">
        <v>151</v>
      </c>
      <c r="N1421" s="1">
        <v>309.0</v>
      </c>
      <c r="O1421" s="1">
        <v>207.0</v>
      </c>
      <c r="P1421" s="1">
        <v>1.0</v>
      </c>
      <c r="Q1421" s="1" t="b">
        <v>0</v>
      </c>
      <c r="R1421" s="1">
        <v>100.0</v>
      </c>
      <c r="S1421" s="1" t="s">
        <v>301</v>
      </c>
      <c r="T1421" s="1" t="s">
        <v>422</v>
      </c>
      <c r="U1421" s="1"/>
    </row>
    <row r="1422">
      <c r="A1422" s="218">
        <v>45243.92762878472</v>
      </c>
      <c r="B1422" s="1"/>
      <c r="C1422" s="1"/>
      <c r="D1422" s="1"/>
      <c r="E1422" s="1"/>
      <c r="F1422" s="1"/>
      <c r="G1422" s="218"/>
      <c r="H1422" s="1"/>
      <c r="I1422" s="1"/>
      <c r="J1422" s="219"/>
      <c r="K1422" s="219"/>
      <c r="L1422" s="219"/>
      <c r="M1422" s="219"/>
      <c r="N1422" s="1"/>
      <c r="O1422" s="1"/>
      <c r="P1422" s="1"/>
      <c r="Q1422" s="1"/>
      <c r="R1422" s="1"/>
      <c r="S1422" s="1" t="e">
        <v>#N/A</v>
      </c>
      <c r="T1422" s="1" t="e">
        <v>#N/A</v>
      </c>
      <c r="U1422" s="1"/>
    </row>
    <row r="1423">
      <c r="A1423" s="218">
        <v>45243.92762878472</v>
      </c>
      <c r="B1423" s="1" t="s">
        <v>58</v>
      </c>
      <c r="C1423" s="1" t="s">
        <v>117</v>
      </c>
      <c r="D1423" s="1">
        <v>4.0</v>
      </c>
      <c r="E1423" s="1">
        <v>6.0</v>
      </c>
      <c r="F1423" s="1" t="s">
        <v>1576</v>
      </c>
      <c r="G1423" s="218">
        <v>45244.79166666667</v>
      </c>
      <c r="H1423" s="1" t="s">
        <v>61</v>
      </c>
      <c r="I1423" s="1" t="s">
        <v>40</v>
      </c>
      <c r="J1423" s="219">
        <v>-3.5</v>
      </c>
      <c r="K1423" s="219">
        <v>-4.5</v>
      </c>
      <c r="L1423" s="219">
        <v>172.0</v>
      </c>
      <c r="M1423" s="219" t="s">
        <v>840</v>
      </c>
      <c r="N1423" s="1">
        <v>242.0</v>
      </c>
      <c r="O1423" s="1">
        <v>227.0</v>
      </c>
      <c r="P1423" s="1">
        <v>1.0</v>
      </c>
      <c r="Q1423" s="1" t="b">
        <v>0</v>
      </c>
      <c r="R1423" s="1">
        <v>100.0</v>
      </c>
      <c r="S1423" s="1" t="s">
        <v>352</v>
      </c>
      <c r="T1423" s="1" t="s">
        <v>423</v>
      </c>
      <c r="U1423" s="1"/>
    </row>
    <row r="1424">
      <c r="A1424" s="218">
        <v>45243.92762878472</v>
      </c>
      <c r="B1424" s="1" t="s">
        <v>58</v>
      </c>
      <c r="C1424" s="1" t="s">
        <v>102</v>
      </c>
      <c r="D1424" s="1">
        <v>10.0</v>
      </c>
      <c r="E1424" s="1">
        <v>0.0</v>
      </c>
      <c r="F1424" s="1" t="s">
        <v>1577</v>
      </c>
      <c r="G1424" s="218">
        <v>45248.54166666667</v>
      </c>
      <c r="H1424" s="1" t="s">
        <v>60</v>
      </c>
      <c r="I1424" s="1" t="s">
        <v>935</v>
      </c>
      <c r="J1424" s="219">
        <v>-27.5</v>
      </c>
      <c r="K1424" s="219">
        <v>-27.5</v>
      </c>
      <c r="L1424" s="219">
        <v>1280.0</v>
      </c>
      <c r="M1424" s="219" t="s">
        <v>971</v>
      </c>
      <c r="N1424" s="1">
        <v>390.0</v>
      </c>
      <c r="O1424" s="1">
        <v>207.0</v>
      </c>
      <c r="P1424" s="1">
        <v>1.0</v>
      </c>
      <c r="Q1424" s="1" t="b">
        <v>1</v>
      </c>
      <c r="R1424" s="1">
        <v>100.0</v>
      </c>
      <c r="S1424" s="1" t="s">
        <v>351</v>
      </c>
      <c r="T1424" s="1" t="s">
        <v>423</v>
      </c>
      <c r="U1424" s="1"/>
    </row>
    <row r="1425">
      <c r="A1425" s="218">
        <v>45243.92762878472</v>
      </c>
      <c r="B1425" s="1" t="s">
        <v>58</v>
      </c>
      <c r="C1425" s="1" t="s">
        <v>105</v>
      </c>
      <c r="D1425" s="1">
        <v>4.0</v>
      </c>
      <c r="E1425" s="1">
        <v>6.0</v>
      </c>
      <c r="F1425" s="1" t="s">
        <v>1578</v>
      </c>
      <c r="G1425" s="218">
        <v>45248.625</v>
      </c>
      <c r="H1425" s="1" t="s">
        <v>125</v>
      </c>
      <c r="I1425" s="1" t="s">
        <v>1185</v>
      </c>
      <c r="J1425" s="219">
        <v>-11.5</v>
      </c>
      <c r="K1425" s="219">
        <v>-11.5</v>
      </c>
      <c r="L1425" s="219">
        <v>390.0</v>
      </c>
      <c r="M1425" s="219" t="s">
        <v>151</v>
      </c>
      <c r="N1425" s="1">
        <v>259.0</v>
      </c>
      <c r="O1425" s="1">
        <v>308.0</v>
      </c>
      <c r="P1425" s="1">
        <v>1.0</v>
      </c>
      <c r="Q1425" s="1" t="b">
        <v>1</v>
      </c>
      <c r="R1425" s="1">
        <v>100.0</v>
      </c>
      <c r="S1425" s="1" t="s">
        <v>353</v>
      </c>
      <c r="T1425" s="1" t="s">
        <v>423</v>
      </c>
      <c r="U1425" s="1"/>
    </row>
    <row r="1426">
      <c r="A1426" s="218">
        <v>45243.92762878472</v>
      </c>
      <c r="B1426" s="1" t="s">
        <v>58</v>
      </c>
      <c r="C1426" s="1" t="s">
        <v>109</v>
      </c>
      <c r="D1426" s="1">
        <v>6.0</v>
      </c>
      <c r="E1426" s="1">
        <v>4.0</v>
      </c>
      <c r="F1426" s="1" t="s">
        <v>1579</v>
      </c>
      <c r="G1426" s="218">
        <v>45248.64583333333</v>
      </c>
      <c r="H1426" s="1" t="s">
        <v>57</v>
      </c>
      <c r="I1426" s="1" t="s">
        <v>82</v>
      </c>
      <c r="J1426" s="219">
        <v>6.5</v>
      </c>
      <c r="K1426" s="219">
        <v>6.5</v>
      </c>
      <c r="L1426" s="219">
        <v>215.0</v>
      </c>
      <c r="M1426" s="219" t="s">
        <v>47</v>
      </c>
      <c r="N1426" s="1">
        <v>264.0</v>
      </c>
      <c r="O1426" s="1">
        <v>164.0</v>
      </c>
      <c r="P1426" s="1">
        <v>1.0</v>
      </c>
      <c r="Q1426" s="1" t="b">
        <v>1</v>
      </c>
      <c r="R1426" s="1">
        <v>100.0</v>
      </c>
      <c r="S1426" s="1" t="s">
        <v>354</v>
      </c>
      <c r="T1426" s="1" t="s">
        <v>422</v>
      </c>
      <c r="U1426" s="1"/>
    </row>
    <row r="1427">
      <c r="A1427" s="218">
        <v>45243.92762878472</v>
      </c>
      <c r="B1427" s="1" t="s">
        <v>58</v>
      </c>
      <c r="C1427" s="1" t="s">
        <v>113</v>
      </c>
      <c r="D1427" s="1">
        <v>5.0</v>
      </c>
      <c r="E1427" s="1">
        <v>5.0</v>
      </c>
      <c r="F1427" s="1" t="s">
        <v>1580</v>
      </c>
      <c r="G1427" s="218">
        <v>45248.64583333333</v>
      </c>
      <c r="H1427" s="1" t="s">
        <v>61</v>
      </c>
      <c r="I1427" s="1" t="s">
        <v>900</v>
      </c>
      <c r="J1427" s="219">
        <v>-3.0</v>
      </c>
      <c r="K1427" s="219">
        <v>-3.0</v>
      </c>
      <c r="L1427" s="219">
        <v>128.0</v>
      </c>
      <c r="M1427" s="219" t="s">
        <v>867</v>
      </c>
      <c r="N1427" s="1">
        <v>260.0</v>
      </c>
      <c r="O1427" s="1">
        <v>239.0</v>
      </c>
      <c r="P1427" s="1">
        <v>1.0</v>
      </c>
      <c r="Q1427" s="1" t="b">
        <v>0</v>
      </c>
      <c r="R1427" s="1">
        <v>100.0</v>
      </c>
      <c r="S1427" s="1" t="s">
        <v>301</v>
      </c>
      <c r="T1427" s="1" t="s">
        <v>422</v>
      </c>
      <c r="U1427" s="1"/>
    </row>
    <row r="1428">
      <c r="A1428" s="218">
        <v>45243.92762878472</v>
      </c>
      <c r="B1428" s="1" t="s">
        <v>58</v>
      </c>
      <c r="C1428" s="1" t="s">
        <v>116</v>
      </c>
      <c r="D1428" s="1">
        <v>5.0</v>
      </c>
      <c r="E1428" s="1">
        <v>5.0</v>
      </c>
      <c r="F1428" s="1" t="s">
        <v>1581</v>
      </c>
      <c r="G1428" s="218">
        <v>45248.66666666667</v>
      </c>
      <c r="H1428" s="1" t="s">
        <v>57</v>
      </c>
      <c r="I1428" s="1" t="s">
        <v>888</v>
      </c>
      <c r="J1428" s="219">
        <v>28.5</v>
      </c>
      <c r="K1428" s="219">
        <v>28.5</v>
      </c>
      <c r="L1428" s="219">
        <v>1600.0</v>
      </c>
      <c r="M1428" s="219" t="s">
        <v>854</v>
      </c>
      <c r="N1428" s="1">
        <v>225.0</v>
      </c>
      <c r="O1428" s="1">
        <v>258.0</v>
      </c>
      <c r="P1428" s="1">
        <v>1.0</v>
      </c>
      <c r="Q1428" s="1" t="b">
        <v>0</v>
      </c>
      <c r="R1428" s="1">
        <v>100.0</v>
      </c>
      <c r="S1428" s="1" t="s">
        <v>282</v>
      </c>
      <c r="T1428" s="1" t="s">
        <v>422</v>
      </c>
      <c r="U1428" s="1"/>
    </row>
    <row r="1429">
      <c r="A1429" s="218">
        <v>45243.92762878472</v>
      </c>
      <c r="B1429" s="1" t="s">
        <v>58</v>
      </c>
      <c r="C1429" s="1" t="s">
        <v>112</v>
      </c>
      <c r="D1429" s="1">
        <v>6.0</v>
      </c>
      <c r="E1429" s="1">
        <v>4.0</v>
      </c>
      <c r="F1429" s="1" t="s">
        <v>1582</v>
      </c>
      <c r="G1429" s="218">
        <v>45248.66666666667</v>
      </c>
      <c r="H1429" s="1" t="s">
        <v>57</v>
      </c>
      <c r="I1429" s="1" t="s">
        <v>945</v>
      </c>
      <c r="J1429" s="219">
        <v>-21.5</v>
      </c>
      <c r="K1429" s="219">
        <v>-21.5</v>
      </c>
      <c r="L1429" s="219">
        <v>1100.0</v>
      </c>
      <c r="M1429" s="219" t="s">
        <v>854</v>
      </c>
      <c r="N1429" s="1">
        <v>293.0</v>
      </c>
      <c r="O1429" s="1">
        <v>205.0</v>
      </c>
      <c r="P1429" s="1">
        <v>1.0</v>
      </c>
      <c r="Q1429" s="1" t="b">
        <v>0</v>
      </c>
      <c r="R1429" s="1">
        <v>100.0</v>
      </c>
      <c r="S1429" s="1" t="s">
        <v>292</v>
      </c>
      <c r="T1429" s="1" t="s">
        <v>422</v>
      </c>
      <c r="U1429" s="1"/>
    </row>
    <row r="1430">
      <c r="A1430" s="218">
        <v>45243.92762878472</v>
      </c>
      <c r="B1430" s="1" t="s">
        <v>58</v>
      </c>
      <c r="C1430" s="1" t="s">
        <v>111</v>
      </c>
      <c r="D1430" s="1">
        <v>5.0</v>
      </c>
      <c r="E1430" s="1">
        <v>5.0</v>
      </c>
      <c r="F1430" s="1" t="s">
        <v>1583</v>
      </c>
      <c r="G1430" s="218">
        <v>45248.70833333333</v>
      </c>
      <c r="H1430" s="1" t="s">
        <v>67</v>
      </c>
      <c r="I1430" s="1" t="s">
        <v>935</v>
      </c>
      <c r="J1430" s="219">
        <v>8.5</v>
      </c>
      <c r="K1430" s="219">
        <v>9.5</v>
      </c>
      <c r="L1430" s="219">
        <v>315.0</v>
      </c>
      <c r="M1430" s="219" t="s">
        <v>845</v>
      </c>
      <c r="N1430" s="1">
        <v>244.0</v>
      </c>
      <c r="O1430" s="1">
        <v>289.0</v>
      </c>
      <c r="P1430" s="1">
        <v>1.0</v>
      </c>
      <c r="Q1430" s="1" t="b">
        <v>1</v>
      </c>
      <c r="R1430" s="1">
        <v>100.0</v>
      </c>
      <c r="S1430" s="1" t="s">
        <v>355</v>
      </c>
      <c r="T1430" s="1" t="s">
        <v>423</v>
      </c>
      <c r="U1430" s="1"/>
    </row>
    <row r="1431">
      <c r="A1431" s="218">
        <v>45243.92762878472</v>
      </c>
      <c r="B1431" s="1" t="s">
        <v>58</v>
      </c>
      <c r="C1431" s="1" t="s">
        <v>119</v>
      </c>
      <c r="D1431" s="1">
        <v>5.0</v>
      </c>
      <c r="E1431" s="1">
        <v>5.0</v>
      </c>
      <c r="F1431" s="1" t="s">
        <v>1584</v>
      </c>
      <c r="G1431" s="218">
        <v>45248.5</v>
      </c>
      <c r="H1431" s="1" t="s">
        <v>60</v>
      </c>
      <c r="I1431" s="1" t="s">
        <v>76</v>
      </c>
      <c r="J1431" s="219">
        <v>24.5</v>
      </c>
      <c r="K1431" s="219">
        <v>24.5</v>
      </c>
      <c r="L1431" s="219">
        <v>-2100.0</v>
      </c>
      <c r="M1431" s="219" t="s">
        <v>104</v>
      </c>
      <c r="N1431" s="1">
        <v>219.0</v>
      </c>
      <c r="O1431" s="1">
        <v>287.0</v>
      </c>
      <c r="P1431" s="1">
        <v>1.0</v>
      </c>
      <c r="Q1431" s="1" t="b">
        <v>1</v>
      </c>
      <c r="R1431" s="1">
        <v>100.0</v>
      </c>
      <c r="S1431" s="1" t="s">
        <v>296</v>
      </c>
      <c r="T1431" s="1" t="s">
        <v>422</v>
      </c>
      <c r="U1431" s="1"/>
    </row>
    <row r="1432">
      <c r="A1432" s="218">
        <v>45243.92762878472</v>
      </c>
      <c r="B1432" s="1" t="s">
        <v>58</v>
      </c>
      <c r="C1432" s="1" t="s">
        <v>118</v>
      </c>
      <c r="D1432" s="1">
        <v>8.0</v>
      </c>
      <c r="E1432" s="1">
        <v>2.0</v>
      </c>
      <c r="F1432" s="1" t="s">
        <v>1585</v>
      </c>
      <c r="G1432" s="218">
        <v>45248.5</v>
      </c>
      <c r="H1432" s="1" t="s">
        <v>60</v>
      </c>
      <c r="I1432" s="1" t="s">
        <v>36</v>
      </c>
      <c r="J1432" s="219">
        <v>7.5</v>
      </c>
      <c r="K1432" s="219">
        <v>6.5</v>
      </c>
      <c r="L1432" s="219">
        <v>-295.0</v>
      </c>
      <c r="M1432" s="219" t="s">
        <v>871</v>
      </c>
      <c r="N1432" s="1">
        <v>397.0</v>
      </c>
      <c r="O1432" s="1">
        <v>289.0</v>
      </c>
      <c r="P1432" s="1">
        <v>1.0</v>
      </c>
      <c r="Q1432" s="1" t="b">
        <v>0</v>
      </c>
      <c r="R1432" s="1">
        <v>100.0</v>
      </c>
      <c r="S1432" s="1" t="s">
        <v>407</v>
      </c>
      <c r="T1432" s="1" t="s">
        <v>423</v>
      </c>
      <c r="U1432" s="1"/>
    </row>
    <row r="1433">
      <c r="A1433" s="218">
        <v>45243.92762878472</v>
      </c>
      <c r="B1433" s="1"/>
      <c r="C1433" s="1"/>
      <c r="D1433" s="1"/>
      <c r="E1433" s="1"/>
      <c r="F1433" s="1"/>
      <c r="G1433" s="218"/>
      <c r="H1433" s="1"/>
      <c r="I1433" s="1"/>
      <c r="J1433" s="219"/>
      <c r="K1433" s="219"/>
      <c r="L1433" s="219"/>
      <c r="M1433" s="219"/>
      <c r="N1433" s="1"/>
      <c r="O1433" s="1"/>
      <c r="P1433" s="1"/>
      <c r="Q1433" s="1"/>
      <c r="R1433" s="1"/>
      <c r="S1433" s="1" t="e">
        <v>#N/A</v>
      </c>
      <c r="T1433" s="1" t="e">
        <v>#N/A</v>
      </c>
      <c r="U1433" s="1"/>
    </row>
    <row r="1434">
      <c r="A1434" s="218">
        <v>45243.92762878472</v>
      </c>
      <c r="B1434" s="1" t="s">
        <v>56</v>
      </c>
      <c r="C1434" s="1" t="s">
        <v>120</v>
      </c>
      <c r="D1434" s="1">
        <v>9.0</v>
      </c>
      <c r="E1434" s="1">
        <v>1.0</v>
      </c>
      <c r="F1434" s="1" t="s">
        <v>1586</v>
      </c>
      <c r="G1434" s="218">
        <v>45244.79166666667</v>
      </c>
      <c r="H1434" s="1" t="s">
        <v>67</v>
      </c>
      <c r="I1434" s="1" t="s">
        <v>36</v>
      </c>
      <c r="J1434" s="219">
        <v>-7.0</v>
      </c>
      <c r="K1434" s="219">
        <v>-9.5</v>
      </c>
      <c r="L1434" s="219">
        <v>-385.0</v>
      </c>
      <c r="M1434" s="219" t="s">
        <v>845</v>
      </c>
      <c r="N1434" s="1">
        <v>359.0</v>
      </c>
      <c r="O1434" s="1">
        <v>197.0</v>
      </c>
      <c r="P1434" s="1">
        <v>1.0</v>
      </c>
      <c r="Q1434" s="1" t="b">
        <v>1</v>
      </c>
      <c r="R1434" s="1">
        <v>100.0</v>
      </c>
      <c r="S1434" s="1" t="s">
        <v>352</v>
      </c>
      <c r="T1434" s="1" t="s">
        <v>423</v>
      </c>
      <c r="U1434" s="1"/>
    </row>
    <row r="1435">
      <c r="A1435" s="218">
        <v>45243.92762878472</v>
      </c>
      <c r="B1435" s="1" t="s">
        <v>56</v>
      </c>
      <c r="C1435" s="1" t="s">
        <v>126</v>
      </c>
      <c r="D1435" s="1">
        <v>6.0</v>
      </c>
      <c r="E1435" s="1">
        <v>4.0</v>
      </c>
      <c r="F1435" s="1" t="s">
        <v>1587</v>
      </c>
      <c r="G1435" s="218">
        <v>45248.625</v>
      </c>
      <c r="H1435" s="1" t="s">
        <v>69</v>
      </c>
      <c r="I1435" s="1" t="s">
        <v>935</v>
      </c>
      <c r="J1435" s="219">
        <v>-4.5</v>
      </c>
      <c r="K1435" s="219">
        <v>-4.5</v>
      </c>
      <c r="L1435" s="219">
        <v>-196.0</v>
      </c>
      <c r="M1435" s="219" t="s">
        <v>954</v>
      </c>
      <c r="N1435" s="1">
        <v>349.0</v>
      </c>
      <c r="O1435" s="1">
        <v>285.0</v>
      </c>
      <c r="P1435" s="1">
        <v>1.0</v>
      </c>
      <c r="Q1435" s="1" t="b">
        <v>1</v>
      </c>
      <c r="R1435" s="1">
        <v>100.0</v>
      </c>
      <c r="S1435" s="1" t="s">
        <v>355</v>
      </c>
      <c r="T1435" s="1" t="s">
        <v>423</v>
      </c>
      <c r="U1435" s="1"/>
    </row>
    <row r="1436">
      <c r="A1436" s="218">
        <v>45243.92762878472</v>
      </c>
      <c r="B1436" s="1" t="s">
        <v>56</v>
      </c>
      <c r="C1436" s="1" t="s">
        <v>128</v>
      </c>
      <c r="D1436" s="1">
        <v>7.0</v>
      </c>
      <c r="E1436" s="1">
        <v>3.0</v>
      </c>
      <c r="F1436" s="1" t="s">
        <v>1588</v>
      </c>
      <c r="G1436" s="218">
        <v>45248.64583333333</v>
      </c>
      <c r="H1436" s="1" t="s">
        <v>57</v>
      </c>
      <c r="I1436" s="1" t="s">
        <v>90</v>
      </c>
      <c r="J1436" s="219">
        <v>-23.5</v>
      </c>
      <c r="K1436" s="219">
        <v>-24.5</v>
      </c>
      <c r="L1436" s="219">
        <v>1280.0</v>
      </c>
      <c r="M1436" s="219" t="s">
        <v>151</v>
      </c>
      <c r="N1436" s="1">
        <v>368.0</v>
      </c>
      <c r="O1436" s="1">
        <v>169.0</v>
      </c>
      <c r="P1436" s="1">
        <v>1.0</v>
      </c>
      <c r="Q1436" s="1" t="b">
        <v>0</v>
      </c>
      <c r="R1436" s="1">
        <v>100.0</v>
      </c>
      <c r="S1436" s="1" t="s">
        <v>354</v>
      </c>
      <c r="T1436" s="1" t="s">
        <v>422</v>
      </c>
      <c r="U1436" s="1"/>
    </row>
    <row r="1437">
      <c r="A1437" s="218">
        <v>45243.92762878472</v>
      </c>
      <c r="B1437" s="1" t="s">
        <v>56</v>
      </c>
      <c r="C1437" s="1" t="s">
        <v>127</v>
      </c>
      <c r="D1437" s="1">
        <v>5.0</v>
      </c>
      <c r="E1437" s="1">
        <v>5.0</v>
      </c>
      <c r="F1437" s="1" t="s">
        <v>1589</v>
      </c>
      <c r="G1437" s="218">
        <v>45248.8125</v>
      </c>
      <c r="H1437" s="1" t="s">
        <v>59</v>
      </c>
      <c r="I1437" s="1" t="s">
        <v>76</v>
      </c>
      <c r="J1437" s="219">
        <v>10.5</v>
      </c>
      <c r="K1437" s="219">
        <v>11.5</v>
      </c>
      <c r="L1437" s="219">
        <v>360.0</v>
      </c>
      <c r="M1437" s="219" t="s">
        <v>203</v>
      </c>
      <c r="N1437" s="1">
        <v>295.0</v>
      </c>
      <c r="O1437" s="1">
        <v>274.0</v>
      </c>
      <c r="P1437" s="1">
        <v>1.0</v>
      </c>
      <c r="Q1437" s="1" t="b">
        <v>0</v>
      </c>
      <c r="R1437" s="1">
        <v>100.0</v>
      </c>
      <c r="S1437" s="1" t="s">
        <v>292</v>
      </c>
      <c r="T1437" s="1" t="s">
        <v>422</v>
      </c>
      <c r="U1437" s="1"/>
    </row>
    <row r="1438">
      <c r="A1438" s="218">
        <v>45243.92762878472</v>
      </c>
      <c r="B1438" s="1" t="s">
        <v>56</v>
      </c>
      <c r="C1438" s="1" t="s">
        <v>124</v>
      </c>
      <c r="D1438" s="1">
        <v>6.0</v>
      </c>
      <c r="E1438" s="1">
        <v>4.0</v>
      </c>
      <c r="F1438" s="1" t="s">
        <v>1590</v>
      </c>
      <c r="G1438" s="218">
        <v>45248.83333333333</v>
      </c>
      <c r="H1438" s="1" t="s">
        <v>125</v>
      </c>
      <c r="I1438" s="1" t="s">
        <v>92</v>
      </c>
      <c r="J1438" s="219">
        <v>8.5</v>
      </c>
      <c r="K1438" s="219">
        <v>8.5</v>
      </c>
      <c r="L1438" s="219">
        <v>-330.0</v>
      </c>
      <c r="M1438" s="219" t="s">
        <v>151</v>
      </c>
      <c r="N1438" s="1">
        <v>257.0</v>
      </c>
      <c r="O1438" s="1">
        <v>199.0</v>
      </c>
      <c r="P1438" s="1">
        <v>1.0</v>
      </c>
      <c r="Q1438" s="1" t="b">
        <v>0</v>
      </c>
      <c r="R1438" s="1">
        <v>100.0</v>
      </c>
      <c r="S1438" s="1" t="s">
        <v>296</v>
      </c>
      <c r="T1438" s="1" t="s">
        <v>422</v>
      </c>
      <c r="U1438" s="1"/>
    </row>
    <row r="1439">
      <c r="A1439" s="218">
        <v>45243.92762878472</v>
      </c>
      <c r="B1439" s="1" t="s">
        <v>56</v>
      </c>
      <c r="C1439" s="1" t="s">
        <v>130</v>
      </c>
      <c r="D1439" s="1">
        <v>5.0</v>
      </c>
      <c r="E1439" s="1">
        <v>5.0</v>
      </c>
      <c r="F1439" s="1" t="s">
        <v>1591</v>
      </c>
      <c r="G1439" s="218">
        <v>45248.83333333333</v>
      </c>
      <c r="H1439" s="1" t="s">
        <v>59</v>
      </c>
      <c r="I1439" s="1" t="s">
        <v>900</v>
      </c>
      <c r="J1439" s="219">
        <v>6.5</v>
      </c>
      <c r="K1439" s="219">
        <v>6.5</v>
      </c>
      <c r="L1439" s="219">
        <v>195.0</v>
      </c>
      <c r="M1439" s="219" t="s">
        <v>114</v>
      </c>
      <c r="N1439" s="1">
        <v>249.0</v>
      </c>
      <c r="O1439" s="1">
        <v>223.0</v>
      </c>
      <c r="P1439" s="1">
        <v>1.0</v>
      </c>
      <c r="Q1439" s="1" t="b">
        <v>0</v>
      </c>
      <c r="R1439" s="1">
        <v>100.0</v>
      </c>
      <c r="S1439" s="1" t="s">
        <v>301</v>
      </c>
      <c r="T1439" s="1" t="s">
        <v>422</v>
      </c>
      <c r="U1439" s="1"/>
    </row>
    <row r="1440">
      <c r="A1440" s="218">
        <v>45243.92762878472</v>
      </c>
      <c r="B1440" s="1" t="s">
        <v>56</v>
      </c>
      <c r="C1440" s="1" t="s">
        <v>129</v>
      </c>
      <c r="D1440" s="1">
        <v>5.0</v>
      </c>
      <c r="E1440" s="1">
        <v>5.0</v>
      </c>
      <c r="F1440" s="1" t="s">
        <v>1592</v>
      </c>
      <c r="G1440" s="218">
        <v>45248.9375</v>
      </c>
      <c r="H1440" s="1" t="s">
        <v>70</v>
      </c>
      <c r="I1440" s="1" t="s">
        <v>99</v>
      </c>
      <c r="J1440" s="219"/>
      <c r="K1440" s="219"/>
      <c r="L1440" s="219"/>
      <c r="M1440" s="219"/>
      <c r="N1440" s="1">
        <v>339.0</v>
      </c>
      <c r="O1440" s="1">
        <v>265.0</v>
      </c>
      <c r="P1440" s="1">
        <v>1.0</v>
      </c>
      <c r="Q1440" s="1" t="b">
        <v>1</v>
      </c>
      <c r="R1440" s="1">
        <v>100.0</v>
      </c>
      <c r="S1440" s="1" t="s">
        <v>353</v>
      </c>
      <c r="T1440" s="1" t="s">
        <v>423</v>
      </c>
      <c r="U1440" s="1"/>
    </row>
    <row r="1441">
      <c r="A1441" s="218">
        <v>45243.92762878472</v>
      </c>
      <c r="B1441" s="1" t="s">
        <v>56</v>
      </c>
      <c r="C1441" s="1" t="s">
        <v>133</v>
      </c>
      <c r="D1441" s="1">
        <v>4.0</v>
      </c>
      <c r="E1441" s="1">
        <v>6.0</v>
      </c>
      <c r="F1441" s="1" t="s">
        <v>1593</v>
      </c>
      <c r="G1441" s="218">
        <v>45248.5</v>
      </c>
      <c r="H1441" s="1" t="s">
        <v>46</v>
      </c>
      <c r="I1441" s="1" t="s">
        <v>935</v>
      </c>
      <c r="J1441" s="219">
        <v>9.5</v>
      </c>
      <c r="K1441" s="219">
        <v>9.5</v>
      </c>
      <c r="L1441" s="219">
        <v>-360.0</v>
      </c>
      <c r="M1441" s="219" t="s">
        <v>151</v>
      </c>
      <c r="N1441" s="1">
        <v>256.0</v>
      </c>
      <c r="O1441" s="1">
        <v>258.0</v>
      </c>
      <c r="P1441" s="1">
        <v>1.0</v>
      </c>
      <c r="Q1441" s="1" t="b">
        <v>1</v>
      </c>
      <c r="R1441" s="1">
        <v>100.0</v>
      </c>
      <c r="S1441" s="1" t="s">
        <v>407</v>
      </c>
      <c r="T1441" s="1" t="s">
        <v>423</v>
      </c>
      <c r="U1441" s="1"/>
    </row>
    <row r="1442">
      <c r="A1442" s="218">
        <v>45243.92762878472</v>
      </c>
      <c r="B1442" s="1" t="s">
        <v>56</v>
      </c>
      <c r="C1442" s="1" t="s">
        <v>135</v>
      </c>
      <c r="D1442" s="1">
        <v>8.0</v>
      </c>
      <c r="E1442" s="1">
        <v>2.0</v>
      </c>
      <c r="F1442" s="1" t="s">
        <v>1594</v>
      </c>
      <c r="G1442" s="218">
        <v>45248.5</v>
      </c>
      <c r="H1442" s="1" t="s">
        <v>46</v>
      </c>
      <c r="I1442" s="1" t="s">
        <v>96</v>
      </c>
      <c r="J1442" s="219">
        <v>-17.5</v>
      </c>
      <c r="K1442" s="219">
        <v>-20.5</v>
      </c>
      <c r="L1442" s="219">
        <v>860.0</v>
      </c>
      <c r="M1442" s="219" t="s">
        <v>122</v>
      </c>
      <c r="N1442" s="1">
        <v>377.0</v>
      </c>
      <c r="O1442" s="1">
        <v>131.0</v>
      </c>
      <c r="P1442" s="1">
        <v>1.0</v>
      </c>
      <c r="Q1442" s="1" t="b">
        <v>1</v>
      </c>
      <c r="R1442" s="1">
        <v>100.0</v>
      </c>
      <c r="S1442" s="1" t="s">
        <v>282</v>
      </c>
      <c r="T1442" s="1" t="s">
        <v>422</v>
      </c>
      <c r="U1442" s="1"/>
    </row>
    <row r="1443">
      <c r="A1443" s="218">
        <v>45243.92762878472</v>
      </c>
      <c r="B1443" s="1" t="s">
        <v>56</v>
      </c>
      <c r="C1443" s="1" t="s">
        <v>123</v>
      </c>
      <c r="D1443" s="1">
        <v>4.0</v>
      </c>
      <c r="E1443" s="1">
        <v>6.0</v>
      </c>
      <c r="F1443" s="1" t="s">
        <v>1595</v>
      </c>
      <c r="G1443" s="218">
        <v>45248.5</v>
      </c>
      <c r="H1443" s="1" t="s">
        <v>57</v>
      </c>
      <c r="I1443" s="1" t="s">
        <v>99</v>
      </c>
      <c r="J1443" s="219">
        <v>5.5</v>
      </c>
      <c r="K1443" s="219">
        <v>5.5</v>
      </c>
      <c r="L1443" s="219">
        <v>-205.0</v>
      </c>
      <c r="M1443" s="219" t="s">
        <v>867</v>
      </c>
      <c r="N1443" s="1">
        <v>201.0</v>
      </c>
      <c r="O1443" s="1">
        <v>221.0</v>
      </c>
      <c r="P1443" s="1">
        <v>1.0</v>
      </c>
      <c r="Q1443" s="1" t="b">
        <v>1</v>
      </c>
      <c r="R1443" s="1">
        <v>100.0</v>
      </c>
      <c r="S1443" s="1" t="s">
        <v>351</v>
      </c>
      <c r="T1443" s="1" t="s">
        <v>423</v>
      </c>
      <c r="U1443" s="1"/>
    </row>
    <row r="1444">
      <c r="A1444" s="218">
        <v>45243.92762878472</v>
      </c>
      <c r="B1444" s="1"/>
      <c r="C1444" s="1"/>
      <c r="D1444" s="1"/>
      <c r="E1444" s="1"/>
      <c r="F1444" s="1"/>
      <c r="G1444" s="218"/>
      <c r="H1444" s="1"/>
      <c r="I1444" s="1"/>
      <c r="J1444" s="219"/>
      <c r="K1444" s="219"/>
      <c r="L1444" s="219"/>
      <c r="M1444" s="219"/>
      <c r="N1444" s="1"/>
      <c r="O1444" s="1"/>
      <c r="P1444" s="1"/>
      <c r="Q1444" s="1"/>
      <c r="R1444" s="1"/>
      <c r="S1444" s="1" t="e">
        <v>#N/A</v>
      </c>
      <c r="T1444" s="1" t="e">
        <v>#N/A</v>
      </c>
      <c r="U1444" s="1"/>
    </row>
    <row r="1445">
      <c r="A1445" s="218">
        <v>45243.92762878472</v>
      </c>
      <c r="B1445" s="1" t="s">
        <v>60</v>
      </c>
      <c r="C1445" s="1" t="s">
        <v>176</v>
      </c>
      <c r="D1445" s="1">
        <v>3.0</v>
      </c>
      <c r="E1445" s="1">
        <v>7.0</v>
      </c>
      <c r="F1445" s="1" t="s">
        <v>1577</v>
      </c>
      <c r="G1445" s="218">
        <v>45248.54166666667</v>
      </c>
      <c r="H1445" s="1" t="s">
        <v>58</v>
      </c>
      <c r="I1445" s="1" t="s">
        <v>935</v>
      </c>
      <c r="J1445" s="219"/>
      <c r="K1445" s="219"/>
      <c r="L1445" s="219"/>
      <c r="M1445" s="219"/>
      <c r="N1445" s="1">
        <v>235.0</v>
      </c>
      <c r="O1445" s="1">
        <v>374.0</v>
      </c>
      <c r="P1445" s="1">
        <v>1.0</v>
      </c>
      <c r="Q1445" s="1" t="b">
        <v>0</v>
      </c>
      <c r="R1445" s="1">
        <v>100.0</v>
      </c>
      <c r="S1445" s="1" t="s">
        <v>351</v>
      </c>
      <c r="T1445" s="1" t="s">
        <v>423</v>
      </c>
      <c r="U1445" s="1"/>
    </row>
    <row r="1446">
      <c r="A1446" s="218">
        <v>45243.92762878472</v>
      </c>
      <c r="B1446" s="1" t="s">
        <v>60</v>
      </c>
      <c r="C1446" s="1" t="s">
        <v>173</v>
      </c>
      <c r="D1446" s="1">
        <v>4.0</v>
      </c>
      <c r="E1446" s="1">
        <v>7.0</v>
      </c>
      <c r="F1446" s="1" t="s">
        <v>1596</v>
      </c>
      <c r="G1446" s="218">
        <v>45248.58333333333</v>
      </c>
      <c r="H1446" s="1" t="s">
        <v>46</v>
      </c>
      <c r="I1446" s="1" t="s">
        <v>1077</v>
      </c>
      <c r="J1446" s="219">
        <v>14.5</v>
      </c>
      <c r="K1446" s="219">
        <v>13.5</v>
      </c>
      <c r="L1446" s="219">
        <v>530.0</v>
      </c>
      <c r="M1446" s="219" t="s">
        <v>867</v>
      </c>
      <c r="N1446" s="1">
        <v>242.0</v>
      </c>
      <c r="O1446" s="1">
        <v>353.0</v>
      </c>
      <c r="P1446" s="1">
        <v>1.0</v>
      </c>
      <c r="Q1446" s="1" t="b">
        <v>0</v>
      </c>
      <c r="R1446" s="1">
        <v>100.0</v>
      </c>
      <c r="S1446" s="1" t="s">
        <v>353</v>
      </c>
      <c r="T1446" s="1" t="s">
        <v>423</v>
      </c>
      <c r="U1446" s="1"/>
    </row>
    <row r="1447">
      <c r="A1447" s="218">
        <v>45243.92762878472</v>
      </c>
      <c r="B1447" s="1" t="s">
        <v>60</v>
      </c>
      <c r="C1447" s="1" t="s">
        <v>177</v>
      </c>
      <c r="D1447" s="1">
        <v>3.0</v>
      </c>
      <c r="E1447" s="1">
        <v>7.0</v>
      </c>
      <c r="F1447" s="1" t="s">
        <v>1567</v>
      </c>
      <c r="G1447" s="218">
        <v>45248.58333333333</v>
      </c>
      <c r="H1447" s="1" t="s">
        <v>35</v>
      </c>
      <c r="I1447" s="1" t="s">
        <v>935</v>
      </c>
      <c r="J1447" s="219">
        <v>-12.5</v>
      </c>
      <c r="K1447" s="219">
        <v>-12.5</v>
      </c>
      <c r="L1447" s="219">
        <v>420.0</v>
      </c>
      <c r="M1447" s="219" t="s">
        <v>1361</v>
      </c>
      <c r="N1447" s="1">
        <v>170.0</v>
      </c>
      <c r="O1447" s="1">
        <v>273.0</v>
      </c>
      <c r="P1447" s="1">
        <v>1.0</v>
      </c>
      <c r="Q1447" s="1" t="b">
        <v>0</v>
      </c>
      <c r="R1447" s="1">
        <v>100.0</v>
      </c>
      <c r="S1447" s="1" t="s">
        <v>352</v>
      </c>
      <c r="T1447" s="1" t="s">
        <v>423</v>
      </c>
      <c r="U1447" s="1"/>
    </row>
    <row r="1448">
      <c r="A1448" s="218">
        <v>45243.92762878472</v>
      </c>
      <c r="B1448" s="1" t="s">
        <v>60</v>
      </c>
      <c r="C1448" s="1" t="s">
        <v>175</v>
      </c>
      <c r="D1448" s="1">
        <v>5.0</v>
      </c>
      <c r="E1448" s="1">
        <v>5.0</v>
      </c>
      <c r="F1448" s="1" t="s">
        <v>1597</v>
      </c>
      <c r="G1448" s="218">
        <v>45248.64583333333</v>
      </c>
      <c r="H1448" s="1" t="s">
        <v>46</v>
      </c>
      <c r="I1448" s="1" t="s">
        <v>981</v>
      </c>
      <c r="J1448" s="219"/>
      <c r="K1448" s="219"/>
      <c r="L1448" s="219"/>
      <c r="M1448" s="219"/>
      <c r="N1448" s="1">
        <v>311.0</v>
      </c>
      <c r="O1448" s="1">
        <v>286.0</v>
      </c>
      <c r="P1448" s="1">
        <v>1.0</v>
      </c>
      <c r="Q1448" s="1" t="b">
        <v>0</v>
      </c>
      <c r="R1448" s="1">
        <v>100.0</v>
      </c>
      <c r="S1448" s="1" t="s">
        <v>355</v>
      </c>
      <c r="T1448" s="1" t="s">
        <v>423</v>
      </c>
      <c r="U1448" s="1"/>
    </row>
    <row r="1449">
      <c r="A1449" s="218">
        <v>45243.92762878472</v>
      </c>
      <c r="B1449" s="1" t="s">
        <v>60</v>
      </c>
      <c r="C1449" s="1" t="s">
        <v>174</v>
      </c>
      <c r="D1449" s="1">
        <v>3.0</v>
      </c>
      <c r="E1449" s="1">
        <v>7.0</v>
      </c>
      <c r="F1449" s="1" t="s">
        <v>1574</v>
      </c>
      <c r="G1449" s="218">
        <v>45248.0</v>
      </c>
      <c r="H1449" s="1" t="s">
        <v>35</v>
      </c>
      <c r="I1449" s="1" t="s">
        <v>92</v>
      </c>
      <c r="J1449" s="219">
        <v>22.5</v>
      </c>
      <c r="K1449" s="219">
        <v>22.5</v>
      </c>
      <c r="L1449" s="219">
        <v>-2800.0</v>
      </c>
      <c r="M1449" s="219" t="s">
        <v>114</v>
      </c>
      <c r="N1449" s="1">
        <v>177.0</v>
      </c>
      <c r="O1449" s="1">
        <v>274.0</v>
      </c>
      <c r="P1449" s="1">
        <v>1.0</v>
      </c>
      <c r="Q1449" s="1" t="b">
        <v>1</v>
      </c>
      <c r="R1449" s="1">
        <v>100.0</v>
      </c>
      <c r="S1449" s="1" t="s">
        <v>354</v>
      </c>
      <c r="T1449" s="1" t="s">
        <v>422</v>
      </c>
      <c r="U1449" s="1"/>
    </row>
    <row r="1450">
      <c r="A1450" s="218">
        <v>45243.92762878472</v>
      </c>
      <c r="B1450" s="1" t="s">
        <v>60</v>
      </c>
      <c r="C1450" s="1" t="s">
        <v>179</v>
      </c>
      <c r="D1450" s="1">
        <v>8.0</v>
      </c>
      <c r="E1450" s="1">
        <v>2.0</v>
      </c>
      <c r="F1450" s="1" t="s">
        <v>1584</v>
      </c>
      <c r="G1450" s="218">
        <v>45248.5</v>
      </c>
      <c r="H1450" s="1" t="s">
        <v>58</v>
      </c>
      <c r="I1450" s="1" t="s">
        <v>76</v>
      </c>
      <c r="J1450" s="219">
        <v>-24.5</v>
      </c>
      <c r="K1450" s="219">
        <v>-24.5</v>
      </c>
      <c r="L1450" s="219">
        <v>-2100.0</v>
      </c>
      <c r="M1450" s="219" t="s">
        <v>104</v>
      </c>
      <c r="N1450" s="1">
        <v>418.0</v>
      </c>
      <c r="O1450" s="1">
        <v>198.0</v>
      </c>
      <c r="P1450" s="1">
        <v>1.0</v>
      </c>
      <c r="Q1450" s="1" t="b">
        <v>0</v>
      </c>
      <c r="R1450" s="1">
        <v>100.0</v>
      </c>
      <c r="S1450" s="1" t="s">
        <v>296</v>
      </c>
      <c r="T1450" s="1" t="s">
        <v>422</v>
      </c>
      <c r="U1450" s="1"/>
    </row>
    <row r="1451">
      <c r="A1451" s="218">
        <v>45243.92762878472</v>
      </c>
      <c r="B1451" s="1" t="s">
        <v>60</v>
      </c>
      <c r="C1451" s="1" t="s">
        <v>178</v>
      </c>
      <c r="D1451" s="1">
        <v>3.0</v>
      </c>
      <c r="E1451" s="1">
        <v>7.0</v>
      </c>
      <c r="F1451" s="1" t="s">
        <v>1598</v>
      </c>
      <c r="G1451" s="218">
        <v>45248.5</v>
      </c>
      <c r="H1451" s="1" t="s">
        <v>70</v>
      </c>
      <c r="I1451" s="1" t="s">
        <v>888</v>
      </c>
      <c r="J1451" s="219">
        <v>5.5</v>
      </c>
      <c r="K1451" s="219">
        <v>4.5</v>
      </c>
      <c r="L1451" s="219">
        <v>168.0</v>
      </c>
      <c r="M1451" s="219" t="s">
        <v>151</v>
      </c>
      <c r="N1451" s="1">
        <v>167.0</v>
      </c>
      <c r="O1451" s="1">
        <v>277.0</v>
      </c>
      <c r="P1451" s="1">
        <v>1.0</v>
      </c>
      <c r="Q1451" s="1" t="b">
        <v>0</v>
      </c>
      <c r="R1451" s="1">
        <v>100.0</v>
      </c>
      <c r="S1451" s="1" t="s">
        <v>282</v>
      </c>
      <c r="T1451" s="1" t="s">
        <v>422</v>
      </c>
      <c r="U1451" s="1"/>
    </row>
    <row r="1452">
      <c r="A1452" s="218">
        <v>45243.92762878472</v>
      </c>
      <c r="B1452" s="1" t="s">
        <v>60</v>
      </c>
      <c r="C1452" s="1" t="s">
        <v>137</v>
      </c>
      <c r="D1452" s="1">
        <v>9.0</v>
      </c>
      <c r="E1452" s="1">
        <v>1.0</v>
      </c>
      <c r="F1452" s="1" t="s">
        <v>1599</v>
      </c>
      <c r="G1452" s="218">
        <v>45248.5</v>
      </c>
      <c r="H1452" s="1"/>
      <c r="I1452" s="1" t="s">
        <v>880</v>
      </c>
      <c r="J1452" s="219"/>
      <c r="K1452" s="219"/>
      <c r="L1452" s="219"/>
      <c r="M1452" s="219"/>
      <c r="N1452" s="1">
        <v>336.0</v>
      </c>
      <c r="O1452" s="1">
        <v>181.0</v>
      </c>
      <c r="P1452" s="1">
        <v>1.0</v>
      </c>
      <c r="Q1452" s="1" t="b">
        <v>0</v>
      </c>
      <c r="R1452" s="1">
        <v>100.0</v>
      </c>
      <c r="S1452" s="1" t="s">
        <v>292</v>
      </c>
      <c r="T1452" s="1" t="s">
        <v>422</v>
      </c>
      <c r="U1452" s="1"/>
    </row>
    <row r="1453">
      <c r="A1453" s="218">
        <v>45243.92762878472</v>
      </c>
      <c r="B1453" s="1" t="s">
        <v>60</v>
      </c>
      <c r="C1453" s="1" t="s">
        <v>139</v>
      </c>
      <c r="D1453" s="1">
        <v>8.0</v>
      </c>
      <c r="E1453" s="1">
        <v>2.0</v>
      </c>
      <c r="F1453" s="1" t="s">
        <v>1585</v>
      </c>
      <c r="G1453" s="218">
        <v>45248.5</v>
      </c>
      <c r="H1453" s="1" t="s">
        <v>58</v>
      </c>
      <c r="I1453" s="1" t="s">
        <v>36</v>
      </c>
      <c r="J1453" s="219">
        <v>-7.5</v>
      </c>
      <c r="K1453" s="219">
        <v>-6.5</v>
      </c>
      <c r="L1453" s="219">
        <v>-295.0</v>
      </c>
      <c r="M1453" s="219" t="s">
        <v>871</v>
      </c>
      <c r="N1453" s="1">
        <v>405.0</v>
      </c>
      <c r="O1453" s="1">
        <v>164.0</v>
      </c>
      <c r="P1453" s="1">
        <v>1.0</v>
      </c>
      <c r="Q1453" s="1" t="b">
        <v>1</v>
      </c>
      <c r="R1453" s="1">
        <v>100.0</v>
      </c>
      <c r="S1453" s="1" t="s">
        <v>407</v>
      </c>
      <c r="T1453" s="1" t="s">
        <v>423</v>
      </c>
      <c r="U1453" s="1"/>
    </row>
    <row r="1454">
      <c r="A1454" s="218">
        <v>45243.92762878472</v>
      </c>
      <c r="B1454" s="1" t="s">
        <v>60</v>
      </c>
      <c r="C1454" s="1" t="s">
        <v>164</v>
      </c>
      <c r="D1454" s="1">
        <v>9.0</v>
      </c>
      <c r="E1454" s="1">
        <v>1.0</v>
      </c>
      <c r="F1454" s="1" t="s">
        <v>1575</v>
      </c>
      <c r="G1454" s="218">
        <v>45248.5</v>
      </c>
      <c r="H1454" s="1" t="s">
        <v>35</v>
      </c>
      <c r="I1454" s="1" t="s">
        <v>82</v>
      </c>
      <c r="J1454" s="219">
        <v>1.5</v>
      </c>
      <c r="K1454" s="219">
        <v>-2.5</v>
      </c>
      <c r="L1454" s="219">
        <v>-126.0</v>
      </c>
      <c r="M1454" s="219" t="s">
        <v>151</v>
      </c>
      <c r="N1454" s="1">
        <v>327.0</v>
      </c>
      <c r="O1454" s="1">
        <v>171.0</v>
      </c>
      <c r="P1454" s="1">
        <v>1.0</v>
      </c>
      <c r="Q1454" s="1" t="b">
        <v>1</v>
      </c>
      <c r="R1454" s="1">
        <v>100.0</v>
      </c>
      <c r="S1454" s="1" t="s">
        <v>301</v>
      </c>
      <c r="T1454" s="1" t="s">
        <v>422</v>
      </c>
      <c r="U1454" s="1"/>
    </row>
    <row r="1455">
      <c r="A1455" s="218">
        <v>45243.92762878472</v>
      </c>
      <c r="B1455" s="1"/>
      <c r="C1455" s="1"/>
      <c r="D1455" s="1"/>
      <c r="E1455" s="1"/>
      <c r="F1455" s="1"/>
      <c r="G1455" s="218"/>
      <c r="H1455" s="1"/>
      <c r="I1455" s="1"/>
      <c r="J1455" s="219"/>
      <c r="K1455" s="219"/>
      <c r="L1455" s="219"/>
      <c r="M1455" s="219"/>
      <c r="N1455" s="1"/>
      <c r="O1455" s="1"/>
      <c r="P1455" s="1"/>
      <c r="Q1455" s="1"/>
      <c r="R1455" s="1"/>
      <c r="S1455" s="1" t="e">
        <v>#N/A</v>
      </c>
      <c r="T1455" s="1" t="e">
        <v>#N/A</v>
      </c>
      <c r="U1455" s="1"/>
    </row>
    <row r="1456">
      <c r="A1456" s="218">
        <v>45243.92762878472</v>
      </c>
      <c r="B1456" s="1" t="s">
        <v>46</v>
      </c>
      <c r="C1456" s="1" t="s">
        <v>189</v>
      </c>
      <c r="D1456" s="1">
        <v>2.0</v>
      </c>
      <c r="E1456" s="1">
        <v>8.0</v>
      </c>
      <c r="F1456" s="1" t="s">
        <v>1600</v>
      </c>
      <c r="G1456" s="218">
        <v>45244.79166666667</v>
      </c>
      <c r="H1456" s="1" t="s">
        <v>59</v>
      </c>
      <c r="I1456" s="1" t="s">
        <v>99</v>
      </c>
      <c r="J1456" s="219">
        <v>8.0</v>
      </c>
      <c r="K1456" s="219">
        <v>5.5</v>
      </c>
      <c r="L1456" s="219">
        <v>168.0</v>
      </c>
      <c r="M1456" s="219" t="s">
        <v>1305</v>
      </c>
      <c r="N1456" s="1">
        <v>154.0</v>
      </c>
      <c r="O1456" s="1">
        <v>281.0</v>
      </c>
      <c r="P1456" s="1">
        <v>1.0</v>
      </c>
      <c r="Q1456" s="1" t="b">
        <v>1</v>
      </c>
      <c r="R1456" s="1">
        <v>100.0</v>
      </c>
      <c r="S1456" s="1" t="s">
        <v>352</v>
      </c>
      <c r="T1456" s="1" t="s">
        <v>423</v>
      </c>
      <c r="U1456" s="1"/>
    </row>
    <row r="1457">
      <c r="A1457" s="218">
        <v>45243.92762878472</v>
      </c>
      <c r="B1457" s="1" t="s">
        <v>46</v>
      </c>
      <c r="C1457" s="1" t="s">
        <v>183</v>
      </c>
      <c r="D1457" s="1">
        <v>6.0</v>
      </c>
      <c r="E1457" s="1">
        <v>4.0</v>
      </c>
      <c r="F1457" s="1" t="s">
        <v>1596</v>
      </c>
      <c r="G1457" s="218">
        <v>45248.58333333333</v>
      </c>
      <c r="H1457" s="1" t="s">
        <v>60</v>
      </c>
      <c r="I1457" s="1" t="s">
        <v>1077</v>
      </c>
      <c r="J1457" s="219">
        <v>-14.5</v>
      </c>
      <c r="K1457" s="219">
        <v>-13.5</v>
      </c>
      <c r="L1457" s="219">
        <v>530.0</v>
      </c>
      <c r="M1457" s="219" t="s">
        <v>867</v>
      </c>
      <c r="N1457" s="1">
        <v>229.0</v>
      </c>
      <c r="O1457" s="1">
        <v>260.0</v>
      </c>
      <c r="P1457" s="1">
        <v>1.0</v>
      </c>
      <c r="Q1457" s="1" t="b">
        <v>1</v>
      </c>
      <c r="R1457" s="1">
        <v>100.0</v>
      </c>
      <c r="S1457" s="1" t="s">
        <v>353</v>
      </c>
      <c r="T1457" s="1" t="s">
        <v>423</v>
      </c>
      <c r="U1457" s="1"/>
    </row>
    <row r="1458">
      <c r="A1458" s="218">
        <v>45243.92762878472</v>
      </c>
      <c r="B1458" s="1" t="s">
        <v>46</v>
      </c>
      <c r="C1458" s="1" t="s">
        <v>187</v>
      </c>
      <c r="D1458" s="1">
        <v>6.0</v>
      </c>
      <c r="E1458" s="1">
        <v>4.0</v>
      </c>
      <c r="F1458" s="1" t="s">
        <v>1601</v>
      </c>
      <c r="G1458" s="218">
        <v>45248.625</v>
      </c>
      <c r="H1458" s="1"/>
      <c r="I1458" s="1" t="s">
        <v>1019</v>
      </c>
      <c r="J1458" s="219">
        <v>-3.5</v>
      </c>
      <c r="K1458" s="219">
        <v>-3.5</v>
      </c>
      <c r="L1458" s="219">
        <v>-188.0</v>
      </c>
      <c r="M1458" s="219" t="s">
        <v>854</v>
      </c>
      <c r="N1458" s="1">
        <v>276.0</v>
      </c>
      <c r="O1458" s="1">
        <v>188.0</v>
      </c>
      <c r="P1458" s="1">
        <v>1.0</v>
      </c>
      <c r="Q1458" s="1" t="b">
        <v>1</v>
      </c>
      <c r="R1458" s="1">
        <v>100.0</v>
      </c>
      <c r="S1458" s="1" t="s">
        <v>301</v>
      </c>
      <c r="T1458" s="1" t="s">
        <v>422</v>
      </c>
      <c r="U1458" s="1"/>
    </row>
    <row r="1459">
      <c r="A1459" s="218">
        <v>45243.92762878472</v>
      </c>
      <c r="B1459" s="1" t="s">
        <v>46</v>
      </c>
      <c r="C1459" s="1" t="s">
        <v>181</v>
      </c>
      <c r="D1459" s="1">
        <v>8.0</v>
      </c>
      <c r="E1459" s="1">
        <v>2.0</v>
      </c>
      <c r="F1459" s="1" t="s">
        <v>1597</v>
      </c>
      <c r="G1459" s="218">
        <v>45248.64583333333</v>
      </c>
      <c r="H1459" s="1" t="s">
        <v>60</v>
      </c>
      <c r="I1459" s="1" t="s">
        <v>981</v>
      </c>
      <c r="J1459" s="219">
        <v>-14.5</v>
      </c>
      <c r="K1459" s="219">
        <v>-15.5</v>
      </c>
      <c r="L1459" s="219">
        <v>580.0</v>
      </c>
      <c r="M1459" s="219" t="s">
        <v>151</v>
      </c>
      <c r="N1459" s="1">
        <v>290.0</v>
      </c>
      <c r="O1459" s="1">
        <v>159.0</v>
      </c>
      <c r="P1459" s="1">
        <v>1.0</v>
      </c>
      <c r="Q1459" s="1" t="b">
        <v>1</v>
      </c>
      <c r="R1459" s="1">
        <v>100.0</v>
      </c>
      <c r="S1459" s="1" t="s">
        <v>355</v>
      </c>
      <c r="T1459" s="1" t="s">
        <v>423</v>
      </c>
      <c r="U1459" s="1"/>
    </row>
    <row r="1460">
      <c r="A1460" s="218">
        <v>45243.92762878472</v>
      </c>
      <c r="B1460" s="1" t="s">
        <v>46</v>
      </c>
      <c r="C1460" s="1" t="s">
        <v>186</v>
      </c>
      <c r="D1460" s="1">
        <v>5.0</v>
      </c>
      <c r="E1460" s="1">
        <v>5.0</v>
      </c>
      <c r="F1460" s="1" t="s">
        <v>1602</v>
      </c>
      <c r="G1460" s="218">
        <v>45248.64583333333</v>
      </c>
      <c r="H1460" s="1" t="s">
        <v>61</v>
      </c>
      <c r="I1460" s="1" t="s">
        <v>96</v>
      </c>
      <c r="J1460" s="219">
        <v>4.5</v>
      </c>
      <c r="K1460" s="219">
        <v>3.5</v>
      </c>
      <c r="L1460" s="219">
        <v>146.0</v>
      </c>
      <c r="M1460" s="219" t="s">
        <v>1498</v>
      </c>
      <c r="N1460" s="1">
        <v>238.0</v>
      </c>
      <c r="O1460" s="1">
        <v>293.0</v>
      </c>
      <c r="P1460" s="1">
        <v>1.0</v>
      </c>
      <c r="Q1460" s="1" t="b">
        <v>0</v>
      </c>
      <c r="R1460" s="1">
        <v>100.0</v>
      </c>
      <c r="S1460" s="1" t="s">
        <v>282</v>
      </c>
      <c r="T1460" s="1" t="s">
        <v>422</v>
      </c>
      <c r="U1460" s="1"/>
    </row>
    <row r="1461">
      <c r="A1461" s="218">
        <v>45243.92762878472</v>
      </c>
      <c r="B1461" s="1" t="s">
        <v>46</v>
      </c>
      <c r="C1461" s="1" t="s">
        <v>188</v>
      </c>
      <c r="D1461" s="1">
        <v>5.0</v>
      </c>
      <c r="E1461" s="1">
        <v>5.0</v>
      </c>
      <c r="F1461" s="1" t="s">
        <v>1603</v>
      </c>
      <c r="G1461" s="218">
        <v>45248.70833333333</v>
      </c>
      <c r="H1461" s="1" t="s">
        <v>69</v>
      </c>
      <c r="I1461" s="1" t="s">
        <v>1142</v>
      </c>
      <c r="J1461" s="219">
        <v>-3.5</v>
      </c>
      <c r="K1461" s="219">
        <v>-3.0</v>
      </c>
      <c r="L1461" s="219">
        <v>125.0</v>
      </c>
      <c r="M1461" s="219" t="s">
        <v>969</v>
      </c>
      <c r="N1461" s="1">
        <v>291.0</v>
      </c>
      <c r="O1461" s="1">
        <v>244.0</v>
      </c>
      <c r="P1461" s="1">
        <v>1.0</v>
      </c>
      <c r="Q1461" s="1" t="b">
        <v>0</v>
      </c>
      <c r="R1461" s="1">
        <v>100.0</v>
      </c>
      <c r="S1461" s="1" t="s">
        <v>296</v>
      </c>
      <c r="T1461" s="1" t="s">
        <v>422</v>
      </c>
      <c r="U1461" s="1"/>
    </row>
    <row r="1462">
      <c r="A1462" s="218">
        <v>45243.92762878472</v>
      </c>
      <c r="B1462" s="1" t="s">
        <v>46</v>
      </c>
      <c r="C1462" s="1" t="s">
        <v>180</v>
      </c>
      <c r="D1462" s="1">
        <v>10.0</v>
      </c>
      <c r="E1462" s="1">
        <v>0.0</v>
      </c>
      <c r="F1462" s="1" t="s">
        <v>1604</v>
      </c>
      <c r="G1462" s="218">
        <v>45248.8125</v>
      </c>
      <c r="H1462" s="1" t="s">
        <v>62</v>
      </c>
      <c r="I1462" s="1" t="s">
        <v>82</v>
      </c>
      <c r="J1462" s="219">
        <v>-2.5</v>
      </c>
      <c r="K1462" s="219">
        <v>1.5</v>
      </c>
      <c r="L1462" s="219">
        <v>-104.0</v>
      </c>
      <c r="M1462" s="219" t="s">
        <v>908</v>
      </c>
      <c r="N1462" s="1">
        <v>410.0</v>
      </c>
      <c r="O1462" s="1">
        <v>235.0</v>
      </c>
      <c r="P1462" s="1">
        <v>1.0</v>
      </c>
      <c r="Q1462" s="1" t="b">
        <v>0</v>
      </c>
      <c r="R1462" s="1">
        <v>100.0</v>
      </c>
      <c r="S1462" s="1" t="s">
        <v>354</v>
      </c>
      <c r="T1462" s="1" t="s">
        <v>422</v>
      </c>
      <c r="U1462" s="1"/>
    </row>
    <row r="1463">
      <c r="A1463" s="218">
        <v>45243.92762878472</v>
      </c>
      <c r="B1463" s="1" t="s">
        <v>46</v>
      </c>
      <c r="C1463" s="1" t="s">
        <v>184</v>
      </c>
      <c r="D1463" s="1">
        <v>4.0</v>
      </c>
      <c r="E1463" s="1">
        <v>6.0</v>
      </c>
      <c r="F1463" s="1" t="s">
        <v>1605</v>
      </c>
      <c r="G1463" s="218">
        <v>45248.8125</v>
      </c>
      <c r="H1463" s="1" t="s">
        <v>70</v>
      </c>
      <c r="I1463" s="1" t="s">
        <v>945</v>
      </c>
      <c r="J1463" s="219">
        <v>3.5</v>
      </c>
      <c r="K1463" s="219">
        <v>2.5</v>
      </c>
      <c r="L1463" s="219">
        <v>-132.0</v>
      </c>
      <c r="M1463" s="219" t="s">
        <v>68</v>
      </c>
      <c r="N1463" s="1">
        <v>288.0</v>
      </c>
      <c r="O1463" s="1">
        <v>286.0</v>
      </c>
      <c r="P1463" s="1">
        <v>1.0</v>
      </c>
      <c r="Q1463" s="1" t="b">
        <v>0</v>
      </c>
      <c r="R1463" s="1">
        <v>100.0</v>
      </c>
      <c r="S1463" s="1" t="s">
        <v>292</v>
      </c>
      <c r="T1463" s="1" t="s">
        <v>422</v>
      </c>
      <c r="U1463" s="1"/>
    </row>
    <row r="1464">
      <c r="A1464" s="218">
        <v>45243.92762878472</v>
      </c>
      <c r="B1464" s="1" t="s">
        <v>46</v>
      </c>
      <c r="C1464" s="1" t="s">
        <v>185</v>
      </c>
      <c r="D1464" s="1">
        <v>6.0</v>
      </c>
      <c r="E1464" s="1">
        <v>4.0</v>
      </c>
      <c r="F1464" s="1" t="s">
        <v>1594</v>
      </c>
      <c r="G1464" s="218">
        <v>45248.5</v>
      </c>
      <c r="H1464" s="1" t="s">
        <v>56</v>
      </c>
      <c r="I1464" s="1" t="s">
        <v>96</v>
      </c>
      <c r="J1464" s="219">
        <v>17.5</v>
      </c>
      <c r="K1464" s="219">
        <v>20.5</v>
      </c>
      <c r="L1464" s="219">
        <v>860.0</v>
      </c>
      <c r="M1464" s="219" t="s">
        <v>122</v>
      </c>
      <c r="N1464" s="1">
        <v>241.0</v>
      </c>
      <c r="O1464" s="1">
        <v>183.0</v>
      </c>
      <c r="P1464" s="1">
        <v>1.0</v>
      </c>
      <c r="Q1464" s="1" t="b">
        <v>0</v>
      </c>
      <c r="R1464" s="1">
        <v>100.0</v>
      </c>
      <c r="S1464" s="1" t="s">
        <v>351</v>
      </c>
      <c r="T1464" s="1" t="s">
        <v>423</v>
      </c>
      <c r="U1464" s="1"/>
    </row>
    <row r="1465">
      <c r="A1465" s="218">
        <v>45243.92762878472</v>
      </c>
      <c r="B1465" s="1" t="s">
        <v>46</v>
      </c>
      <c r="C1465" s="1" t="s">
        <v>182</v>
      </c>
      <c r="D1465" s="1">
        <v>9.0</v>
      </c>
      <c r="E1465" s="1">
        <v>1.0</v>
      </c>
      <c r="F1465" s="1" t="s">
        <v>1593</v>
      </c>
      <c r="G1465" s="218">
        <v>45248.5</v>
      </c>
      <c r="H1465" s="1" t="s">
        <v>56</v>
      </c>
      <c r="I1465" s="1" t="s">
        <v>935</v>
      </c>
      <c r="J1465" s="219">
        <v>-9.5</v>
      </c>
      <c r="K1465" s="219">
        <v>-9.5</v>
      </c>
      <c r="L1465" s="219">
        <v>-360.0</v>
      </c>
      <c r="M1465" s="219" t="s">
        <v>151</v>
      </c>
      <c r="N1465" s="1">
        <v>282.0</v>
      </c>
      <c r="O1465" s="1">
        <v>196.0</v>
      </c>
      <c r="P1465" s="1">
        <v>1.0</v>
      </c>
      <c r="Q1465" s="1" t="b">
        <v>0</v>
      </c>
      <c r="R1465" s="1">
        <v>100.0</v>
      </c>
      <c r="S1465" s="1" t="s">
        <v>407</v>
      </c>
      <c r="T1465" s="1" t="s">
        <v>423</v>
      </c>
      <c r="U1465" s="1"/>
    </row>
    <row r="1466">
      <c r="A1466" s="218">
        <v>45243.92762878472</v>
      </c>
      <c r="B1466" s="1"/>
      <c r="C1466" s="1"/>
      <c r="D1466" s="1"/>
      <c r="E1466" s="1"/>
      <c r="F1466" s="1"/>
      <c r="G1466" s="218"/>
      <c r="H1466" s="1"/>
      <c r="I1466" s="1"/>
      <c r="J1466" s="219"/>
      <c r="K1466" s="219"/>
      <c r="L1466" s="219"/>
      <c r="M1466" s="219"/>
      <c r="N1466" s="1"/>
      <c r="O1466" s="1"/>
      <c r="P1466" s="1"/>
      <c r="Q1466" s="1"/>
      <c r="R1466" s="1"/>
      <c r="S1466" s="1" t="e">
        <v>#N/A</v>
      </c>
      <c r="T1466" s="1" t="e">
        <v>#N/A</v>
      </c>
      <c r="U1466" s="1"/>
    </row>
    <row r="1467">
      <c r="A1467" s="218">
        <v>45243.92762878472</v>
      </c>
      <c r="B1467" s="1" t="s">
        <v>70</v>
      </c>
      <c r="C1467" s="1" t="s">
        <v>199</v>
      </c>
      <c r="D1467" s="1">
        <v>3.0</v>
      </c>
      <c r="E1467" s="1">
        <v>7.0</v>
      </c>
      <c r="F1467" s="1" t="s">
        <v>1606</v>
      </c>
      <c r="G1467" s="218">
        <v>45245.79166666667</v>
      </c>
      <c r="H1467" s="1" t="s">
        <v>62</v>
      </c>
      <c r="I1467" s="1" t="s">
        <v>36</v>
      </c>
      <c r="J1467" s="219">
        <v>9.0</v>
      </c>
      <c r="K1467" s="219">
        <v>9.5</v>
      </c>
      <c r="L1467" s="219">
        <v>265.0</v>
      </c>
      <c r="M1467" s="219" t="s">
        <v>1361</v>
      </c>
      <c r="N1467" s="1">
        <v>230.0</v>
      </c>
      <c r="O1467" s="1">
        <v>282.0</v>
      </c>
      <c r="P1467" s="1">
        <v>1.0</v>
      </c>
      <c r="Q1467" s="1" t="b">
        <v>1</v>
      </c>
      <c r="R1467" s="1">
        <v>100.0</v>
      </c>
      <c r="S1467" s="1" t="s">
        <v>352</v>
      </c>
      <c r="T1467" s="1" t="s">
        <v>423</v>
      </c>
      <c r="U1467" s="1"/>
    </row>
    <row r="1468">
      <c r="A1468" s="218">
        <v>45243.92762878472</v>
      </c>
      <c r="B1468" s="1" t="s">
        <v>70</v>
      </c>
      <c r="C1468" s="1" t="s">
        <v>198</v>
      </c>
      <c r="D1468" s="1">
        <v>7.0</v>
      </c>
      <c r="E1468" s="1">
        <v>3.0</v>
      </c>
      <c r="F1468" s="1" t="s">
        <v>1607</v>
      </c>
      <c r="G1468" s="218">
        <v>45247.875</v>
      </c>
      <c r="H1468" s="1" t="s">
        <v>69</v>
      </c>
      <c r="I1468" s="1" t="s">
        <v>36</v>
      </c>
      <c r="J1468" s="219">
        <v>-16.5</v>
      </c>
      <c r="K1468" s="219">
        <v>-16.5</v>
      </c>
      <c r="L1468" s="219">
        <v>610.0</v>
      </c>
      <c r="M1468" s="219" t="s">
        <v>1363</v>
      </c>
      <c r="N1468" s="1">
        <v>315.0</v>
      </c>
      <c r="O1468" s="1">
        <v>246.0</v>
      </c>
      <c r="P1468" s="1">
        <v>1.0</v>
      </c>
      <c r="Q1468" s="1" t="b">
        <v>1</v>
      </c>
      <c r="R1468" s="1">
        <v>100.0</v>
      </c>
      <c r="S1468" s="1" t="s">
        <v>407</v>
      </c>
      <c r="T1468" s="1" t="s">
        <v>423</v>
      </c>
      <c r="U1468" s="1"/>
    </row>
    <row r="1469">
      <c r="A1469" s="218">
        <v>45243.92762878472</v>
      </c>
      <c r="B1469" s="1" t="s">
        <v>70</v>
      </c>
      <c r="C1469" s="1" t="s">
        <v>194</v>
      </c>
      <c r="D1469" s="1">
        <v>3.0</v>
      </c>
      <c r="E1469" s="1">
        <v>7.0</v>
      </c>
      <c r="F1469" s="1" t="s">
        <v>1608</v>
      </c>
      <c r="G1469" s="218">
        <v>45248.58333333333</v>
      </c>
      <c r="H1469" s="1" t="s">
        <v>61</v>
      </c>
      <c r="I1469" s="1" t="s">
        <v>935</v>
      </c>
      <c r="J1469" s="219">
        <v>7.5</v>
      </c>
      <c r="K1469" s="219">
        <v>7.5</v>
      </c>
      <c r="L1469" s="219">
        <v>270.0</v>
      </c>
      <c r="M1469" s="219" t="s">
        <v>854</v>
      </c>
      <c r="N1469" s="1">
        <v>181.0</v>
      </c>
      <c r="O1469" s="1">
        <v>266.0</v>
      </c>
      <c r="P1469" s="1">
        <v>1.0</v>
      </c>
      <c r="Q1469" s="1" t="b">
        <v>0</v>
      </c>
      <c r="R1469" s="1">
        <v>100.0</v>
      </c>
      <c r="S1469" s="1" t="s">
        <v>351</v>
      </c>
      <c r="T1469" s="1" t="s">
        <v>423</v>
      </c>
      <c r="U1469" s="1"/>
    </row>
    <row r="1470">
      <c r="A1470" s="218">
        <v>45243.92762878472</v>
      </c>
      <c r="B1470" s="1" t="s">
        <v>70</v>
      </c>
      <c r="C1470" s="1" t="s">
        <v>191</v>
      </c>
      <c r="D1470" s="1">
        <v>6.0</v>
      </c>
      <c r="E1470" s="1">
        <v>4.0</v>
      </c>
      <c r="F1470" s="1" t="s">
        <v>1609</v>
      </c>
      <c r="G1470" s="218">
        <v>45248.64583333333</v>
      </c>
      <c r="H1470" s="1" t="s">
        <v>67</v>
      </c>
      <c r="I1470" s="1" t="s">
        <v>76</v>
      </c>
      <c r="J1470" s="219">
        <v>-6.5</v>
      </c>
      <c r="K1470" s="219">
        <v>-7.0</v>
      </c>
      <c r="L1470" s="219">
        <v>220.0</v>
      </c>
      <c r="M1470" s="219" t="s">
        <v>203</v>
      </c>
      <c r="N1470" s="1">
        <v>303.0</v>
      </c>
      <c r="O1470" s="1">
        <v>212.0</v>
      </c>
      <c r="P1470" s="1">
        <v>1.0</v>
      </c>
      <c r="Q1470" s="1" t="b">
        <v>0</v>
      </c>
      <c r="R1470" s="1">
        <v>100.0</v>
      </c>
      <c r="S1470" s="1" t="s">
        <v>301</v>
      </c>
      <c r="T1470" s="1" t="s">
        <v>422</v>
      </c>
      <c r="U1470" s="1"/>
    </row>
    <row r="1471">
      <c r="A1471" s="218">
        <v>45243.92762878472</v>
      </c>
      <c r="B1471" s="1" t="s">
        <v>70</v>
      </c>
      <c r="C1471" s="1" t="s">
        <v>193</v>
      </c>
      <c r="D1471" s="1">
        <v>3.0</v>
      </c>
      <c r="E1471" s="1">
        <v>7.0</v>
      </c>
      <c r="F1471" s="1" t="s">
        <v>1610</v>
      </c>
      <c r="G1471" s="218">
        <v>45248.77083333333</v>
      </c>
      <c r="H1471" s="1" t="s">
        <v>69</v>
      </c>
      <c r="I1471" s="1" t="s">
        <v>287</v>
      </c>
      <c r="J1471" s="219">
        <v>4.5</v>
      </c>
      <c r="K1471" s="219">
        <v>6.5</v>
      </c>
      <c r="L1471" s="219">
        <v>-275.0</v>
      </c>
      <c r="M1471" s="219" t="s">
        <v>235</v>
      </c>
      <c r="N1471" s="1">
        <v>209.0</v>
      </c>
      <c r="O1471" s="1">
        <v>369.0</v>
      </c>
      <c r="P1471" s="1">
        <v>1.0</v>
      </c>
      <c r="Q1471" s="1" t="b">
        <v>1</v>
      </c>
      <c r="R1471" s="1">
        <v>100.0</v>
      </c>
      <c r="S1471" s="1" t="s">
        <v>354</v>
      </c>
      <c r="T1471" s="1" t="s">
        <v>422</v>
      </c>
      <c r="U1471" s="1"/>
    </row>
    <row r="1472">
      <c r="A1472" s="218">
        <v>45243.92762878472</v>
      </c>
      <c r="B1472" s="1" t="s">
        <v>70</v>
      </c>
      <c r="C1472" s="1" t="s">
        <v>192</v>
      </c>
      <c r="D1472" s="1">
        <v>7.0</v>
      </c>
      <c r="E1472" s="1">
        <v>3.0</v>
      </c>
      <c r="F1472" s="1" t="s">
        <v>1571</v>
      </c>
      <c r="G1472" s="218">
        <v>45248.79166666667</v>
      </c>
      <c r="H1472" s="1" t="s">
        <v>35</v>
      </c>
      <c r="I1472" s="1" t="s">
        <v>96</v>
      </c>
      <c r="J1472" s="219">
        <v>6.5</v>
      </c>
      <c r="K1472" s="219">
        <v>7.5</v>
      </c>
      <c r="L1472" s="219">
        <v>-315.0</v>
      </c>
      <c r="M1472" s="219" t="s">
        <v>840</v>
      </c>
      <c r="N1472" s="1">
        <v>327.0</v>
      </c>
      <c r="O1472" s="1">
        <v>262.0</v>
      </c>
      <c r="P1472" s="1">
        <v>1.0</v>
      </c>
      <c r="Q1472" s="1" t="b">
        <v>1</v>
      </c>
      <c r="R1472" s="1">
        <v>100.0</v>
      </c>
      <c r="S1472" s="1" t="s">
        <v>296</v>
      </c>
      <c r="T1472" s="1" t="s">
        <v>422</v>
      </c>
      <c r="U1472" s="1"/>
    </row>
    <row r="1473">
      <c r="A1473" s="218">
        <v>45243.92762878472</v>
      </c>
      <c r="B1473" s="1" t="s">
        <v>70</v>
      </c>
      <c r="C1473" s="1" t="s">
        <v>196</v>
      </c>
      <c r="D1473" s="1">
        <v>6.0</v>
      </c>
      <c r="E1473" s="1">
        <v>4.0</v>
      </c>
      <c r="F1473" s="1" t="s">
        <v>1605</v>
      </c>
      <c r="G1473" s="218">
        <v>45248.8125</v>
      </c>
      <c r="H1473" s="1" t="s">
        <v>46</v>
      </c>
      <c r="I1473" s="1" t="s">
        <v>945</v>
      </c>
      <c r="J1473" s="219">
        <v>-3.5</v>
      </c>
      <c r="K1473" s="219">
        <v>-2.5</v>
      </c>
      <c r="L1473" s="219">
        <v>-132.0</v>
      </c>
      <c r="M1473" s="219" t="s">
        <v>68</v>
      </c>
      <c r="N1473" s="1">
        <v>291.0</v>
      </c>
      <c r="O1473" s="1">
        <v>250.0</v>
      </c>
      <c r="P1473" s="1">
        <v>1.0</v>
      </c>
      <c r="Q1473" s="1" t="b">
        <v>1</v>
      </c>
      <c r="R1473" s="1">
        <v>100.0</v>
      </c>
      <c r="S1473" s="1" t="s">
        <v>292</v>
      </c>
      <c r="T1473" s="1" t="s">
        <v>422</v>
      </c>
      <c r="U1473" s="1"/>
    </row>
    <row r="1474">
      <c r="A1474" s="218">
        <v>45243.92762878472</v>
      </c>
      <c r="B1474" s="1" t="s">
        <v>70</v>
      </c>
      <c r="C1474" s="1" t="s">
        <v>190</v>
      </c>
      <c r="D1474" s="1">
        <v>3.0</v>
      </c>
      <c r="E1474" s="1">
        <v>7.0</v>
      </c>
      <c r="F1474" s="1" t="s">
        <v>1592</v>
      </c>
      <c r="G1474" s="218">
        <v>45248.9375</v>
      </c>
      <c r="H1474" s="1" t="s">
        <v>56</v>
      </c>
      <c r="I1474" s="1" t="s">
        <v>99</v>
      </c>
      <c r="J1474" s="219">
        <v>14.5</v>
      </c>
      <c r="K1474" s="219">
        <v>14.5</v>
      </c>
      <c r="L1474" s="219">
        <v>470.0</v>
      </c>
      <c r="M1474" s="219" t="s">
        <v>845</v>
      </c>
      <c r="N1474" s="1">
        <v>200.0</v>
      </c>
      <c r="O1474" s="1">
        <v>279.0</v>
      </c>
      <c r="P1474" s="1">
        <v>1.0</v>
      </c>
      <c r="Q1474" s="1" t="b">
        <v>0</v>
      </c>
      <c r="R1474" s="1">
        <v>100.0</v>
      </c>
      <c r="S1474" s="1" t="s">
        <v>353</v>
      </c>
      <c r="T1474" s="1" t="s">
        <v>423</v>
      </c>
      <c r="U1474" s="1"/>
    </row>
    <row r="1475">
      <c r="A1475" s="218">
        <v>45243.92762878472</v>
      </c>
      <c r="B1475" s="1" t="s">
        <v>70</v>
      </c>
      <c r="C1475" s="1" t="s">
        <v>195</v>
      </c>
      <c r="D1475" s="1">
        <v>3.0</v>
      </c>
      <c r="E1475" s="1">
        <v>7.0</v>
      </c>
      <c r="F1475" s="1" t="s">
        <v>1598</v>
      </c>
      <c r="G1475" s="218">
        <v>45248.5</v>
      </c>
      <c r="H1475" s="1" t="s">
        <v>60</v>
      </c>
      <c r="I1475" s="1" t="s">
        <v>888</v>
      </c>
      <c r="J1475" s="219">
        <v>-5.5</v>
      </c>
      <c r="K1475" s="219">
        <v>-4.5</v>
      </c>
      <c r="L1475" s="219">
        <v>168.0</v>
      </c>
      <c r="M1475" s="219" t="s">
        <v>151</v>
      </c>
      <c r="N1475" s="1">
        <v>214.0</v>
      </c>
      <c r="O1475" s="1">
        <v>300.0</v>
      </c>
      <c r="P1475" s="1">
        <v>1.0</v>
      </c>
      <c r="Q1475" s="1" t="b">
        <v>1</v>
      </c>
      <c r="R1475" s="1">
        <v>100.0</v>
      </c>
      <c r="S1475" s="1" t="s">
        <v>282</v>
      </c>
      <c r="T1475" s="1" t="s">
        <v>422</v>
      </c>
      <c r="U1475" s="1"/>
    </row>
    <row r="1476">
      <c r="A1476" s="218">
        <v>45243.92762878472</v>
      </c>
      <c r="B1476" s="1" t="s">
        <v>70</v>
      </c>
      <c r="C1476" s="1" t="s">
        <v>197</v>
      </c>
      <c r="D1476" s="1">
        <v>3.0</v>
      </c>
      <c r="E1476" s="1">
        <v>7.0</v>
      </c>
      <c r="F1476" s="1" t="s">
        <v>1611</v>
      </c>
      <c r="G1476" s="218">
        <v>45248.5</v>
      </c>
      <c r="H1476" s="1" t="s">
        <v>62</v>
      </c>
      <c r="I1476" s="1" t="s">
        <v>880</v>
      </c>
      <c r="J1476" s="219"/>
      <c r="K1476" s="219"/>
      <c r="L1476" s="219"/>
      <c r="M1476" s="219"/>
      <c r="N1476" s="1">
        <v>241.0</v>
      </c>
      <c r="O1476" s="1">
        <v>353.0</v>
      </c>
      <c r="P1476" s="1">
        <v>1.0</v>
      </c>
      <c r="Q1476" s="1" t="b">
        <v>1</v>
      </c>
      <c r="R1476" s="1">
        <v>100.0</v>
      </c>
      <c r="S1476" s="1" t="s">
        <v>355</v>
      </c>
      <c r="T1476" s="1" t="s">
        <v>423</v>
      </c>
      <c r="U1476" s="1"/>
    </row>
    <row r="1477">
      <c r="A1477" s="218">
        <v>45243.92762878472</v>
      </c>
      <c r="B1477" s="1"/>
      <c r="C1477" s="1"/>
      <c r="D1477" s="1"/>
      <c r="E1477" s="1"/>
      <c r="F1477" s="1"/>
      <c r="G1477" s="218"/>
      <c r="H1477" s="1"/>
      <c r="I1477" s="1"/>
      <c r="J1477" s="219"/>
      <c r="K1477" s="219"/>
      <c r="L1477" s="219"/>
      <c r="M1477" s="219"/>
      <c r="N1477" s="1"/>
      <c r="O1477" s="1"/>
      <c r="P1477" s="1"/>
      <c r="Q1477" s="1"/>
      <c r="R1477" s="1"/>
      <c r="S1477" s="1" t="e">
        <v>#N/A</v>
      </c>
      <c r="T1477" s="1" t="e">
        <v>#N/A</v>
      </c>
      <c r="U1477" s="1"/>
    </row>
    <row r="1478">
      <c r="A1478" s="218">
        <v>45243.92762878472</v>
      </c>
      <c r="B1478" s="1" t="s">
        <v>57</v>
      </c>
      <c r="C1478" s="1" t="s">
        <v>214</v>
      </c>
      <c r="D1478" s="1">
        <v>7.0</v>
      </c>
      <c r="E1478" s="1">
        <v>3.0</v>
      </c>
      <c r="F1478" s="1" t="s">
        <v>1612</v>
      </c>
      <c r="G1478" s="218">
        <v>45245.79166666667</v>
      </c>
      <c r="H1478" s="1" t="s">
        <v>125</v>
      </c>
      <c r="I1478" s="1" t="s">
        <v>40</v>
      </c>
      <c r="J1478" s="219">
        <v>-12.5</v>
      </c>
      <c r="K1478" s="219">
        <v>-10.0</v>
      </c>
      <c r="L1478" s="219">
        <v>280.0</v>
      </c>
      <c r="M1478" s="219" t="s">
        <v>906</v>
      </c>
      <c r="N1478" s="1">
        <v>216.0</v>
      </c>
      <c r="O1478" s="1">
        <v>151.0</v>
      </c>
      <c r="P1478" s="1">
        <v>1.0</v>
      </c>
      <c r="Q1478" s="1" t="b">
        <v>0</v>
      </c>
      <c r="R1478" s="1">
        <v>100.0</v>
      </c>
      <c r="S1478" s="1" t="s">
        <v>352</v>
      </c>
      <c r="T1478" s="1" t="s">
        <v>423</v>
      </c>
      <c r="U1478" s="1"/>
    </row>
    <row r="1479">
      <c r="A1479" s="218">
        <v>45243.92762878472</v>
      </c>
      <c r="B1479" s="1" t="s">
        <v>57</v>
      </c>
      <c r="C1479" s="1" t="s">
        <v>207</v>
      </c>
      <c r="D1479" s="1">
        <v>3.0</v>
      </c>
      <c r="E1479" s="1">
        <v>7.0</v>
      </c>
      <c r="F1479" s="1" t="s">
        <v>1613</v>
      </c>
      <c r="G1479" s="218">
        <v>45248.625</v>
      </c>
      <c r="H1479" s="1" t="s">
        <v>67</v>
      </c>
      <c r="I1479" s="1" t="s">
        <v>935</v>
      </c>
      <c r="J1479" s="219">
        <v>3.5</v>
      </c>
      <c r="K1479" s="219">
        <v>2.5</v>
      </c>
      <c r="L1479" s="219">
        <v>-152.0</v>
      </c>
      <c r="M1479" s="219" t="s">
        <v>1363</v>
      </c>
      <c r="N1479" s="1">
        <v>224.0</v>
      </c>
      <c r="O1479" s="1">
        <v>344.0</v>
      </c>
      <c r="P1479" s="1">
        <v>1.0</v>
      </c>
      <c r="Q1479" s="1" t="b">
        <v>0</v>
      </c>
      <c r="R1479" s="1">
        <v>100.0</v>
      </c>
      <c r="S1479" s="1" t="s">
        <v>407</v>
      </c>
      <c r="T1479" s="1" t="s">
        <v>423</v>
      </c>
      <c r="U1479" s="1"/>
    </row>
    <row r="1480">
      <c r="A1480" s="218">
        <v>45243.92762878472</v>
      </c>
      <c r="B1480" s="1" t="s">
        <v>57</v>
      </c>
      <c r="C1480" s="1" t="s">
        <v>204</v>
      </c>
      <c r="D1480" s="1">
        <v>7.0</v>
      </c>
      <c r="E1480" s="1">
        <v>4.0</v>
      </c>
      <c r="F1480" s="1" t="s">
        <v>1579</v>
      </c>
      <c r="G1480" s="218">
        <v>45248.64583333333</v>
      </c>
      <c r="H1480" s="1" t="s">
        <v>58</v>
      </c>
      <c r="I1480" s="1" t="s">
        <v>82</v>
      </c>
      <c r="J1480" s="219">
        <v>-6.5</v>
      </c>
      <c r="K1480" s="219">
        <v>-6.5</v>
      </c>
      <c r="L1480" s="219">
        <v>215.0</v>
      </c>
      <c r="M1480" s="219" t="s">
        <v>47</v>
      </c>
      <c r="N1480" s="1">
        <v>482.0</v>
      </c>
      <c r="O1480" s="1">
        <v>381.0</v>
      </c>
      <c r="P1480" s="1">
        <v>1.0</v>
      </c>
      <c r="Q1480" s="1" t="b">
        <v>0</v>
      </c>
      <c r="R1480" s="1">
        <v>100.0</v>
      </c>
      <c r="S1480" s="1" t="s">
        <v>354</v>
      </c>
      <c r="T1480" s="1" t="s">
        <v>422</v>
      </c>
      <c r="U1480" s="1"/>
    </row>
    <row r="1481">
      <c r="A1481" s="218">
        <v>45243.92762878472</v>
      </c>
      <c r="B1481" s="1" t="s">
        <v>57</v>
      </c>
      <c r="C1481" s="1" t="s">
        <v>208</v>
      </c>
      <c r="D1481" s="1">
        <v>4.0</v>
      </c>
      <c r="E1481" s="1">
        <v>6.0</v>
      </c>
      <c r="F1481" s="1" t="s">
        <v>1588</v>
      </c>
      <c r="G1481" s="218">
        <v>45248.64583333333</v>
      </c>
      <c r="H1481" s="1" t="s">
        <v>56</v>
      </c>
      <c r="I1481" s="1" t="s">
        <v>90</v>
      </c>
      <c r="J1481" s="219">
        <v>23.5</v>
      </c>
      <c r="K1481" s="219">
        <v>24.5</v>
      </c>
      <c r="L1481" s="219">
        <v>1280.0</v>
      </c>
      <c r="M1481" s="219" t="s">
        <v>151</v>
      </c>
      <c r="N1481" s="1">
        <v>205.0</v>
      </c>
      <c r="O1481" s="1">
        <v>246.0</v>
      </c>
      <c r="P1481" s="1">
        <v>1.0</v>
      </c>
      <c r="Q1481" s="1" t="b">
        <v>1</v>
      </c>
      <c r="R1481" s="1">
        <v>100.0</v>
      </c>
      <c r="S1481" s="1" t="s">
        <v>301</v>
      </c>
      <c r="T1481" s="1" t="s">
        <v>422</v>
      </c>
      <c r="U1481" s="1"/>
    </row>
    <row r="1482">
      <c r="A1482" s="218">
        <v>45243.92762878472</v>
      </c>
      <c r="B1482" s="1" t="s">
        <v>57</v>
      </c>
      <c r="C1482" s="1" t="s">
        <v>202</v>
      </c>
      <c r="D1482" s="1">
        <v>8.0</v>
      </c>
      <c r="E1482" s="1">
        <v>2.0</v>
      </c>
      <c r="F1482" s="1" t="s">
        <v>1614</v>
      </c>
      <c r="G1482" s="218">
        <v>45248.64583333333</v>
      </c>
      <c r="H1482" s="1" t="s">
        <v>69</v>
      </c>
      <c r="I1482" s="1" t="s">
        <v>99</v>
      </c>
      <c r="J1482" s="219">
        <v>3.5</v>
      </c>
      <c r="K1482" s="219">
        <v>3.5</v>
      </c>
      <c r="L1482" s="219">
        <v>158.0</v>
      </c>
      <c r="M1482" s="219" t="s">
        <v>151</v>
      </c>
      <c r="N1482" s="1">
        <v>364.0</v>
      </c>
      <c r="O1482" s="1">
        <v>243.0</v>
      </c>
      <c r="P1482" s="1">
        <v>1.0</v>
      </c>
      <c r="Q1482" s="1" t="b">
        <v>0</v>
      </c>
      <c r="R1482" s="1">
        <v>100.0</v>
      </c>
      <c r="S1482" s="1" t="s">
        <v>353</v>
      </c>
      <c r="T1482" s="1" t="s">
        <v>423</v>
      </c>
      <c r="U1482" s="1"/>
    </row>
    <row r="1483">
      <c r="A1483" s="218">
        <v>45243.92762878472</v>
      </c>
      <c r="B1483" s="1" t="s">
        <v>57</v>
      </c>
      <c r="C1483" s="1" t="s">
        <v>200</v>
      </c>
      <c r="D1483" s="1">
        <v>10.0</v>
      </c>
      <c r="E1483" s="1">
        <v>0.0</v>
      </c>
      <c r="F1483" s="1" t="s">
        <v>1581</v>
      </c>
      <c r="G1483" s="218">
        <v>45248.66666666667</v>
      </c>
      <c r="H1483" s="1" t="s">
        <v>58</v>
      </c>
      <c r="I1483" s="1" t="s">
        <v>888</v>
      </c>
      <c r="J1483" s="219">
        <v>-28.5</v>
      </c>
      <c r="K1483" s="219">
        <v>-28.5</v>
      </c>
      <c r="L1483" s="219">
        <v>1600.0</v>
      </c>
      <c r="M1483" s="219" t="s">
        <v>854</v>
      </c>
      <c r="N1483" s="1">
        <v>333.0</v>
      </c>
      <c r="O1483" s="1">
        <v>99.0</v>
      </c>
      <c r="P1483" s="1">
        <v>1.0</v>
      </c>
      <c r="Q1483" s="1" t="b">
        <v>1</v>
      </c>
      <c r="R1483" s="1">
        <v>100.0</v>
      </c>
      <c r="S1483" s="1" t="s">
        <v>282</v>
      </c>
      <c r="T1483" s="1" t="s">
        <v>422</v>
      </c>
      <c r="U1483" s="1"/>
    </row>
    <row r="1484">
      <c r="A1484" s="218">
        <v>45243.92762878472</v>
      </c>
      <c r="B1484" s="1" t="s">
        <v>57</v>
      </c>
      <c r="C1484" s="1" t="s">
        <v>210</v>
      </c>
      <c r="D1484" s="1">
        <v>4.0</v>
      </c>
      <c r="E1484" s="1">
        <v>6.0</v>
      </c>
      <c r="F1484" s="1" t="s">
        <v>1615</v>
      </c>
      <c r="G1484" s="218">
        <v>45248.66666666667</v>
      </c>
      <c r="H1484" s="1" t="s">
        <v>61</v>
      </c>
      <c r="I1484" s="1" t="s">
        <v>36</v>
      </c>
      <c r="J1484" s="219">
        <v>7.5</v>
      </c>
      <c r="K1484" s="219">
        <v>7.5</v>
      </c>
      <c r="L1484" s="219">
        <v>-345.0</v>
      </c>
      <c r="M1484" s="219" t="s">
        <v>954</v>
      </c>
      <c r="N1484" s="1">
        <v>241.0</v>
      </c>
      <c r="O1484" s="1">
        <v>308.0</v>
      </c>
      <c r="P1484" s="1">
        <v>1.0</v>
      </c>
      <c r="Q1484" s="1" t="b">
        <v>1</v>
      </c>
      <c r="R1484" s="1">
        <v>100.0</v>
      </c>
      <c r="S1484" s="1" t="s">
        <v>296</v>
      </c>
      <c r="T1484" s="1" t="s">
        <v>422</v>
      </c>
      <c r="U1484" s="1"/>
    </row>
    <row r="1485">
      <c r="A1485" s="218">
        <v>45243.92762878472</v>
      </c>
      <c r="B1485" s="1" t="s">
        <v>57</v>
      </c>
      <c r="C1485" s="1" t="s">
        <v>201</v>
      </c>
      <c r="D1485" s="1">
        <v>8.0</v>
      </c>
      <c r="E1485" s="1">
        <v>3.0</v>
      </c>
      <c r="F1485" s="1" t="s">
        <v>1582</v>
      </c>
      <c r="G1485" s="218">
        <v>45248.66666666667</v>
      </c>
      <c r="H1485" s="1" t="s">
        <v>58</v>
      </c>
      <c r="I1485" s="1" t="s">
        <v>945</v>
      </c>
      <c r="J1485" s="219">
        <v>21.5</v>
      </c>
      <c r="K1485" s="219">
        <v>21.5</v>
      </c>
      <c r="L1485" s="219">
        <v>1100.0</v>
      </c>
      <c r="M1485" s="219" t="s">
        <v>854</v>
      </c>
      <c r="N1485" s="1">
        <v>316.0</v>
      </c>
      <c r="O1485" s="1">
        <v>229.0</v>
      </c>
      <c r="P1485" s="1">
        <v>1.0</v>
      </c>
      <c r="Q1485" s="1" t="b">
        <v>1</v>
      </c>
      <c r="R1485" s="1">
        <v>100.0</v>
      </c>
      <c r="S1485" s="1" t="s">
        <v>351</v>
      </c>
      <c r="T1485" s="1" t="s">
        <v>423</v>
      </c>
      <c r="U1485" s="1"/>
    </row>
    <row r="1486">
      <c r="A1486" s="218">
        <v>45243.92762878472</v>
      </c>
      <c r="B1486" s="1" t="s">
        <v>57</v>
      </c>
      <c r="C1486" s="1" t="s">
        <v>213</v>
      </c>
      <c r="D1486" s="1">
        <v>3.0</v>
      </c>
      <c r="E1486" s="1">
        <v>7.0</v>
      </c>
      <c r="F1486" s="1" t="s">
        <v>1616</v>
      </c>
      <c r="G1486" s="218">
        <v>45248.8125</v>
      </c>
      <c r="H1486" s="1" t="s">
        <v>67</v>
      </c>
      <c r="I1486" s="1" t="s">
        <v>40</v>
      </c>
      <c r="J1486" s="219">
        <v>-31.5</v>
      </c>
      <c r="K1486" s="219">
        <v>-31.5</v>
      </c>
      <c r="L1486" s="219">
        <v>2400.0</v>
      </c>
      <c r="M1486" s="219" t="s">
        <v>73</v>
      </c>
      <c r="N1486" s="1">
        <v>261.0</v>
      </c>
      <c r="O1486" s="1">
        <v>267.0</v>
      </c>
      <c r="P1486" s="1">
        <v>1.0</v>
      </c>
      <c r="Q1486" s="1" t="b">
        <v>1</v>
      </c>
      <c r="R1486" s="1">
        <v>100.0</v>
      </c>
      <c r="S1486" s="1" t="s">
        <v>292</v>
      </c>
      <c r="T1486" s="1" t="s">
        <v>422</v>
      </c>
      <c r="U1486" s="1"/>
    </row>
    <row r="1487">
      <c r="A1487" s="218">
        <v>45243.92762878472</v>
      </c>
      <c r="B1487" s="1" t="s">
        <v>57</v>
      </c>
      <c r="C1487" s="1" t="s">
        <v>206</v>
      </c>
      <c r="D1487" s="1">
        <v>7.0</v>
      </c>
      <c r="E1487" s="1">
        <v>3.0</v>
      </c>
      <c r="F1487" s="1" t="s">
        <v>1595</v>
      </c>
      <c r="G1487" s="218">
        <v>45248.5</v>
      </c>
      <c r="H1487" s="1" t="s">
        <v>56</v>
      </c>
      <c r="I1487" s="1" t="s">
        <v>99</v>
      </c>
      <c r="J1487" s="219">
        <v>-5.5</v>
      </c>
      <c r="K1487" s="219">
        <v>-5.5</v>
      </c>
      <c r="L1487" s="219">
        <v>-205.0</v>
      </c>
      <c r="M1487" s="219" t="s">
        <v>867</v>
      </c>
      <c r="N1487" s="1">
        <v>301.0</v>
      </c>
      <c r="O1487" s="1">
        <v>212.0</v>
      </c>
      <c r="P1487" s="1">
        <v>1.0</v>
      </c>
      <c r="Q1487" s="1" t="b">
        <v>0</v>
      </c>
      <c r="R1487" s="1">
        <v>100.0</v>
      </c>
      <c r="S1487" s="1" t="s">
        <v>355</v>
      </c>
      <c r="T1487" s="1" t="s">
        <v>423</v>
      </c>
      <c r="U1487" s="1"/>
    </row>
    <row r="1488">
      <c r="A1488" s="218">
        <v>45243.92762878472</v>
      </c>
      <c r="B1488" s="1"/>
      <c r="C1488" s="1"/>
      <c r="D1488" s="1"/>
      <c r="E1488" s="1"/>
      <c r="F1488" s="1"/>
      <c r="G1488" s="218"/>
      <c r="H1488" s="1"/>
      <c r="I1488" s="1"/>
      <c r="J1488" s="219"/>
      <c r="K1488" s="219"/>
      <c r="L1488" s="219"/>
      <c r="M1488" s="219"/>
      <c r="N1488" s="1"/>
      <c r="O1488" s="1"/>
      <c r="P1488" s="1"/>
      <c r="Q1488" s="1"/>
      <c r="R1488" s="1"/>
      <c r="S1488" s="1" t="e">
        <v>#N/A</v>
      </c>
      <c r="T1488" s="1" t="e">
        <v>#N/A</v>
      </c>
      <c r="U1488" s="1"/>
    </row>
    <row r="1489">
      <c r="A1489" s="218">
        <v>45243.92762878472</v>
      </c>
      <c r="B1489" s="1" t="s">
        <v>67</v>
      </c>
      <c r="C1489" s="1" t="s">
        <v>226</v>
      </c>
      <c r="D1489" s="1">
        <v>6.0</v>
      </c>
      <c r="E1489" s="1">
        <v>4.0</v>
      </c>
      <c r="F1489" s="1" t="s">
        <v>1586</v>
      </c>
      <c r="G1489" s="218">
        <v>45244.79166666667</v>
      </c>
      <c r="H1489" s="1" t="s">
        <v>56</v>
      </c>
      <c r="I1489" s="1" t="s">
        <v>36</v>
      </c>
      <c r="J1489" s="219">
        <v>7.0</v>
      </c>
      <c r="K1489" s="219">
        <v>9.5</v>
      </c>
      <c r="L1489" s="219">
        <v>-385.0</v>
      </c>
      <c r="M1489" s="219" t="s">
        <v>845</v>
      </c>
      <c r="N1489" s="1">
        <v>251.0</v>
      </c>
      <c r="O1489" s="1">
        <v>240.0</v>
      </c>
      <c r="P1489" s="1">
        <v>1.0</v>
      </c>
      <c r="Q1489" s="1" t="b">
        <v>0</v>
      </c>
      <c r="R1489" s="1">
        <v>100.0</v>
      </c>
      <c r="S1489" s="1" t="s">
        <v>352</v>
      </c>
      <c r="T1489" s="1" t="s">
        <v>423</v>
      </c>
      <c r="U1489" s="1"/>
    </row>
    <row r="1490">
      <c r="A1490" s="218">
        <v>45243.92762878472</v>
      </c>
      <c r="B1490" s="1" t="s">
        <v>67</v>
      </c>
      <c r="C1490" s="1" t="s">
        <v>221</v>
      </c>
      <c r="D1490" s="1">
        <v>3.0</v>
      </c>
      <c r="E1490" s="1">
        <v>7.0</v>
      </c>
      <c r="F1490" s="1" t="s">
        <v>1613</v>
      </c>
      <c r="G1490" s="218">
        <v>45248.625</v>
      </c>
      <c r="H1490" s="1" t="s">
        <v>57</v>
      </c>
      <c r="I1490" s="1" t="s">
        <v>935</v>
      </c>
      <c r="J1490" s="219">
        <v>-3.5</v>
      </c>
      <c r="K1490" s="219">
        <v>-2.5</v>
      </c>
      <c r="L1490" s="219">
        <v>-152.0</v>
      </c>
      <c r="M1490" s="219" t="s">
        <v>1363</v>
      </c>
      <c r="N1490" s="1">
        <v>334.0</v>
      </c>
      <c r="O1490" s="1">
        <v>375.0</v>
      </c>
      <c r="P1490" s="1">
        <v>1.0</v>
      </c>
      <c r="Q1490" s="1" t="b">
        <v>1</v>
      </c>
      <c r="R1490" s="1">
        <v>100.0</v>
      </c>
      <c r="S1490" s="1" t="s">
        <v>407</v>
      </c>
      <c r="T1490" s="1" t="s">
        <v>423</v>
      </c>
      <c r="U1490" s="1"/>
    </row>
    <row r="1491">
      <c r="A1491" s="218">
        <v>45243.92762878472</v>
      </c>
      <c r="B1491" s="1" t="s">
        <v>67</v>
      </c>
      <c r="C1491" s="1" t="s">
        <v>223</v>
      </c>
      <c r="D1491" s="1">
        <v>4.0</v>
      </c>
      <c r="E1491" s="1">
        <v>6.0</v>
      </c>
      <c r="F1491" s="1" t="s">
        <v>1617</v>
      </c>
      <c r="G1491" s="218">
        <v>45248.64583333333</v>
      </c>
      <c r="H1491" s="1" t="s">
        <v>59</v>
      </c>
      <c r="I1491" s="1" t="s">
        <v>935</v>
      </c>
      <c r="J1491" s="219">
        <v>-12.5</v>
      </c>
      <c r="K1491" s="219">
        <v>-12.5</v>
      </c>
      <c r="L1491" s="219">
        <v>430.0</v>
      </c>
      <c r="M1491" s="219" t="s">
        <v>203</v>
      </c>
      <c r="N1491" s="1">
        <v>289.0</v>
      </c>
      <c r="O1491" s="1">
        <v>248.0</v>
      </c>
      <c r="P1491" s="1">
        <v>1.0</v>
      </c>
      <c r="Q1491" s="1" t="b">
        <v>0</v>
      </c>
      <c r="R1491" s="1">
        <v>100.0</v>
      </c>
      <c r="S1491" s="1" t="s">
        <v>296</v>
      </c>
      <c r="T1491" s="1" t="s">
        <v>422</v>
      </c>
      <c r="U1491" s="1"/>
    </row>
    <row r="1492">
      <c r="A1492" s="218">
        <v>45243.92762878472</v>
      </c>
      <c r="B1492" s="1" t="s">
        <v>67</v>
      </c>
      <c r="C1492" s="1" t="s">
        <v>216</v>
      </c>
      <c r="D1492" s="1">
        <v>8.0</v>
      </c>
      <c r="E1492" s="1">
        <v>2.0</v>
      </c>
      <c r="F1492" s="1" t="s">
        <v>1609</v>
      </c>
      <c r="G1492" s="218">
        <v>45248.64583333333</v>
      </c>
      <c r="H1492" s="1" t="s">
        <v>70</v>
      </c>
      <c r="I1492" s="1" t="s">
        <v>76</v>
      </c>
      <c r="J1492" s="219">
        <v>6.5</v>
      </c>
      <c r="K1492" s="219">
        <v>7.0</v>
      </c>
      <c r="L1492" s="219">
        <v>220.0</v>
      </c>
      <c r="M1492" s="219" t="s">
        <v>203</v>
      </c>
      <c r="N1492" s="1">
        <v>399.0</v>
      </c>
      <c r="O1492" s="1">
        <v>255.0</v>
      </c>
      <c r="P1492" s="1">
        <v>1.0</v>
      </c>
      <c r="Q1492" s="1" t="b">
        <v>1</v>
      </c>
      <c r="R1492" s="1">
        <v>100.0</v>
      </c>
      <c r="S1492" s="1" t="s">
        <v>301</v>
      </c>
      <c r="T1492" s="1" t="s">
        <v>422</v>
      </c>
      <c r="U1492" s="1"/>
    </row>
    <row r="1493">
      <c r="A1493" s="218">
        <v>45243.92762878472</v>
      </c>
      <c r="B1493" s="1" t="s">
        <v>67</v>
      </c>
      <c r="C1493" s="1" t="s">
        <v>205</v>
      </c>
      <c r="D1493" s="1">
        <v>5.0</v>
      </c>
      <c r="E1493" s="1">
        <v>5.0</v>
      </c>
      <c r="F1493" s="1" t="s">
        <v>1583</v>
      </c>
      <c r="G1493" s="218">
        <v>45248.70833333333</v>
      </c>
      <c r="H1493" s="1" t="s">
        <v>58</v>
      </c>
      <c r="I1493" s="1" t="s">
        <v>935</v>
      </c>
      <c r="J1493" s="219">
        <v>-8.5</v>
      </c>
      <c r="K1493" s="219">
        <v>-9.5</v>
      </c>
      <c r="L1493" s="219">
        <v>315.0</v>
      </c>
      <c r="M1493" s="219" t="s">
        <v>845</v>
      </c>
      <c r="N1493" s="1">
        <v>299.0</v>
      </c>
      <c r="O1493" s="1">
        <v>211.0</v>
      </c>
      <c r="P1493" s="1">
        <v>1.0</v>
      </c>
      <c r="Q1493" s="1" t="b">
        <v>0</v>
      </c>
      <c r="R1493" s="1">
        <v>100.0</v>
      </c>
      <c r="S1493" s="1" t="s">
        <v>355</v>
      </c>
      <c r="T1493" s="1" t="s">
        <v>423</v>
      </c>
      <c r="U1493" s="1"/>
    </row>
    <row r="1494">
      <c r="A1494" s="218">
        <v>45243.92762878472</v>
      </c>
      <c r="B1494" s="1" t="s">
        <v>67</v>
      </c>
      <c r="C1494" s="1" t="s">
        <v>220</v>
      </c>
      <c r="D1494" s="1">
        <v>4.0</v>
      </c>
      <c r="E1494" s="1">
        <v>6.0</v>
      </c>
      <c r="F1494" s="1" t="s">
        <v>1616</v>
      </c>
      <c r="G1494" s="218">
        <v>45248.8125</v>
      </c>
      <c r="H1494" s="1" t="s">
        <v>57</v>
      </c>
      <c r="I1494" s="1"/>
      <c r="J1494" s="219"/>
      <c r="K1494" s="219"/>
      <c r="L1494" s="219"/>
      <c r="M1494" s="219"/>
      <c r="N1494" s="1">
        <v>193.0</v>
      </c>
      <c r="O1494" s="1">
        <v>297.0</v>
      </c>
      <c r="P1494" s="1">
        <v>1.0</v>
      </c>
      <c r="Q1494" s="1" t="b">
        <v>0</v>
      </c>
      <c r="R1494" s="1">
        <v>100.0</v>
      </c>
      <c r="S1494" s="1" t="s">
        <v>351</v>
      </c>
      <c r="T1494" s="1" t="s">
        <v>423</v>
      </c>
      <c r="U1494" s="1"/>
    </row>
    <row r="1495">
      <c r="A1495" s="218">
        <v>45243.92762878472</v>
      </c>
      <c r="B1495" s="1" t="s">
        <v>67</v>
      </c>
      <c r="C1495" s="1" t="s">
        <v>217</v>
      </c>
      <c r="D1495" s="1">
        <v>7.0</v>
      </c>
      <c r="E1495" s="1">
        <v>3.0</v>
      </c>
      <c r="F1495" s="1" t="s">
        <v>1618</v>
      </c>
      <c r="G1495" s="218">
        <v>45248.0</v>
      </c>
      <c r="H1495" s="1" t="s">
        <v>59</v>
      </c>
      <c r="I1495" s="1" t="s">
        <v>287</v>
      </c>
      <c r="J1495" s="219">
        <v>1.5</v>
      </c>
      <c r="K1495" s="219">
        <v>1.5</v>
      </c>
      <c r="L1495" s="219">
        <v>-111.0</v>
      </c>
      <c r="M1495" s="219" t="s">
        <v>867</v>
      </c>
      <c r="N1495" s="1">
        <v>311.0</v>
      </c>
      <c r="O1495" s="1">
        <v>209.0</v>
      </c>
      <c r="P1495" s="1">
        <v>1.0</v>
      </c>
      <c r="Q1495" s="1" t="b">
        <v>0</v>
      </c>
      <c r="R1495" s="1">
        <v>100.0</v>
      </c>
      <c r="S1495" s="1" t="s">
        <v>354</v>
      </c>
      <c r="T1495" s="1" t="s">
        <v>422</v>
      </c>
      <c r="U1495" s="1"/>
    </row>
    <row r="1496">
      <c r="A1496" s="218">
        <v>45243.92762878472</v>
      </c>
      <c r="B1496" s="1" t="s">
        <v>67</v>
      </c>
      <c r="C1496" s="1" t="s">
        <v>225</v>
      </c>
      <c r="D1496" s="1">
        <v>8.0</v>
      </c>
      <c r="E1496" s="1">
        <v>2.0</v>
      </c>
      <c r="F1496" s="1" t="s">
        <v>1619</v>
      </c>
      <c r="G1496" s="218">
        <v>45248.5</v>
      </c>
      <c r="H1496" s="1" t="s">
        <v>67</v>
      </c>
      <c r="I1496" s="1" t="s">
        <v>945</v>
      </c>
      <c r="J1496" s="219">
        <v>-35.5</v>
      </c>
      <c r="K1496" s="219">
        <v>-35.5</v>
      </c>
      <c r="L1496" s="219">
        <v>5000.0</v>
      </c>
      <c r="M1496" s="219" t="s">
        <v>994</v>
      </c>
      <c r="N1496" s="1">
        <v>366.0</v>
      </c>
      <c r="O1496" s="1">
        <v>258.0</v>
      </c>
      <c r="P1496" s="1">
        <v>1.0</v>
      </c>
      <c r="Q1496" s="1" t="b">
        <v>0</v>
      </c>
      <c r="R1496" s="1">
        <v>100.0</v>
      </c>
      <c r="S1496" s="1" t="s">
        <v>292</v>
      </c>
      <c r="T1496" s="1" t="s">
        <v>422</v>
      </c>
      <c r="U1496" s="1"/>
    </row>
    <row r="1497">
      <c r="A1497" s="218">
        <v>45243.92762878472</v>
      </c>
      <c r="B1497" s="1" t="s">
        <v>67</v>
      </c>
      <c r="C1497" s="1" t="s">
        <v>222</v>
      </c>
      <c r="D1497" s="1">
        <v>3.0</v>
      </c>
      <c r="E1497" s="1">
        <v>7.0</v>
      </c>
      <c r="F1497" s="1" t="s">
        <v>1620</v>
      </c>
      <c r="G1497" s="218">
        <v>45248.5</v>
      </c>
      <c r="H1497" s="1" t="s">
        <v>125</v>
      </c>
      <c r="I1497" s="1" t="s">
        <v>888</v>
      </c>
      <c r="J1497" s="219">
        <v>1.5</v>
      </c>
      <c r="K1497" s="219">
        <v>1.5</v>
      </c>
      <c r="L1497" s="219">
        <v>-100.0</v>
      </c>
      <c r="M1497" s="219" t="s">
        <v>854</v>
      </c>
      <c r="N1497" s="1">
        <v>237.0</v>
      </c>
      <c r="O1497" s="1">
        <v>311.0</v>
      </c>
      <c r="P1497" s="1">
        <v>1.0</v>
      </c>
      <c r="Q1497" s="1" t="b">
        <v>0</v>
      </c>
      <c r="R1497" s="1">
        <v>100.0</v>
      </c>
      <c r="S1497" s="1" t="s">
        <v>282</v>
      </c>
      <c r="T1497" s="1" t="s">
        <v>422</v>
      </c>
      <c r="U1497" s="1"/>
    </row>
    <row r="1498">
      <c r="A1498" s="218">
        <v>45243.92762878472</v>
      </c>
      <c r="B1498" s="1" t="s">
        <v>67</v>
      </c>
      <c r="C1498" s="1" t="s">
        <v>218</v>
      </c>
      <c r="D1498" s="1">
        <v>2.0</v>
      </c>
      <c r="E1498" s="1">
        <v>8.0</v>
      </c>
      <c r="F1498" s="1" t="s">
        <v>1619</v>
      </c>
      <c r="G1498" s="218">
        <v>45248.5</v>
      </c>
      <c r="H1498" s="1" t="s">
        <v>67</v>
      </c>
      <c r="I1498" s="1" t="s">
        <v>945</v>
      </c>
      <c r="J1498" s="219">
        <v>35.5</v>
      </c>
      <c r="K1498" s="219">
        <v>35.5</v>
      </c>
      <c r="L1498" s="219">
        <v>5000.0</v>
      </c>
      <c r="M1498" s="219" t="s">
        <v>994</v>
      </c>
      <c r="N1498" s="1">
        <v>184.0</v>
      </c>
      <c r="O1498" s="1">
        <v>332.0</v>
      </c>
      <c r="P1498" s="1">
        <v>1.0</v>
      </c>
      <c r="Q1498" s="1" t="b">
        <v>1</v>
      </c>
      <c r="R1498" s="1">
        <v>100.0</v>
      </c>
      <c r="S1498" s="1" t="s">
        <v>353</v>
      </c>
      <c r="T1498" s="1" t="s">
        <v>423</v>
      </c>
      <c r="U1498" s="1"/>
    </row>
    <row r="1499">
      <c r="A1499" s="218">
        <v>45243.92762878472</v>
      </c>
      <c r="B1499" s="1"/>
      <c r="C1499" s="1"/>
      <c r="D1499" s="1"/>
      <c r="E1499" s="1"/>
      <c r="F1499" s="1"/>
      <c r="G1499" s="218"/>
      <c r="H1499" s="1"/>
      <c r="I1499" s="1"/>
      <c r="J1499" s="219"/>
      <c r="K1499" s="219"/>
      <c r="L1499" s="219"/>
      <c r="M1499" s="219"/>
      <c r="N1499" s="1"/>
      <c r="O1499" s="1"/>
      <c r="P1499" s="1"/>
      <c r="Q1499" s="1"/>
      <c r="R1499" s="1"/>
      <c r="S1499" s="1" t="e">
        <v>#N/A</v>
      </c>
      <c r="T1499" s="1" t="e">
        <v>#N/A</v>
      </c>
      <c r="U1499" s="1"/>
    </row>
    <row r="1500">
      <c r="A1500" s="218">
        <v>45243.92762878472</v>
      </c>
      <c r="B1500" s="1" t="s">
        <v>59</v>
      </c>
      <c r="C1500" s="1" t="s">
        <v>238</v>
      </c>
      <c r="D1500" s="1">
        <v>4.0</v>
      </c>
      <c r="E1500" s="1">
        <v>6.0</v>
      </c>
      <c r="F1500" s="1" t="s">
        <v>1600</v>
      </c>
      <c r="G1500" s="218">
        <v>45244.79166666667</v>
      </c>
      <c r="H1500" s="1" t="s">
        <v>46</v>
      </c>
      <c r="I1500" s="1" t="s">
        <v>99</v>
      </c>
      <c r="J1500" s="219"/>
      <c r="K1500" s="219"/>
      <c r="L1500" s="219"/>
      <c r="M1500" s="219"/>
      <c r="N1500" s="1">
        <v>190.0</v>
      </c>
      <c r="O1500" s="1">
        <v>250.0</v>
      </c>
      <c r="P1500" s="1">
        <v>1.0</v>
      </c>
      <c r="Q1500" s="1" t="b">
        <v>0</v>
      </c>
      <c r="R1500" s="1">
        <v>100.0</v>
      </c>
      <c r="S1500" s="1" t="s">
        <v>352</v>
      </c>
      <c r="T1500" s="1" t="s">
        <v>423</v>
      </c>
      <c r="U1500" s="1"/>
    </row>
    <row r="1501">
      <c r="A1501" s="218">
        <v>45243.92762878472</v>
      </c>
      <c r="B1501" s="1" t="s">
        <v>59</v>
      </c>
      <c r="C1501" s="1" t="s">
        <v>230</v>
      </c>
      <c r="D1501" s="1">
        <v>3.0</v>
      </c>
      <c r="E1501" s="1">
        <v>7.0</v>
      </c>
      <c r="F1501" s="1" t="s">
        <v>1617</v>
      </c>
      <c r="G1501" s="218">
        <v>45248.64583333333</v>
      </c>
      <c r="H1501" s="1" t="s">
        <v>67</v>
      </c>
      <c r="I1501" s="1" t="s">
        <v>935</v>
      </c>
      <c r="J1501" s="219">
        <v>12.5</v>
      </c>
      <c r="K1501" s="219">
        <v>12.5</v>
      </c>
      <c r="L1501" s="219">
        <v>430.0</v>
      </c>
      <c r="M1501" s="219" t="s">
        <v>203</v>
      </c>
      <c r="N1501" s="1">
        <v>229.0</v>
      </c>
      <c r="O1501" s="1">
        <v>324.0</v>
      </c>
      <c r="P1501" s="1">
        <v>1.0</v>
      </c>
      <c r="Q1501" s="1" t="b">
        <v>1</v>
      </c>
      <c r="R1501" s="1">
        <v>100.0</v>
      </c>
      <c r="S1501" s="1" t="s">
        <v>296</v>
      </c>
      <c r="T1501" s="1" t="s">
        <v>422</v>
      </c>
      <c r="U1501" s="1"/>
    </row>
    <row r="1502">
      <c r="A1502" s="218">
        <v>45243.92762878472</v>
      </c>
      <c r="B1502" s="1" t="s">
        <v>59</v>
      </c>
      <c r="C1502" s="1" t="s">
        <v>227</v>
      </c>
      <c r="D1502" s="1">
        <v>5.0</v>
      </c>
      <c r="E1502" s="1">
        <v>5.0</v>
      </c>
      <c r="F1502" s="1" t="s">
        <v>1621</v>
      </c>
      <c r="G1502" s="218">
        <v>45248.79166666667</v>
      </c>
      <c r="H1502" s="1" t="s">
        <v>61</v>
      </c>
      <c r="I1502" s="1" t="s">
        <v>99</v>
      </c>
      <c r="J1502" s="219">
        <v>-4.5</v>
      </c>
      <c r="K1502" s="219">
        <v>-3.5</v>
      </c>
      <c r="L1502" s="219">
        <v>-205.0</v>
      </c>
      <c r="M1502" s="219" t="s">
        <v>990</v>
      </c>
      <c r="N1502" s="1">
        <v>312.0</v>
      </c>
      <c r="O1502" s="1">
        <v>274.0</v>
      </c>
      <c r="P1502" s="1">
        <v>1.0</v>
      </c>
      <c r="Q1502" s="1" t="b">
        <v>1</v>
      </c>
      <c r="R1502" s="1">
        <v>100.0</v>
      </c>
      <c r="S1502" s="1" t="s">
        <v>353</v>
      </c>
      <c r="T1502" s="1" t="s">
        <v>423</v>
      </c>
      <c r="U1502" s="1"/>
    </row>
    <row r="1503">
      <c r="A1503" s="218">
        <v>45243.92762878472</v>
      </c>
      <c r="B1503" s="1" t="s">
        <v>59</v>
      </c>
      <c r="C1503" s="1" t="s">
        <v>237</v>
      </c>
      <c r="D1503" s="1">
        <v>8.0</v>
      </c>
      <c r="E1503" s="1">
        <v>2.0</v>
      </c>
      <c r="F1503" s="1" t="s">
        <v>1589</v>
      </c>
      <c r="G1503" s="218">
        <v>45248.8125</v>
      </c>
      <c r="H1503" s="1" t="s">
        <v>56</v>
      </c>
      <c r="I1503" s="1" t="s">
        <v>76</v>
      </c>
      <c r="J1503" s="219">
        <v>-10.5</v>
      </c>
      <c r="K1503" s="219">
        <v>-11.5</v>
      </c>
      <c r="L1503" s="219">
        <v>360.0</v>
      </c>
      <c r="M1503" s="219" t="s">
        <v>203</v>
      </c>
      <c r="N1503" s="1">
        <v>328.0</v>
      </c>
      <c r="O1503" s="1">
        <v>223.0</v>
      </c>
      <c r="P1503" s="1">
        <v>1.0</v>
      </c>
      <c r="Q1503" s="1" t="b">
        <v>1</v>
      </c>
      <c r="R1503" s="1">
        <v>100.0</v>
      </c>
      <c r="S1503" s="1" t="s">
        <v>292</v>
      </c>
      <c r="T1503" s="1" t="s">
        <v>422</v>
      </c>
      <c r="U1503" s="1"/>
    </row>
    <row r="1504">
      <c r="A1504" s="218">
        <v>45243.92762878472</v>
      </c>
      <c r="B1504" s="1" t="s">
        <v>59</v>
      </c>
      <c r="C1504" s="1" t="s">
        <v>232</v>
      </c>
      <c r="D1504" s="1">
        <v>6.0</v>
      </c>
      <c r="E1504" s="1">
        <v>4.0</v>
      </c>
      <c r="F1504" s="1" t="s">
        <v>1622</v>
      </c>
      <c r="G1504" s="218">
        <v>45248.83333333333</v>
      </c>
      <c r="H1504" s="1" t="s">
        <v>69</v>
      </c>
      <c r="I1504" s="1" t="s">
        <v>36</v>
      </c>
      <c r="J1504" s="219">
        <v>31.5</v>
      </c>
      <c r="K1504" s="219">
        <v>30.5</v>
      </c>
      <c r="L1504" s="219">
        <v>2000.0</v>
      </c>
      <c r="M1504" s="219" t="s">
        <v>1454</v>
      </c>
      <c r="N1504" s="1">
        <v>271.0</v>
      </c>
      <c r="O1504" s="1">
        <v>288.0</v>
      </c>
      <c r="P1504" s="1">
        <v>1.0</v>
      </c>
      <c r="Q1504" s="1" t="b">
        <v>0</v>
      </c>
      <c r="R1504" s="1">
        <v>100.0</v>
      </c>
      <c r="S1504" s="1" t="s">
        <v>355</v>
      </c>
      <c r="T1504" s="1" t="s">
        <v>423</v>
      </c>
      <c r="U1504" s="1"/>
    </row>
    <row r="1505">
      <c r="A1505" s="218">
        <v>45243.92762878472</v>
      </c>
      <c r="B1505" s="1" t="s">
        <v>59</v>
      </c>
      <c r="C1505" s="1" t="s">
        <v>229</v>
      </c>
      <c r="D1505" s="1">
        <v>5.0</v>
      </c>
      <c r="E1505" s="1">
        <v>5.0</v>
      </c>
      <c r="F1505" s="1" t="s">
        <v>1591</v>
      </c>
      <c r="G1505" s="218">
        <v>45248.83333333333</v>
      </c>
      <c r="H1505" s="1" t="s">
        <v>56</v>
      </c>
      <c r="I1505" s="1" t="s">
        <v>900</v>
      </c>
      <c r="J1505" s="219">
        <v>-6.5</v>
      </c>
      <c r="K1505" s="219">
        <v>-6.5</v>
      </c>
      <c r="L1505" s="219">
        <v>195.0</v>
      </c>
      <c r="M1505" s="219" t="s">
        <v>114</v>
      </c>
      <c r="N1505" s="1">
        <v>320.0</v>
      </c>
      <c r="O1505" s="1">
        <v>313.0</v>
      </c>
      <c r="P1505" s="1">
        <v>1.0</v>
      </c>
      <c r="Q1505" s="1" t="b">
        <v>1</v>
      </c>
      <c r="R1505" s="1">
        <v>100.0</v>
      </c>
      <c r="S1505" s="1" t="s">
        <v>301</v>
      </c>
      <c r="T1505" s="1" t="s">
        <v>422</v>
      </c>
      <c r="U1505" s="1"/>
    </row>
    <row r="1506">
      <c r="A1506" s="218">
        <v>45243.92762878472</v>
      </c>
      <c r="B1506" s="1" t="s">
        <v>59</v>
      </c>
      <c r="C1506" s="1" t="s">
        <v>231</v>
      </c>
      <c r="D1506" s="1">
        <v>7.0</v>
      </c>
      <c r="E1506" s="1">
        <v>3.0</v>
      </c>
      <c r="F1506" s="1" t="s">
        <v>1618</v>
      </c>
      <c r="G1506" s="218">
        <v>45248.0</v>
      </c>
      <c r="H1506" s="1" t="s">
        <v>67</v>
      </c>
      <c r="I1506" s="1" t="s">
        <v>287</v>
      </c>
      <c r="J1506" s="219">
        <v>-1.5</v>
      </c>
      <c r="K1506" s="219">
        <v>-1.5</v>
      </c>
      <c r="L1506" s="219">
        <v>-111.0</v>
      </c>
      <c r="M1506" s="219" t="s">
        <v>867</v>
      </c>
      <c r="N1506" s="1">
        <v>253.0</v>
      </c>
      <c r="O1506" s="1">
        <v>178.0</v>
      </c>
      <c r="P1506" s="1">
        <v>1.0</v>
      </c>
      <c r="Q1506" s="1" t="b">
        <v>1</v>
      </c>
      <c r="R1506" s="1">
        <v>100.0</v>
      </c>
      <c r="S1506" s="1" t="s">
        <v>354</v>
      </c>
      <c r="T1506" s="1" t="s">
        <v>422</v>
      </c>
      <c r="U1506" s="1"/>
    </row>
    <row r="1507">
      <c r="A1507" s="218">
        <v>45243.92762878472</v>
      </c>
      <c r="B1507" s="1" t="s">
        <v>59</v>
      </c>
      <c r="C1507" s="1" t="s">
        <v>234</v>
      </c>
      <c r="D1507" s="1">
        <v>4.0</v>
      </c>
      <c r="E1507" s="1">
        <v>5.0</v>
      </c>
      <c r="F1507" s="1" t="s">
        <v>1623</v>
      </c>
      <c r="G1507" s="218">
        <v>45248.5</v>
      </c>
      <c r="H1507" s="1" t="s">
        <v>62</v>
      </c>
      <c r="I1507" s="1" t="s">
        <v>1624</v>
      </c>
      <c r="J1507" s="219">
        <v>-3.0</v>
      </c>
      <c r="K1507" s="219">
        <v>-2.5</v>
      </c>
      <c r="L1507" s="219">
        <v>122.0</v>
      </c>
      <c r="M1507" s="219" t="s">
        <v>1625</v>
      </c>
      <c r="N1507" s="1">
        <v>177.0</v>
      </c>
      <c r="O1507" s="1">
        <v>193.0</v>
      </c>
      <c r="P1507" s="1">
        <v>1.0</v>
      </c>
      <c r="Q1507" s="1" t="b">
        <v>1</v>
      </c>
      <c r="R1507" s="1">
        <v>100.0</v>
      </c>
      <c r="S1507" s="1" t="s">
        <v>407</v>
      </c>
      <c r="T1507" s="1" t="s">
        <v>423</v>
      </c>
      <c r="U1507" s="1"/>
    </row>
    <row r="1508">
      <c r="A1508" s="218">
        <v>45243.92762878472</v>
      </c>
      <c r="B1508" s="1" t="s">
        <v>59</v>
      </c>
      <c r="C1508" s="1" t="s">
        <v>236</v>
      </c>
      <c r="D1508" s="1">
        <v>1.0</v>
      </c>
      <c r="E1508" s="1">
        <v>9.0</v>
      </c>
      <c r="F1508" s="1" t="s">
        <v>1626</v>
      </c>
      <c r="G1508" s="218">
        <v>45248.5</v>
      </c>
      <c r="H1508" s="1"/>
      <c r="I1508" s="1" t="s">
        <v>942</v>
      </c>
      <c r="J1508" s="219"/>
      <c r="K1508" s="219"/>
      <c r="L1508" s="219"/>
      <c r="M1508" s="219"/>
      <c r="N1508" s="1">
        <v>167.0</v>
      </c>
      <c r="O1508" s="1">
        <v>337.0</v>
      </c>
      <c r="P1508" s="1">
        <v>1.0</v>
      </c>
      <c r="Q1508" s="1" t="b">
        <v>0</v>
      </c>
      <c r="R1508" s="1">
        <v>100.0</v>
      </c>
      <c r="S1508" s="1" t="s">
        <v>351</v>
      </c>
      <c r="T1508" s="1" t="s">
        <v>423</v>
      </c>
      <c r="U1508" s="1"/>
    </row>
    <row r="1509">
      <c r="A1509" s="218">
        <v>45243.92762878472</v>
      </c>
      <c r="B1509" s="1" t="s">
        <v>59</v>
      </c>
      <c r="C1509" s="1" t="s">
        <v>209</v>
      </c>
      <c r="D1509" s="1">
        <v>10.0</v>
      </c>
      <c r="E1509" s="1">
        <v>0.0</v>
      </c>
      <c r="F1509" s="1" t="s">
        <v>1627</v>
      </c>
      <c r="G1509" s="218">
        <v>45248.5</v>
      </c>
      <c r="H1509" s="1" t="s">
        <v>62</v>
      </c>
      <c r="I1509" s="1" t="s">
        <v>92</v>
      </c>
      <c r="J1509" s="219">
        <v>-21.5</v>
      </c>
      <c r="K1509" s="219">
        <v>-20.5</v>
      </c>
      <c r="L1509" s="219">
        <v>-1600.0</v>
      </c>
      <c r="M1509" s="219" t="s">
        <v>937</v>
      </c>
      <c r="N1509" s="1">
        <v>390.0</v>
      </c>
      <c r="O1509" s="1">
        <v>75.0</v>
      </c>
      <c r="P1509" s="1">
        <v>1.0</v>
      </c>
      <c r="Q1509" s="1" t="b">
        <v>1</v>
      </c>
      <c r="R1509" s="1">
        <v>100.0</v>
      </c>
      <c r="S1509" s="1" t="s">
        <v>282</v>
      </c>
      <c r="T1509" s="1" t="s">
        <v>422</v>
      </c>
      <c r="U1509" s="1"/>
    </row>
    <row r="1510">
      <c r="A1510" s="218">
        <v>45243.92762878472</v>
      </c>
      <c r="B1510" s="1"/>
      <c r="C1510" s="1"/>
      <c r="D1510" s="1"/>
      <c r="E1510" s="1"/>
      <c r="F1510" s="1"/>
      <c r="G1510" s="218"/>
      <c r="H1510" s="1"/>
      <c r="I1510" s="1"/>
      <c r="J1510" s="219"/>
      <c r="K1510" s="219"/>
      <c r="L1510" s="219"/>
      <c r="M1510" s="219"/>
      <c r="N1510" s="1"/>
      <c r="O1510" s="1"/>
      <c r="P1510" s="1"/>
      <c r="Q1510" s="1"/>
      <c r="R1510" s="1"/>
      <c r="S1510" s="1" t="e">
        <v>#N/A</v>
      </c>
      <c r="T1510" s="1" t="e">
        <v>#N/A</v>
      </c>
      <c r="U1510" s="1"/>
    </row>
    <row r="1511">
      <c r="A1511" s="218">
        <v>45243.92762878472</v>
      </c>
      <c r="B1511" s="1" t="s">
        <v>62</v>
      </c>
      <c r="C1511" s="1" t="s">
        <v>240</v>
      </c>
      <c r="D1511" s="1">
        <v>8.0</v>
      </c>
      <c r="E1511" s="1">
        <v>2.0</v>
      </c>
      <c r="F1511" s="1" t="s">
        <v>1606</v>
      </c>
      <c r="G1511" s="218">
        <v>45245.79166666667</v>
      </c>
      <c r="H1511" s="1" t="s">
        <v>70</v>
      </c>
      <c r="I1511" s="1"/>
      <c r="J1511" s="219"/>
      <c r="K1511" s="219"/>
      <c r="L1511" s="219"/>
      <c r="M1511" s="219"/>
      <c r="N1511" s="1">
        <v>287.0</v>
      </c>
      <c r="O1511" s="1">
        <v>171.0</v>
      </c>
      <c r="P1511" s="1">
        <v>1.0</v>
      </c>
      <c r="Q1511" s="1" t="b">
        <v>0</v>
      </c>
      <c r="R1511" s="1">
        <v>100.0</v>
      </c>
      <c r="S1511" s="1" t="s">
        <v>352</v>
      </c>
      <c r="T1511" s="1" t="s">
        <v>423</v>
      </c>
      <c r="U1511" s="1"/>
    </row>
    <row r="1512">
      <c r="A1512" s="218">
        <v>45243.92762878472</v>
      </c>
      <c r="B1512" s="1" t="s">
        <v>62</v>
      </c>
      <c r="C1512" s="1" t="s">
        <v>248</v>
      </c>
      <c r="D1512" s="1">
        <v>6.0</v>
      </c>
      <c r="E1512" s="1">
        <v>4.0</v>
      </c>
      <c r="F1512" s="1" t="s">
        <v>1628</v>
      </c>
      <c r="G1512" s="218">
        <v>45246.79166666667</v>
      </c>
      <c r="H1512" s="1" t="s">
        <v>69</v>
      </c>
      <c r="I1512" s="1" t="s">
        <v>76</v>
      </c>
      <c r="J1512" s="219">
        <v>-1.5</v>
      </c>
      <c r="K1512" s="219">
        <v>1.5</v>
      </c>
      <c r="L1512" s="219">
        <v>104.0</v>
      </c>
      <c r="M1512" s="219" t="s">
        <v>151</v>
      </c>
      <c r="N1512" s="1">
        <v>264.0</v>
      </c>
      <c r="O1512" s="1">
        <v>285.0</v>
      </c>
      <c r="P1512" s="1">
        <v>1.0</v>
      </c>
      <c r="Q1512" s="1" t="b">
        <v>0</v>
      </c>
      <c r="R1512" s="1">
        <v>100.0</v>
      </c>
      <c r="S1512" s="1" t="s">
        <v>301</v>
      </c>
      <c r="T1512" s="1" t="s">
        <v>422</v>
      </c>
      <c r="U1512" s="1"/>
    </row>
    <row r="1513">
      <c r="A1513" s="218">
        <v>45243.92762878472</v>
      </c>
      <c r="B1513" s="1" t="s">
        <v>62</v>
      </c>
      <c r="C1513" s="1" t="s">
        <v>242</v>
      </c>
      <c r="D1513" s="1">
        <v>3.0</v>
      </c>
      <c r="E1513" s="1">
        <v>7.0</v>
      </c>
      <c r="F1513" s="1" t="s">
        <v>1629</v>
      </c>
      <c r="G1513" s="218">
        <v>45248.60416666667</v>
      </c>
      <c r="H1513" s="1"/>
      <c r="I1513" s="1" t="s">
        <v>935</v>
      </c>
      <c r="J1513" s="219">
        <v>6.5</v>
      </c>
      <c r="K1513" s="219">
        <v>6.5</v>
      </c>
      <c r="L1513" s="219">
        <v>205.0</v>
      </c>
      <c r="M1513" s="219" t="s">
        <v>840</v>
      </c>
      <c r="N1513" s="1">
        <v>252.0</v>
      </c>
      <c r="O1513" s="1">
        <v>269.0</v>
      </c>
      <c r="P1513" s="1">
        <v>1.0</v>
      </c>
      <c r="Q1513" s="1" t="b">
        <v>1</v>
      </c>
      <c r="R1513" s="1">
        <v>100.0</v>
      </c>
      <c r="S1513" s="1" t="s">
        <v>296</v>
      </c>
      <c r="T1513" s="1" t="s">
        <v>422</v>
      </c>
      <c r="U1513" s="1"/>
    </row>
    <row r="1514">
      <c r="A1514" s="218">
        <v>45243.92762878472</v>
      </c>
      <c r="B1514" s="1" t="s">
        <v>62</v>
      </c>
      <c r="C1514" s="1" t="s">
        <v>215</v>
      </c>
      <c r="D1514" s="1">
        <v>5.0</v>
      </c>
      <c r="E1514" s="1">
        <v>5.0</v>
      </c>
      <c r="F1514" s="1" t="s">
        <v>1570</v>
      </c>
      <c r="G1514" s="218">
        <v>45248.64583333333</v>
      </c>
      <c r="H1514" s="1" t="s">
        <v>35</v>
      </c>
      <c r="I1514" s="1" t="s">
        <v>935</v>
      </c>
      <c r="J1514" s="219">
        <v>-12.5</v>
      </c>
      <c r="K1514" s="219">
        <v>-12.5</v>
      </c>
      <c r="L1514" s="219">
        <v>400.0</v>
      </c>
      <c r="M1514" s="219" t="s">
        <v>73</v>
      </c>
      <c r="N1514" s="1">
        <v>289.0</v>
      </c>
      <c r="O1514" s="1">
        <v>287.0</v>
      </c>
      <c r="P1514" s="1">
        <v>1.0</v>
      </c>
      <c r="Q1514" s="1" t="b">
        <v>1</v>
      </c>
      <c r="R1514" s="1">
        <v>100.0</v>
      </c>
      <c r="S1514" s="1" t="s">
        <v>351</v>
      </c>
      <c r="T1514" s="1" t="s">
        <v>423</v>
      </c>
      <c r="U1514" s="1"/>
    </row>
    <row r="1515">
      <c r="A1515" s="218">
        <v>45243.92762878472</v>
      </c>
      <c r="B1515" s="1" t="s">
        <v>62</v>
      </c>
      <c r="C1515" s="1" t="s">
        <v>245</v>
      </c>
      <c r="D1515" s="1">
        <v>6.0</v>
      </c>
      <c r="E1515" s="1">
        <v>4.0</v>
      </c>
      <c r="F1515" s="1" t="s">
        <v>1630</v>
      </c>
      <c r="G1515" s="218">
        <v>45248.75</v>
      </c>
      <c r="H1515" s="1" t="s">
        <v>61</v>
      </c>
      <c r="I1515" s="1" t="s">
        <v>935</v>
      </c>
      <c r="J1515" s="219">
        <v>-7.5</v>
      </c>
      <c r="K1515" s="219">
        <v>-7.5</v>
      </c>
      <c r="L1515" s="219">
        <v>220.0</v>
      </c>
      <c r="M1515" s="219" t="s">
        <v>969</v>
      </c>
      <c r="N1515" s="1">
        <v>327.0</v>
      </c>
      <c r="O1515" s="1">
        <v>280.0</v>
      </c>
      <c r="P1515" s="1">
        <v>1.0</v>
      </c>
      <c r="Q1515" s="1" t="b">
        <v>1</v>
      </c>
      <c r="R1515" s="1">
        <v>100.0</v>
      </c>
      <c r="S1515" s="1" t="s">
        <v>355</v>
      </c>
      <c r="T1515" s="1" t="s">
        <v>423</v>
      </c>
      <c r="U1515" s="1"/>
    </row>
    <row r="1516">
      <c r="A1516" s="218">
        <v>45243.92762878472</v>
      </c>
      <c r="B1516" s="1" t="s">
        <v>62</v>
      </c>
      <c r="C1516" s="1" t="s">
        <v>247</v>
      </c>
      <c r="D1516" s="1">
        <v>8.0</v>
      </c>
      <c r="E1516" s="1">
        <v>2.0</v>
      </c>
      <c r="F1516" s="1" t="s">
        <v>1604</v>
      </c>
      <c r="G1516" s="218">
        <v>45248.8125</v>
      </c>
      <c r="H1516" s="1" t="s">
        <v>46</v>
      </c>
      <c r="I1516" s="1" t="s">
        <v>82</v>
      </c>
      <c r="J1516" s="219">
        <v>2.5</v>
      </c>
      <c r="K1516" s="219">
        <v>-1.5</v>
      </c>
      <c r="L1516" s="219">
        <v>-104.0</v>
      </c>
      <c r="M1516" s="219" t="s">
        <v>908</v>
      </c>
      <c r="N1516" s="1">
        <v>379.0</v>
      </c>
      <c r="O1516" s="1">
        <v>205.0</v>
      </c>
      <c r="P1516" s="1">
        <v>1.0</v>
      </c>
      <c r="Q1516" s="1" t="b">
        <v>1</v>
      </c>
      <c r="R1516" s="1">
        <v>100.0</v>
      </c>
      <c r="S1516" s="1" t="s">
        <v>354</v>
      </c>
      <c r="T1516" s="1" t="s">
        <v>422</v>
      </c>
      <c r="U1516" s="1"/>
    </row>
    <row r="1517">
      <c r="A1517" s="218">
        <v>45243.92762878472</v>
      </c>
      <c r="B1517" s="1" t="s">
        <v>62</v>
      </c>
      <c r="C1517" s="1" t="s">
        <v>241</v>
      </c>
      <c r="D1517" s="1">
        <v>8.0</v>
      </c>
      <c r="E1517" s="1">
        <v>2.0</v>
      </c>
      <c r="F1517" s="1" t="s">
        <v>1573</v>
      </c>
      <c r="G1517" s="218">
        <v>45248.9375</v>
      </c>
      <c r="H1517" s="1" t="s">
        <v>35</v>
      </c>
      <c r="I1517" s="1" t="s">
        <v>96</v>
      </c>
      <c r="J1517" s="219">
        <v>-24.5</v>
      </c>
      <c r="K1517" s="219">
        <v>-24.5</v>
      </c>
      <c r="L1517" s="219">
        <v>1100.0</v>
      </c>
      <c r="M1517" s="219" t="s">
        <v>104</v>
      </c>
      <c r="N1517" s="1">
        <v>324.0</v>
      </c>
      <c r="O1517" s="1">
        <v>237.0</v>
      </c>
      <c r="P1517" s="1">
        <v>1.0</v>
      </c>
      <c r="Q1517" s="1" t="b">
        <v>1</v>
      </c>
      <c r="R1517" s="1">
        <v>100.0</v>
      </c>
      <c r="S1517" s="1" t="s">
        <v>353</v>
      </c>
      <c r="T1517" s="1" t="s">
        <v>423</v>
      </c>
      <c r="U1517" s="1"/>
    </row>
    <row r="1518">
      <c r="A1518" s="218">
        <v>45243.92762878472</v>
      </c>
      <c r="B1518" s="1" t="s">
        <v>62</v>
      </c>
      <c r="C1518" s="1" t="s">
        <v>249</v>
      </c>
      <c r="D1518" s="1">
        <v>4.0</v>
      </c>
      <c r="E1518" s="1">
        <v>6.0</v>
      </c>
      <c r="F1518" s="1" t="s">
        <v>1611</v>
      </c>
      <c r="G1518" s="218">
        <v>45248.5</v>
      </c>
      <c r="H1518" s="1" t="s">
        <v>70</v>
      </c>
      <c r="I1518" s="1" t="s">
        <v>880</v>
      </c>
      <c r="J1518" s="219">
        <v>-13.5</v>
      </c>
      <c r="K1518" s="219">
        <v>-13.5</v>
      </c>
      <c r="L1518" s="219">
        <v>400.0</v>
      </c>
      <c r="M1518" s="219" t="s">
        <v>906</v>
      </c>
      <c r="N1518" s="1">
        <v>214.0</v>
      </c>
      <c r="O1518" s="1">
        <v>282.0</v>
      </c>
      <c r="P1518" s="1">
        <v>1.0</v>
      </c>
      <c r="Q1518" s="1" t="b">
        <v>0</v>
      </c>
      <c r="R1518" s="1">
        <v>100.0</v>
      </c>
      <c r="S1518" s="1" t="s">
        <v>292</v>
      </c>
      <c r="T1518" s="1" t="s">
        <v>422</v>
      </c>
      <c r="U1518" s="1"/>
    </row>
    <row r="1519">
      <c r="A1519" s="218">
        <v>45243.92762878472</v>
      </c>
      <c r="B1519" s="1" t="s">
        <v>62</v>
      </c>
      <c r="C1519" s="1" t="s">
        <v>246</v>
      </c>
      <c r="D1519" s="1">
        <v>2.0</v>
      </c>
      <c r="E1519" s="1">
        <v>8.0</v>
      </c>
      <c r="F1519" s="1" t="s">
        <v>1623</v>
      </c>
      <c r="G1519" s="218">
        <v>45248.5</v>
      </c>
      <c r="H1519" s="1" t="s">
        <v>59</v>
      </c>
      <c r="I1519" s="1" t="s">
        <v>1624</v>
      </c>
      <c r="J1519" s="219">
        <v>3.0</v>
      </c>
      <c r="K1519" s="219">
        <v>2.5</v>
      </c>
      <c r="L1519" s="219">
        <v>122.0</v>
      </c>
      <c r="M1519" s="219" t="s">
        <v>1625</v>
      </c>
      <c r="N1519" s="1">
        <v>181.0</v>
      </c>
      <c r="O1519" s="1">
        <v>230.0</v>
      </c>
      <c r="P1519" s="1">
        <v>1.0</v>
      </c>
      <c r="Q1519" s="1" t="b">
        <v>0</v>
      </c>
      <c r="R1519" s="1">
        <v>100.0</v>
      </c>
      <c r="S1519" s="1" t="s">
        <v>407</v>
      </c>
      <c r="T1519" s="1" t="s">
        <v>423</v>
      </c>
      <c r="U1519" s="1"/>
    </row>
    <row r="1520">
      <c r="A1520" s="218">
        <v>45243.92762878472</v>
      </c>
      <c r="B1520" s="1" t="s">
        <v>62</v>
      </c>
      <c r="C1520" s="1" t="s">
        <v>244</v>
      </c>
      <c r="D1520" s="1">
        <v>6.0</v>
      </c>
      <c r="E1520" s="1">
        <v>4.0</v>
      </c>
      <c r="F1520" s="1" t="s">
        <v>1627</v>
      </c>
      <c r="G1520" s="218">
        <v>45248.5</v>
      </c>
      <c r="H1520" s="1" t="s">
        <v>59</v>
      </c>
      <c r="I1520" s="1" t="s">
        <v>92</v>
      </c>
      <c r="J1520" s="219">
        <v>21.5</v>
      </c>
      <c r="K1520" s="219">
        <v>20.5</v>
      </c>
      <c r="L1520" s="219">
        <v>-1600.0</v>
      </c>
      <c r="M1520" s="219" t="s">
        <v>937</v>
      </c>
      <c r="N1520" s="1">
        <v>289.0</v>
      </c>
      <c r="O1520" s="1">
        <v>224.0</v>
      </c>
      <c r="P1520" s="1">
        <v>1.0</v>
      </c>
      <c r="Q1520" s="1" t="b">
        <v>0</v>
      </c>
      <c r="R1520" s="1">
        <v>100.0</v>
      </c>
      <c r="S1520" s="1" t="s">
        <v>282</v>
      </c>
      <c r="T1520" s="1" t="s">
        <v>422</v>
      </c>
      <c r="U1520" s="1"/>
    </row>
    <row r="1521">
      <c r="A1521" s="218">
        <v>45243.92762878472</v>
      </c>
      <c r="B1521" s="1"/>
      <c r="C1521" s="1"/>
      <c r="D1521" s="1"/>
      <c r="E1521" s="1"/>
      <c r="F1521" s="1"/>
      <c r="G1521" s="218"/>
      <c r="H1521" s="1"/>
      <c r="I1521" s="1"/>
      <c r="J1521" s="219"/>
      <c r="K1521" s="219"/>
      <c r="L1521" s="219"/>
      <c r="M1521" s="219"/>
      <c r="N1521" s="1"/>
      <c r="O1521" s="1"/>
      <c r="P1521" s="1"/>
      <c r="Q1521" s="1"/>
      <c r="R1521" s="1"/>
      <c r="S1521" s="1" t="e">
        <v>#N/A</v>
      </c>
      <c r="T1521" s="1" t="e">
        <v>#N/A</v>
      </c>
      <c r="U1521" s="1"/>
    </row>
    <row r="1522">
      <c r="A1522" s="218">
        <v>45243.92762878472</v>
      </c>
      <c r="B1522" s="1" t="s">
        <v>69</v>
      </c>
      <c r="C1522" s="1" t="s">
        <v>256</v>
      </c>
      <c r="D1522" s="1">
        <v>2.0</v>
      </c>
      <c r="E1522" s="1">
        <v>8.0</v>
      </c>
      <c r="F1522" s="1" t="s">
        <v>1628</v>
      </c>
      <c r="G1522" s="218">
        <v>45246.79166666667</v>
      </c>
      <c r="H1522" s="1" t="s">
        <v>62</v>
      </c>
      <c r="I1522" s="1" t="s">
        <v>76</v>
      </c>
      <c r="J1522" s="219">
        <v>1.5</v>
      </c>
      <c r="K1522" s="219">
        <v>-1.5</v>
      </c>
      <c r="L1522" s="219">
        <v>104.0</v>
      </c>
      <c r="M1522" s="219" t="s">
        <v>151</v>
      </c>
      <c r="N1522" s="1">
        <v>199.0</v>
      </c>
      <c r="O1522" s="1">
        <v>282.0</v>
      </c>
      <c r="P1522" s="1">
        <v>1.0</v>
      </c>
      <c r="Q1522" s="1" t="b">
        <v>1</v>
      </c>
      <c r="R1522" s="1">
        <v>100.0</v>
      </c>
      <c r="S1522" s="1" t="s">
        <v>301</v>
      </c>
      <c r="T1522" s="1" t="s">
        <v>422</v>
      </c>
      <c r="U1522" s="1"/>
    </row>
    <row r="1523">
      <c r="A1523" s="218">
        <v>45243.92762878472</v>
      </c>
      <c r="B1523" s="1" t="s">
        <v>69</v>
      </c>
      <c r="C1523" s="1" t="s">
        <v>253</v>
      </c>
      <c r="D1523" s="1">
        <v>5.0</v>
      </c>
      <c r="E1523" s="1">
        <v>5.0</v>
      </c>
      <c r="F1523" s="1" t="s">
        <v>1607</v>
      </c>
      <c r="G1523" s="218">
        <v>45247.875</v>
      </c>
      <c r="H1523" s="1" t="s">
        <v>70</v>
      </c>
      <c r="I1523" s="1" t="s">
        <v>36</v>
      </c>
      <c r="J1523" s="219">
        <v>16.5</v>
      </c>
      <c r="K1523" s="219">
        <v>16.5</v>
      </c>
      <c r="L1523" s="219">
        <v>610.0</v>
      </c>
      <c r="M1523" s="219" t="s">
        <v>1363</v>
      </c>
      <c r="N1523" s="1">
        <v>301.0</v>
      </c>
      <c r="O1523" s="1">
        <v>356.0</v>
      </c>
      <c r="P1523" s="1">
        <v>1.0</v>
      </c>
      <c r="Q1523" s="1" t="b">
        <v>0</v>
      </c>
      <c r="R1523" s="1">
        <v>100.0</v>
      </c>
      <c r="S1523" s="1" t="s">
        <v>407</v>
      </c>
      <c r="T1523" s="1" t="s">
        <v>423</v>
      </c>
      <c r="U1523" s="1"/>
    </row>
    <row r="1524">
      <c r="A1524" s="218">
        <v>45243.92762878472</v>
      </c>
      <c r="B1524" s="1" t="s">
        <v>69</v>
      </c>
      <c r="C1524" s="1" t="s">
        <v>250</v>
      </c>
      <c r="D1524" s="1">
        <v>3.0</v>
      </c>
      <c r="E1524" s="1">
        <v>8.0</v>
      </c>
      <c r="F1524" s="1" t="s">
        <v>1631</v>
      </c>
      <c r="G1524" s="218">
        <v>45248.58333333333</v>
      </c>
      <c r="H1524" s="1" t="s">
        <v>125</v>
      </c>
      <c r="I1524" s="1" t="s">
        <v>935</v>
      </c>
      <c r="J1524" s="219">
        <v>8.5</v>
      </c>
      <c r="K1524" s="219">
        <v>8.5</v>
      </c>
      <c r="L1524" s="219">
        <v>270.0</v>
      </c>
      <c r="M1524" s="219" t="s">
        <v>840</v>
      </c>
      <c r="N1524" s="1">
        <v>294.0</v>
      </c>
      <c r="O1524" s="1">
        <v>345.0</v>
      </c>
      <c r="P1524" s="1">
        <v>1.0</v>
      </c>
      <c r="Q1524" s="1" t="b">
        <v>0</v>
      </c>
      <c r="R1524" s="1">
        <v>100.0</v>
      </c>
      <c r="S1524" s="1" t="s">
        <v>351</v>
      </c>
      <c r="T1524" s="1" t="s">
        <v>423</v>
      </c>
      <c r="U1524" s="1"/>
    </row>
    <row r="1525">
      <c r="A1525" s="218">
        <v>45243.92762878472</v>
      </c>
      <c r="B1525" s="1" t="s">
        <v>69</v>
      </c>
      <c r="C1525" s="1" t="s">
        <v>252</v>
      </c>
      <c r="D1525" s="1">
        <v>3.0</v>
      </c>
      <c r="E1525" s="1">
        <v>7.0</v>
      </c>
      <c r="F1525" s="1" t="s">
        <v>1632</v>
      </c>
      <c r="G1525" s="218">
        <v>45248.58333333333</v>
      </c>
      <c r="H1525" s="1" t="s">
        <v>125</v>
      </c>
      <c r="I1525" s="1" t="s">
        <v>935</v>
      </c>
      <c r="J1525" s="219">
        <v>2.5</v>
      </c>
      <c r="K1525" s="219">
        <v>2.5</v>
      </c>
      <c r="L1525" s="219">
        <v>-130.0</v>
      </c>
      <c r="M1525" s="219" t="s">
        <v>151</v>
      </c>
      <c r="N1525" s="1">
        <v>189.0</v>
      </c>
      <c r="O1525" s="1">
        <v>267.0</v>
      </c>
      <c r="P1525" s="1">
        <v>1.0</v>
      </c>
      <c r="Q1525" s="1" t="b">
        <v>0</v>
      </c>
      <c r="R1525" s="1">
        <v>100.0</v>
      </c>
      <c r="S1525" s="1" t="s">
        <v>352</v>
      </c>
      <c r="T1525" s="1" t="s">
        <v>423</v>
      </c>
      <c r="U1525" s="1"/>
    </row>
    <row r="1526">
      <c r="A1526" s="218">
        <v>45243.92762878472</v>
      </c>
      <c r="B1526" s="1" t="s">
        <v>69</v>
      </c>
      <c r="C1526" s="1" t="s">
        <v>254</v>
      </c>
      <c r="D1526" s="1">
        <v>5.0</v>
      </c>
      <c r="E1526" s="1">
        <v>5.0</v>
      </c>
      <c r="F1526" s="1" t="s">
        <v>1587</v>
      </c>
      <c r="G1526" s="218">
        <v>45248.625</v>
      </c>
      <c r="H1526" s="1" t="s">
        <v>56</v>
      </c>
      <c r="I1526" s="1" t="s">
        <v>935</v>
      </c>
      <c r="J1526" s="219">
        <v>4.5</v>
      </c>
      <c r="K1526" s="219">
        <v>4.5</v>
      </c>
      <c r="L1526" s="219">
        <v>-196.0</v>
      </c>
      <c r="M1526" s="219" t="s">
        <v>954</v>
      </c>
      <c r="N1526" s="1">
        <v>235.0</v>
      </c>
      <c r="O1526" s="1">
        <v>308.0</v>
      </c>
      <c r="P1526" s="1">
        <v>1.0</v>
      </c>
      <c r="Q1526" s="1" t="b">
        <v>0</v>
      </c>
      <c r="R1526" s="1">
        <v>100.0</v>
      </c>
      <c r="S1526" s="1" t="s">
        <v>355</v>
      </c>
      <c r="T1526" s="1" t="s">
        <v>423</v>
      </c>
      <c r="U1526" s="1"/>
    </row>
    <row r="1527">
      <c r="A1527" s="218">
        <v>45243.92762878472</v>
      </c>
      <c r="B1527" s="1" t="s">
        <v>69</v>
      </c>
      <c r="C1527" s="1" t="s">
        <v>243</v>
      </c>
      <c r="D1527" s="1">
        <v>8.0</v>
      </c>
      <c r="E1527" s="1">
        <v>2.0</v>
      </c>
      <c r="F1527" s="1" t="s">
        <v>1614</v>
      </c>
      <c r="G1527" s="218">
        <v>45248.64583333333</v>
      </c>
      <c r="H1527" s="1" t="s">
        <v>57</v>
      </c>
      <c r="I1527" s="1" t="s">
        <v>99</v>
      </c>
      <c r="J1527" s="219">
        <v>-3.5</v>
      </c>
      <c r="K1527" s="219">
        <v>-3.5</v>
      </c>
      <c r="L1527" s="219">
        <v>158.0</v>
      </c>
      <c r="M1527" s="219" t="s">
        <v>151</v>
      </c>
      <c r="N1527" s="1">
        <v>285.0</v>
      </c>
      <c r="O1527" s="1">
        <v>157.0</v>
      </c>
      <c r="P1527" s="1">
        <v>1.0</v>
      </c>
      <c r="Q1527" s="1" t="b">
        <v>1</v>
      </c>
      <c r="R1527" s="1">
        <v>100.0</v>
      </c>
      <c r="S1527" s="1" t="s">
        <v>353</v>
      </c>
      <c r="T1527" s="1" t="s">
        <v>423</v>
      </c>
      <c r="U1527" s="1"/>
    </row>
    <row r="1528">
      <c r="A1528" s="218">
        <v>45243.92762878472</v>
      </c>
      <c r="B1528" s="1" t="s">
        <v>69</v>
      </c>
      <c r="C1528" s="1" t="s">
        <v>257</v>
      </c>
      <c r="D1528" s="1">
        <v>5.0</v>
      </c>
      <c r="E1528" s="1">
        <v>5.0</v>
      </c>
      <c r="F1528" s="1" t="s">
        <v>1603</v>
      </c>
      <c r="G1528" s="218">
        <v>45248.70833333333</v>
      </c>
      <c r="H1528" s="1" t="s">
        <v>46</v>
      </c>
      <c r="I1528" s="1" t="s">
        <v>1142</v>
      </c>
      <c r="J1528" s="219">
        <v>3.5</v>
      </c>
      <c r="K1528" s="219">
        <v>3.0</v>
      </c>
      <c r="L1528" s="219">
        <v>125.0</v>
      </c>
      <c r="M1528" s="219" t="s">
        <v>969</v>
      </c>
      <c r="N1528" s="1">
        <v>340.0</v>
      </c>
      <c r="O1528" s="1">
        <v>268.0</v>
      </c>
      <c r="P1528" s="1">
        <v>1.0</v>
      </c>
      <c r="Q1528" s="1" t="b">
        <v>1</v>
      </c>
      <c r="R1528" s="1">
        <v>100.0</v>
      </c>
      <c r="S1528" s="1" t="s">
        <v>296</v>
      </c>
      <c r="T1528" s="1" t="s">
        <v>422</v>
      </c>
      <c r="U1528" s="1"/>
    </row>
    <row r="1529">
      <c r="A1529" s="218">
        <v>45243.92762878472</v>
      </c>
      <c r="B1529" s="1" t="s">
        <v>69</v>
      </c>
      <c r="C1529" s="1" t="s">
        <v>251</v>
      </c>
      <c r="D1529" s="1">
        <v>4.0</v>
      </c>
      <c r="E1529" s="1">
        <v>6.0</v>
      </c>
      <c r="F1529" s="1" t="s">
        <v>1610</v>
      </c>
      <c r="G1529" s="218">
        <v>45248.77083333333</v>
      </c>
      <c r="H1529" s="1" t="s">
        <v>70</v>
      </c>
      <c r="I1529" s="1" t="s">
        <v>287</v>
      </c>
      <c r="J1529" s="219">
        <v>-4.5</v>
      </c>
      <c r="K1529" s="219">
        <v>-6.5</v>
      </c>
      <c r="L1529" s="219">
        <v>-275.0</v>
      </c>
      <c r="M1529" s="219" t="s">
        <v>235</v>
      </c>
      <c r="N1529" s="1">
        <v>319.0</v>
      </c>
      <c r="O1529" s="1">
        <v>370.0</v>
      </c>
      <c r="P1529" s="1">
        <v>1.0</v>
      </c>
      <c r="Q1529" s="1" t="b">
        <v>0</v>
      </c>
      <c r="R1529" s="1">
        <v>100.0</v>
      </c>
      <c r="S1529" s="1" t="s">
        <v>354</v>
      </c>
      <c r="T1529" s="1" t="s">
        <v>422</v>
      </c>
      <c r="U1529" s="1"/>
    </row>
    <row r="1530">
      <c r="A1530" s="218">
        <v>45243.92762878472</v>
      </c>
      <c r="B1530" s="1" t="s">
        <v>69</v>
      </c>
      <c r="C1530" s="1" t="s">
        <v>255</v>
      </c>
      <c r="D1530" s="1">
        <v>5.0</v>
      </c>
      <c r="E1530" s="1">
        <v>5.0</v>
      </c>
      <c r="F1530" s="1" t="s">
        <v>1572</v>
      </c>
      <c r="G1530" s="218">
        <v>45248.8125</v>
      </c>
      <c r="H1530" s="1" t="s">
        <v>35</v>
      </c>
      <c r="I1530" s="1" t="s">
        <v>90</v>
      </c>
      <c r="J1530" s="219">
        <v>-5.5</v>
      </c>
      <c r="K1530" s="219">
        <v>-6.5</v>
      </c>
      <c r="L1530" s="219">
        <v>188.0</v>
      </c>
      <c r="M1530" s="219" t="s">
        <v>1365</v>
      </c>
      <c r="N1530" s="1">
        <v>222.0</v>
      </c>
      <c r="O1530" s="1">
        <v>196.0</v>
      </c>
      <c r="P1530" s="1">
        <v>1.0</v>
      </c>
      <c r="Q1530" s="1" t="b">
        <v>0</v>
      </c>
      <c r="R1530" s="1">
        <v>100.0</v>
      </c>
      <c r="S1530" s="1" t="s">
        <v>282</v>
      </c>
      <c r="T1530" s="1" t="s">
        <v>422</v>
      </c>
      <c r="U1530" s="1"/>
    </row>
    <row r="1531">
      <c r="A1531" s="218">
        <v>45243.92762878472</v>
      </c>
      <c r="B1531" s="1" t="s">
        <v>69</v>
      </c>
      <c r="C1531" s="1" t="s">
        <v>219</v>
      </c>
      <c r="D1531" s="1">
        <v>7.0</v>
      </c>
      <c r="E1531" s="1">
        <v>3.0</v>
      </c>
      <c r="F1531" s="1" t="s">
        <v>1622</v>
      </c>
      <c r="G1531" s="218">
        <v>45248.83333333333</v>
      </c>
      <c r="H1531" s="1" t="s">
        <v>59</v>
      </c>
      <c r="I1531" s="1" t="s">
        <v>36</v>
      </c>
      <c r="J1531" s="219">
        <v>-31.5</v>
      </c>
      <c r="K1531" s="219">
        <v>-30.5</v>
      </c>
      <c r="L1531" s="219">
        <v>2000.0</v>
      </c>
      <c r="M1531" s="219" t="s">
        <v>1454</v>
      </c>
      <c r="N1531" s="1">
        <v>459.0</v>
      </c>
      <c r="O1531" s="1">
        <v>289.0</v>
      </c>
      <c r="P1531" s="1">
        <v>1.0</v>
      </c>
      <c r="Q1531" s="1" t="b">
        <v>1</v>
      </c>
      <c r="R1531" s="1">
        <v>100.0</v>
      </c>
      <c r="S1531" s="1" t="s">
        <v>292</v>
      </c>
      <c r="T1531" s="1" t="s">
        <v>422</v>
      </c>
      <c r="U1531" s="1"/>
    </row>
    <row r="1532">
      <c r="A1532" s="218">
        <v>45243.92762878472</v>
      </c>
      <c r="B1532" s="1"/>
      <c r="C1532" s="1"/>
      <c r="D1532" s="1"/>
      <c r="E1532" s="1"/>
      <c r="F1532" s="1"/>
      <c r="G1532" s="218"/>
      <c r="H1532" s="1"/>
      <c r="I1532" s="1"/>
      <c r="J1532" s="219"/>
      <c r="K1532" s="219"/>
      <c r="L1532" s="219"/>
      <c r="M1532" s="219"/>
      <c r="N1532" s="1"/>
      <c r="O1532" s="1"/>
      <c r="P1532" s="1"/>
      <c r="Q1532" s="1"/>
      <c r="R1532" s="1"/>
      <c r="S1532" s="1" t="e">
        <v>#N/A</v>
      </c>
      <c r="T1532" s="1" t="e">
        <v>#N/A</v>
      </c>
      <c r="U1532" s="1"/>
    </row>
    <row r="1533">
      <c r="A1533" s="218">
        <v>45243.92762878472</v>
      </c>
      <c r="B1533" s="1" t="s">
        <v>125</v>
      </c>
      <c r="C1533" s="1" t="s">
        <v>265</v>
      </c>
      <c r="D1533" s="1">
        <v>5.0</v>
      </c>
      <c r="E1533" s="1">
        <v>5.0</v>
      </c>
      <c r="F1533" s="1" t="s">
        <v>1612</v>
      </c>
      <c r="G1533" s="218">
        <v>45245.79166666667</v>
      </c>
      <c r="H1533" s="1" t="s">
        <v>57</v>
      </c>
      <c r="I1533" s="1" t="s">
        <v>40</v>
      </c>
      <c r="J1533" s="219">
        <v>12.5</v>
      </c>
      <c r="K1533" s="219">
        <v>10.0</v>
      </c>
      <c r="L1533" s="219">
        <v>280.0</v>
      </c>
      <c r="M1533" s="219" t="s">
        <v>906</v>
      </c>
      <c r="N1533" s="1">
        <v>241.0</v>
      </c>
      <c r="O1533" s="1">
        <v>307.0</v>
      </c>
      <c r="P1533" s="1">
        <v>1.0</v>
      </c>
      <c r="Q1533" s="1" t="b">
        <v>1</v>
      </c>
      <c r="R1533" s="1">
        <v>100.0</v>
      </c>
      <c r="S1533" s="1" t="s">
        <v>352</v>
      </c>
      <c r="T1533" s="1" t="s">
        <v>423</v>
      </c>
      <c r="U1533" s="1"/>
    </row>
    <row r="1534">
      <c r="A1534" s="218">
        <v>45243.92762878472</v>
      </c>
      <c r="B1534" s="1" t="s">
        <v>125</v>
      </c>
      <c r="C1534" s="1" t="s">
        <v>259</v>
      </c>
      <c r="D1534" s="1">
        <v>4.0</v>
      </c>
      <c r="E1534" s="1">
        <v>6.0</v>
      </c>
      <c r="F1534" s="1" t="s">
        <v>1633</v>
      </c>
      <c r="G1534" s="218">
        <v>45247.9375</v>
      </c>
      <c r="H1534" s="1" t="s">
        <v>61</v>
      </c>
      <c r="I1534" s="1" t="s">
        <v>96</v>
      </c>
      <c r="J1534" s="219">
        <v>-4.5</v>
      </c>
      <c r="K1534" s="219">
        <v>-4.5</v>
      </c>
      <c r="L1534" s="219">
        <v>168.0</v>
      </c>
      <c r="M1534" s="219" t="s">
        <v>990</v>
      </c>
      <c r="N1534" s="1">
        <v>303.0</v>
      </c>
      <c r="O1534" s="1">
        <v>299.0</v>
      </c>
      <c r="P1534" s="1">
        <v>1.0</v>
      </c>
      <c r="Q1534" s="1" t="b">
        <v>1</v>
      </c>
      <c r="R1534" s="1">
        <v>100.0</v>
      </c>
      <c r="S1534" s="1" t="s">
        <v>354</v>
      </c>
      <c r="T1534" s="1" t="s">
        <v>422</v>
      </c>
      <c r="U1534" s="1"/>
    </row>
    <row r="1535">
      <c r="A1535" s="218">
        <v>45243.92762878472</v>
      </c>
      <c r="B1535" s="1" t="s">
        <v>125</v>
      </c>
      <c r="C1535" s="1" t="s">
        <v>260</v>
      </c>
      <c r="D1535" s="1">
        <v>7.0</v>
      </c>
      <c r="E1535" s="1">
        <v>3.0</v>
      </c>
      <c r="F1535" s="1" t="s">
        <v>1631</v>
      </c>
      <c r="G1535" s="218">
        <v>45248.58333333333</v>
      </c>
      <c r="H1535" s="1" t="s">
        <v>69</v>
      </c>
      <c r="I1535" s="1" t="s">
        <v>935</v>
      </c>
      <c r="J1535" s="219">
        <v>-8.5</v>
      </c>
      <c r="K1535" s="219">
        <v>-8.5</v>
      </c>
      <c r="L1535" s="219">
        <v>270.0</v>
      </c>
      <c r="M1535" s="219" t="s">
        <v>840</v>
      </c>
      <c r="N1535" s="1">
        <v>285.0</v>
      </c>
      <c r="O1535" s="1">
        <v>207.0</v>
      </c>
      <c r="P1535" s="1">
        <v>1.0</v>
      </c>
      <c r="Q1535" s="1" t="b">
        <v>1</v>
      </c>
      <c r="R1535" s="1">
        <v>100.0</v>
      </c>
      <c r="S1535" s="1" t="s">
        <v>351</v>
      </c>
      <c r="T1535" s="1" t="s">
        <v>423</v>
      </c>
      <c r="U1535" s="1"/>
    </row>
    <row r="1536">
      <c r="A1536" s="218">
        <v>45243.92762878472</v>
      </c>
      <c r="B1536" s="1" t="s">
        <v>125</v>
      </c>
      <c r="C1536" s="1" t="s">
        <v>263</v>
      </c>
      <c r="D1536" s="1">
        <v>4.0</v>
      </c>
      <c r="E1536" s="1">
        <v>6.0</v>
      </c>
      <c r="F1536" s="1" t="s">
        <v>1632</v>
      </c>
      <c r="G1536" s="218">
        <v>45248.58333333333</v>
      </c>
      <c r="H1536" s="1" t="s">
        <v>69</v>
      </c>
      <c r="I1536" s="1" t="s">
        <v>935</v>
      </c>
      <c r="J1536" s="219">
        <v>-2.5</v>
      </c>
      <c r="K1536" s="219">
        <v>-2.5</v>
      </c>
      <c r="L1536" s="219">
        <v>-130.0</v>
      </c>
      <c r="M1536" s="219" t="s">
        <v>151</v>
      </c>
      <c r="N1536" s="1">
        <v>311.0</v>
      </c>
      <c r="O1536" s="1">
        <v>292.0</v>
      </c>
      <c r="P1536" s="1">
        <v>1.0</v>
      </c>
      <c r="Q1536" s="1" t="b">
        <v>1</v>
      </c>
      <c r="R1536" s="1">
        <v>100.0</v>
      </c>
      <c r="S1536" s="1" t="s">
        <v>407</v>
      </c>
      <c r="T1536" s="1" t="s">
        <v>423</v>
      </c>
      <c r="U1536" s="1"/>
    </row>
    <row r="1537">
      <c r="A1537" s="218">
        <v>45243.92762878472</v>
      </c>
      <c r="B1537" s="1" t="s">
        <v>125</v>
      </c>
      <c r="C1537" s="1" t="s">
        <v>262</v>
      </c>
      <c r="D1537" s="1">
        <v>10.0</v>
      </c>
      <c r="E1537" s="1">
        <v>0.0</v>
      </c>
      <c r="F1537" s="1" t="s">
        <v>1566</v>
      </c>
      <c r="G1537" s="218">
        <v>45248.58333333333</v>
      </c>
      <c r="H1537" s="1" t="s">
        <v>35</v>
      </c>
      <c r="I1537" s="1" t="s">
        <v>935</v>
      </c>
      <c r="J1537" s="219">
        <v>-11.5</v>
      </c>
      <c r="K1537" s="219">
        <v>-11.5</v>
      </c>
      <c r="L1537" s="219">
        <v>365.0</v>
      </c>
      <c r="M1537" s="219" t="s">
        <v>840</v>
      </c>
      <c r="N1537" s="1">
        <v>343.0</v>
      </c>
      <c r="O1537" s="1">
        <v>182.0</v>
      </c>
      <c r="P1537" s="1">
        <v>1.0</v>
      </c>
      <c r="Q1537" s="1" t="b">
        <v>1</v>
      </c>
      <c r="R1537" s="1">
        <v>100.0</v>
      </c>
      <c r="S1537" s="1" t="s">
        <v>355</v>
      </c>
      <c r="T1537" s="1" t="s">
        <v>423</v>
      </c>
      <c r="U1537" s="1"/>
    </row>
    <row r="1538">
      <c r="A1538" s="218">
        <v>45243.92762878472</v>
      </c>
      <c r="B1538" s="1" t="s">
        <v>125</v>
      </c>
      <c r="C1538" s="1" t="s">
        <v>258</v>
      </c>
      <c r="D1538" s="1">
        <v>2.0</v>
      </c>
      <c r="E1538" s="1">
        <v>8.0</v>
      </c>
      <c r="F1538" s="1" t="s">
        <v>1578</v>
      </c>
      <c r="G1538" s="218">
        <v>45248.625</v>
      </c>
      <c r="H1538" s="1" t="s">
        <v>58</v>
      </c>
      <c r="I1538" s="1" t="s">
        <v>1185</v>
      </c>
      <c r="J1538" s="219">
        <v>11.5</v>
      </c>
      <c r="K1538" s="219">
        <v>11.5</v>
      </c>
      <c r="L1538" s="219">
        <v>390.0</v>
      </c>
      <c r="M1538" s="219" t="s">
        <v>151</v>
      </c>
      <c r="N1538" s="1">
        <v>182.0</v>
      </c>
      <c r="O1538" s="1">
        <v>329.0</v>
      </c>
      <c r="P1538" s="1">
        <v>1.0</v>
      </c>
      <c r="Q1538" s="1" t="b">
        <v>0</v>
      </c>
      <c r="R1538" s="1">
        <v>100.0</v>
      </c>
      <c r="S1538" s="1" t="s">
        <v>353</v>
      </c>
      <c r="T1538" s="1" t="s">
        <v>423</v>
      </c>
      <c r="U1538" s="1"/>
    </row>
    <row r="1539">
      <c r="A1539" s="218">
        <v>45243.92762878472</v>
      </c>
      <c r="B1539" s="1" t="s">
        <v>125</v>
      </c>
      <c r="C1539" s="1" t="s">
        <v>224</v>
      </c>
      <c r="D1539" s="1">
        <v>10.0</v>
      </c>
      <c r="E1539" s="1">
        <v>0.0</v>
      </c>
      <c r="F1539" s="1" t="s">
        <v>1634</v>
      </c>
      <c r="G1539" s="218">
        <v>45248.77083333333</v>
      </c>
      <c r="H1539" s="1"/>
      <c r="I1539" s="1" t="s">
        <v>1019</v>
      </c>
      <c r="J1539" s="219"/>
      <c r="K1539" s="219"/>
      <c r="L1539" s="219"/>
      <c r="M1539" s="219"/>
      <c r="N1539" s="1">
        <v>383.0</v>
      </c>
      <c r="O1539" s="1">
        <v>173.0</v>
      </c>
      <c r="P1539" s="1">
        <v>1.0</v>
      </c>
      <c r="Q1539" s="1" t="b">
        <v>0</v>
      </c>
      <c r="R1539" s="1">
        <v>100.0</v>
      </c>
      <c r="S1539" s="1" t="s">
        <v>301</v>
      </c>
      <c r="T1539" s="1" t="s">
        <v>422</v>
      </c>
      <c r="U1539" s="1"/>
    </row>
    <row r="1540">
      <c r="A1540" s="218">
        <v>45243.92762878472</v>
      </c>
      <c r="B1540" s="1" t="s">
        <v>125</v>
      </c>
      <c r="C1540" s="1" t="s">
        <v>239</v>
      </c>
      <c r="D1540" s="1">
        <v>9.0</v>
      </c>
      <c r="E1540" s="1">
        <v>1.0</v>
      </c>
      <c r="F1540" s="1" t="s">
        <v>1590</v>
      </c>
      <c r="G1540" s="218">
        <v>45248.83333333333</v>
      </c>
      <c r="H1540" s="1" t="s">
        <v>56</v>
      </c>
      <c r="I1540" s="1" t="s">
        <v>92</v>
      </c>
      <c r="J1540" s="219">
        <v>-8.5</v>
      </c>
      <c r="K1540" s="219">
        <v>-8.5</v>
      </c>
      <c r="L1540" s="219">
        <v>-330.0</v>
      </c>
      <c r="M1540" s="219" t="s">
        <v>151</v>
      </c>
      <c r="N1540" s="1">
        <v>338.0</v>
      </c>
      <c r="O1540" s="1">
        <v>184.0</v>
      </c>
      <c r="P1540" s="1">
        <v>1.0</v>
      </c>
      <c r="Q1540" s="1" t="b">
        <v>1</v>
      </c>
      <c r="R1540" s="1">
        <v>100.0</v>
      </c>
      <c r="S1540" s="1" t="s">
        <v>296</v>
      </c>
      <c r="T1540" s="1" t="s">
        <v>422</v>
      </c>
      <c r="U1540" s="1"/>
    </row>
    <row r="1541">
      <c r="A1541" s="218">
        <v>45243.92762878472</v>
      </c>
      <c r="B1541" s="1" t="s">
        <v>125</v>
      </c>
      <c r="C1541" s="1" t="s">
        <v>264</v>
      </c>
      <c r="D1541" s="1">
        <v>6.0</v>
      </c>
      <c r="E1541" s="1">
        <v>4.0</v>
      </c>
      <c r="F1541" s="1" t="s">
        <v>1635</v>
      </c>
      <c r="G1541" s="218">
        <v>45248.5</v>
      </c>
      <c r="H1541" s="1"/>
      <c r="I1541" s="1" t="s">
        <v>880</v>
      </c>
      <c r="J1541" s="219"/>
      <c r="K1541" s="219"/>
      <c r="L1541" s="219"/>
      <c r="M1541" s="219"/>
      <c r="N1541" s="1">
        <v>342.0</v>
      </c>
      <c r="O1541" s="1">
        <v>204.0</v>
      </c>
      <c r="P1541" s="1">
        <v>1.0</v>
      </c>
      <c r="Q1541" s="1" t="b">
        <v>0</v>
      </c>
      <c r="R1541" s="1">
        <v>100.0</v>
      </c>
      <c r="S1541" s="1" t="s">
        <v>292</v>
      </c>
      <c r="T1541" s="1" t="s">
        <v>422</v>
      </c>
      <c r="U1541" s="1"/>
    </row>
    <row r="1542">
      <c r="A1542" s="218">
        <v>45243.92762878472</v>
      </c>
      <c r="B1542" s="1" t="s">
        <v>125</v>
      </c>
      <c r="C1542" s="1" t="s">
        <v>261</v>
      </c>
      <c r="D1542" s="1">
        <v>5.0</v>
      </c>
      <c r="E1542" s="1">
        <v>5.0</v>
      </c>
      <c r="F1542" s="1" t="s">
        <v>1620</v>
      </c>
      <c r="G1542" s="218">
        <v>45248.5</v>
      </c>
      <c r="H1542" s="1" t="s">
        <v>67</v>
      </c>
      <c r="I1542" s="1" t="s">
        <v>888</v>
      </c>
      <c r="J1542" s="219">
        <v>-1.5</v>
      </c>
      <c r="K1542" s="219">
        <v>-1.5</v>
      </c>
      <c r="L1542" s="219">
        <v>-100.0</v>
      </c>
      <c r="M1542" s="219" t="s">
        <v>854</v>
      </c>
      <c r="N1542" s="1">
        <v>205.0</v>
      </c>
      <c r="O1542" s="1">
        <v>228.0</v>
      </c>
      <c r="P1542" s="1">
        <v>1.0</v>
      </c>
      <c r="Q1542" s="1" t="b">
        <v>1</v>
      </c>
      <c r="R1542" s="1">
        <v>100.0</v>
      </c>
      <c r="S1542" s="1" t="s">
        <v>282</v>
      </c>
      <c r="T1542" s="1" t="s">
        <v>422</v>
      </c>
      <c r="U1542" s="1"/>
    </row>
    <row r="1543">
      <c r="A1543" s="218">
        <v>45243.92762878472</v>
      </c>
      <c r="B1543" s="1"/>
      <c r="C1543" s="1"/>
      <c r="D1543" s="1"/>
      <c r="E1543" s="1"/>
      <c r="F1543" s="1"/>
      <c r="G1543" s="218"/>
      <c r="H1543" s="1"/>
      <c r="I1543" s="1"/>
      <c r="J1543" s="219"/>
      <c r="K1543" s="219"/>
      <c r="L1543" s="219"/>
      <c r="M1543" s="219"/>
      <c r="N1543" s="1"/>
      <c r="O1543" s="1"/>
      <c r="P1543" s="1"/>
      <c r="Q1543" s="1"/>
      <c r="R1543" s="1"/>
      <c r="S1543" s="1" t="e">
        <v>#N/A</v>
      </c>
      <c r="T1543" s="1" t="e">
        <v>#N/A</v>
      </c>
      <c r="U1543" s="1"/>
    </row>
    <row r="1544">
      <c r="A1544" s="218">
        <v>45243.92762878472</v>
      </c>
      <c r="B1544" s="1" t="s">
        <v>61</v>
      </c>
      <c r="C1544" s="1" t="s">
        <v>272</v>
      </c>
      <c r="D1544" s="1">
        <v>4.0</v>
      </c>
      <c r="E1544" s="1">
        <v>6.0</v>
      </c>
      <c r="F1544" s="1" t="s">
        <v>1576</v>
      </c>
      <c r="G1544" s="218">
        <v>45244.79166666667</v>
      </c>
      <c r="H1544" s="1" t="s">
        <v>58</v>
      </c>
      <c r="I1544" s="1" t="s">
        <v>40</v>
      </c>
      <c r="J1544" s="219">
        <v>3.5</v>
      </c>
      <c r="K1544" s="219">
        <v>4.5</v>
      </c>
      <c r="L1544" s="219">
        <v>172.0</v>
      </c>
      <c r="M1544" s="219" t="s">
        <v>840</v>
      </c>
      <c r="N1544" s="1">
        <v>274.0</v>
      </c>
      <c r="O1544" s="1">
        <v>323.0</v>
      </c>
      <c r="P1544" s="1">
        <v>1.0</v>
      </c>
      <c r="Q1544" s="1" t="b">
        <v>1</v>
      </c>
      <c r="R1544" s="1">
        <v>100.0</v>
      </c>
      <c r="S1544" s="1" t="s">
        <v>352</v>
      </c>
      <c r="T1544" s="1" t="s">
        <v>423</v>
      </c>
      <c r="U1544" s="1"/>
    </row>
    <row r="1545">
      <c r="A1545" s="218">
        <v>45243.92762878472</v>
      </c>
      <c r="B1545" s="1" t="s">
        <v>61</v>
      </c>
      <c r="C1545" s="1" t="s">
        <v>269</v>
      </c>
      <c r="D1545" s="1">
        <v>4.0</v>
      </c>
      <c r="E1545" s="1">
        <v>6.0</v>
      </c>
      <c r="F1545" s="1" t="s">
        <v>1633</v>
      </c>
      <c r="G1545" s="218">
        <v>45247.9375</v>
      </c>
      <c r="H1545" s="1" t="s">
        <v>125</v>
      </c>
      <c r="I1545" s="1" t="s">
        <v>96</v>
      </c>
      <c r="J1545" s="219">
        <v>4.5</v>
      </c>
      <c r="K1545" s="219">
        <v>4.5</v>
      </c>
      <c r="L1545" s="219">
        <v>168.0</v>
      </c>
      <c r="M1545" s="219" t="s">
        <v>990</v>
      </c>
      <c r="N1545" s="1">
        <v>307.0</v>
      </c>
      <c r="O1545" s="1">
        <v>339.0</v>
      </c>
      <c r="P1545" s="1">
        <v>1.0</v>
      </c>
      <c r="Q1545" s="1" t="b">
        <v>0</v>
      </c>
      <c r="R1545" s="1">
        <v>100.0</v>
      </c>
      <c r="S1545" s="1" t="s">
        <v>354</v>
      </c>
      <c r="T1545" s="1" t="s">
        <v>422</v>
      </c>
      <c r="U1545" s="1"/>
    </row>
    <row r="1546">
      <c r="A1546" s="218">
        <v>45243.92762878472</v>
      </c>
      <c r="B1546" s="1" t="s">
        <v>61</v>
      </c>
      <c r="C1546" s="1" t="s">
        <v>228</v>
      </c>
      <c r="D1546" s="1">
        <v>3.0</v>
      </c>
      <c r="E1546" s="1">
        <v>7.0</v>
      </c>
      <c r="F1546" s="1" t="s">
        <v>1608</v>
      </c>
      <c r="G1546" s="218">
        <v>45248.58333333333</v>
      </c>
      <c r="H1546" s="1" t="s">
        <v>70</v>
      </c>
      <c r="I1546" s="1" t="s">
        <v>935</v>
      </c>
      <c r="J1546" s="219">
        <v>-7.5</v>
      </c>
      <c r="K1546" s="219">
        <v>-7.5</v>
      </c>
      <c r="L1546" s="219">
        <v>270.0</v>
      </c>
      <c r="M1546" s="219" t="s">
        <v>854</v>
      </c>
      <c r="N1546" s="1">
        <v>237.0</v>
      </c>
      <c r="O1546" s="1">
        <v>284.0</v>
      </c>
      <c r="P1546" s="1">
        <v>1.0</v>
      </c>
      <c r="Q1546" s="1" t="b">
        <v>1</v>
      </c>
      <c r="R1546" s="1">
        <v>100.0</v>
      </c>
      <c r="S1546" s="1" t="s">
        <v>351</v>
      </c>
      <c r="T1546" s="1" t="s">
        <v>423</v>
      </c>
      <c r="U1546" s="1"/>
    </row>
    <row r="1547">
      <c r="A1547" s="218">
        <v>45243.92762878472</v>
      </c>
      <c r="B1547" s="1" t="s">
        <v>61</v>
      </c>
      <c r="C1547" s="1" t="s">
        <v>271</v>
      </c>
      <c r="D1547" s="1">
        <v>3.0</v>
      </c>
      <c r="E1547" s="1">
        <v>7.0</v>
      </c>
      <c r="F1547" s="1" t="s">
        <v>1568</v>
      </c>
      <c r="G1547" s="218">
        <v>45248.625</v>
      </c>
      <c r="H1547" s="1" t="s">
        <v>35</v>
      </c>
      <c r="I1547" s="1" t="s">
        <v>935</v>
      </c>
      <c r="J1547" s="219">
        <v>-7.5</v>
      </c>
      <c r="K1547" s="219">
        <v>-6.5</v>
      </c>
      <c r="L1547" s="219">
        <v>215.0</v>
      </c>
      <c r="M1547" s="219" t="s">
        <v>990</v>
      </c>
      <c r="N1547" s="1">
        <v>283.0</v>
      </c>
      <c r="O1547" s="1">
        <v>374.0</v>
      </c>
      <c r="P1547" s="1">
        <v>1.0</v>
      </c>
      <c r="Q1547" s="1" t="b">
        <v>1</v>
      </c>
      <c r="R1547" s="1">
        <v>100.0</v>
      </c>
      <c r="S1547" s="1" t="s">
        <v>407</v>
      </c>
      <c r="T1547" s="1" t="s">
        <v>423</v>
      </c>
      <c r="U1547" s="1"/>
    </row>
    <row r="1548">
      <c r="A1548" s="218">
        <v>45243.92762878472</v>
      </c>
      <c r="B1548" s="1" t="s">
        <v>61</v>
      </c>
      <c r="C1548" s="1" t="s">
        <v>233</v>
      </c>
      <c r="D1548" s="1">
        <v>7.0</v>
      </c>
      <c r="E1548" s="1">
        <v>3.0</v>
      </c>
      <c r="F1548" s="1" t="s">
        <v>1569</v>
      </c>
      <c r="G1548" s="218">
        <v>45248.64583333333</v>
      </c>
      <c r="H1548" s="1" t="s">
        <v>35</v>
      </c>
      <c r="I1548" s="1" t="s">
        <v>86</v>
      </c>
      <c r="J1548" s="219">
        <v>7.5</v>
      </c>
      <c r="K1548" s="219">
        <v>10.0</v>
      </c>
      <c r="L1548" s="219">
        <v>-430.0</v>
      </c>
      <c r="M1548" s="219" t="s">
        <v>203</v>
      </c>
      <c r="N1548" s="1">
        <v>320.0</v>
      </c>
      <c r="O1548" s="1">
        <v>202.0</v>
      </c>
      <c r="P1548" s="1">
        <v>1.0</v>
      </c>
      <c r="Q1548" s="1" t="b">
        <v>0</v>
      </c>
      <c r="R1548" s="1">
        <v>100.0</v>
      </c>
      <c r="S1548" s="1" t="s">
        <v>292</v>
      </c>
      <c r="T1548" s="1" t="s">
        <v>422</v>
      </c>
      <c r="U1548" s="1"/>
    </row>
    <row r="1549">
      <c r="A1549" s="218">
        <v>45243.92762878472</v>
      </c>
      <c r="B1549" s="1" t="s">
        <v>61</v>
      </c>
      <c r="C1549" s="1" t="s">
        <v>266</v>
      </c>
      <c r="D1549" s="1">
        <v>8.0</v>
      </c>
      <c r="E1549" s="1">
        <v>2.0</v>
      </c>
      <c r="F1549" s="1" t="s">
        <v>1602</v>
      </c>
      <c r="G1549" s="218">
        <v>45248.64583333333</v>
      </c>
      <c r="H1549" s="1" t="s">
        <v>46</v>
      </c>
      <c r="I1549" s="1" t="s">
        <v>96</v>
      </c>
      <c r="J1549" s="219">
        <v>-4.5</v>
      </c>
      <c r="K1549" s="219">
        <v>-3.5</v>
      </c>
      <c r="L1549" s="219">
        <v>146.0</v>
      </c>
      <c r="M1549" s="219" t="s">
        <v>1498</v>
      </c>
      <c r="N1549" s="1">
        <v>188.0</v>
      </c>
      <c r="O1549" s="1">
        <v>123.0</v>
      </c>
      <c r="P1549" s="1">
        <v>1.0</v>
      </c>
      <c r="Q1549" s="1" t="b">
        <v>1</v>
      </c>
      <c r="R1549" s="1">
        <v>100.0</v>
      </c>
      <c r="S1549" s="1" t="s">
        <v>282</v>
      </c>
      <c r="T1549" s="1" t="s">
        <v>422</v>
      </c>
      <c r="U1549" s="1"/>
    </row>
    <row r="1550">
      <c r="A1550" s="218">
        <v>45243.92762878472</v>
      </c>
      <c r="B1550" s="1" t="s">
        <v>61</v>
      </c>
      <c r="C1550" s="1" t="s">
        <v>268</v>
      </c>
      <c r="D1550" s="1">
        <v>7.0</v>
      </c>
      <c r="E1550" s="1">
        <v>3.0</v>
      </c>
      <c r="F1550" s="1" t="s">
        <v>1580</v>
      </c>
      <c r="G1550" s="218">
        <v>45248.64583333333</v>
      </c>
      <c r="H1550" s="1" t="s">
        <v>58</v>
      </c>
      <c r="I1550" s="1" t="s">
        <v>900</v>
      </c>
      <c r="J1550" s="219">
        <v>3.0</v>
      </c>
      <c r="K1550" s="219">
        <v>3.0</v>
      </c>
      <c r="L1550" s="219">
        <v>128.0</v>
      </c>
      <c r="M1550" s="219" t="s">
        <v>867</v>
      </c>
      <c r="N1550" s="1">
        <v>248.0</v>
      </c>
      <c r="O1550" s="1">
        <v>194.0</v>
      </c>
      <c r="P1550" s="1">
        <v>1.0</v>
      </c>
      <c r="Q1550" s="1" t="b">
        <v>1</v>
      </c>
      <c r="R1550" s="1">
        <v>100.0</v>
      </c>
      <c r="S1550" s="1" t="s">
        <v>301</v>
      </c>
      <c r="T1550" s="1" t="s">
        <v>422</v>
      </c>
      <c r="U1550" s="1"/>
    </row>
    <row r="1551">
      <c r="A1551" s="218">
        <v>45243.92762878472</v>
      </c>
      <c r="B1551" s="1" t="s">
        <v>61</v>
      </c>
      <c r="C1551" s="1" t="s">
        <v>267</v>
      </c>
      <c r="D1551" s="1">
        <v>7.0</v>
      </c>
      <c r="E1551" s="1">
        <v>3.0</v>
      </c>
      <c r="F1551" s="1" t="s">
        <v>1615</v>
      </c>
      <c r="G1551" s="218">
        <v>45248.66666666667</v>
      </c>
      <c r="H1551" s="1" t="s">
        <v>57</v>
      </c>
      <c r="I1551" s="1" t="s">
        <v>36</v>
      </c>
      <c r="J1551" s="219">
        <v>-7.5</v>
      </c>
      <c r="K1551" s="219">
        <v>-7.5</v>
      </c>
      <c r="L1551" s="219">
        <v>-345.0</v>
      </c>
      <c r="M1551" s="219" t="s">
        <v>954</v>
      </c>
      <c r="N1551" s="1">
        <v>279.0</v>
      </c>
      <c r="O1551" s="1">
        <v>264.0</v>
      </c>
      <c r="P1551" s="1">
        <v>1.0</v>
      </c>
      <c r="Q1551" s="1" t="b">
        <v>0</v>
      </c>
      <c r="R1551" s="1">
        <v>100.0</v>
      </c>
      <c r="S1551" s="1" t="s">
        <v>296</v>
      </c>
      <c r="T1551" s="1" t="s">
        <v>422</v>
      </c>
      <c r="U1551" s="1"/>
    </row>
    <row r="1552">
      <c r="A1552" s="218">
        <v>45243.92762878472</v>
      </c>
      <c r="B1552" s="1" t="s">
        <v>61</v>
      </c>
      <c r="C1552" s="1" t="s">
        <v>270</v>
      </c>
      <c r="D1552" s="1">
        <v>4.0</v>
      </c>
      <c r="E1552" s="1">
        <v>6.0</v>
      </c>
      <c r="F1552" s="1" t="s">
        <v>1630</v>
      </c>
      <c r="G1552" s="218">
        <v>45248.75</v>
      </c>
      <c r="H1552" s="1" t="s">
        <v>62</v>
      </c>
      <c r="I1552" s="1" t="s">
        <v>935</v>
      </c>
      <c r="J1552" s="219">
        <v>7.5</v>
      </c>
      <c r="K1552" s="219">
        <v>7.5</v>
      </c>
      <c r="L1552" s="219">
        <v>220.0</v>
      </c>
      <c r="M1552" s="219" t="s">
        <v>969</v>
      </c>
      <c r="N1552" s="1">
        <v>230.0</v>
      </c>
      <c r="O1552" s="1">
        <v>274.0</v>
      </c>
      <c r="P1552" s="1">
        <v>1.0</v>
      </c>
      <c r="Q1552" s="1" t="b">
        <v>0</v>
      </c>
      <c r="R1552" s="1">
        <v>100.0</v>
      </c>
      <c r="S1552" s="1" t="s">
        <v>355</v>
      </c>
      <c r="T1552" s="1" t="s">
        <v>423</v>
      </c>
      <c r="U1552" s="1"/>
    </row>
    <row r="1553">
      <c r="A1553" s="218">
        <v>45250.92763164351</v>
      </c>
      <c r="B1553" s="1" t="s">
        <v>35</v>
      </c>
      <c r="C1553" s="1" t="s">
        <v>88</v>
      </c>
      <c r="D1553" s="1">
        <v>4.0</v>
      </c>
      <c r="E1553" s="1">
        <v>7.0</v>
      </c>
      <c r="F1553" s="1" t="s">
        <v>1636</v>
      </c>
      <c r="G1553" s="1" t="s">
        <v>833</v>
      </c>
      <c r="H1553" s="1" t="s">
        <v>62</v>
      </c>
      <c r="I1553" s="1"/>
      <c r="J1553" s="219">
        <v>24.5</v>
      </c>
      <c r="K1553" s="219">
        <v>22.5</v>
      </c>
      <c r="L1553" s="219">
        <v>980.0</v>
      </c>
      <c r="M1553" s="219" t="s">
        <v>203</v>
      </c>
      <c r="N1553" s="1">
        <v>286.0</v>
      </c>
      <c r="O1553" s="1">
        <v>377.0</v>
      </c>
      <c r="P1553" s="1">
        <v>2.0</v>
      </c>
      <c r="Q1553" s="1" t="b">
        <v>0</v>
      </c>
      <c r="R1553" s="1">
        <v>100.0</v>
      </c>
      <c r="S1553" s="1" t="s">
        <v>353</v>
      </c>
      <c r="T1553" s="1" t="s">
        <v>423</v>
      </c>
      <c r="U1553" s="1"/>
    </row>
    <row r="1554">
      <c r="A1554" s="218">
        <v>45250.92763164351</v>
      </c>
      <c r="B1554" s="1" t="s">
        <v>35</v>
      </c>
      <c r="C1554" s="1" t="s">
        <v>74</v>
      </c>
      <c r="D1554" s="1">
        <v>8.0</v>
      </c>
      <c r="E1554" s="1">
        <v>3.0</v>
      </c>
      <c r="F1554" s="1" t="s">
        <v>1637</v>
      </c>
      <c r="G1554" s="1" t="s">
        <v>833</v>
      </c>
      <c r="H1554" s="1" t="s">
        <v>70</v>
      </c>
      <c r="I1554" s="1"/>
      <c r="J1554" s="219">
        <v>-6.5</v>
      </c>
      <c r="K1554" s="219">
        <v>-7.5</v>
      </c>
      <c r="L1554" s="219">
        <v>-285.0</v>
      </c>
      <c r="M1554" s="219" t="s">
        <v>969</v>
      </c>
      <c r="N1554" s="1">
        <v>419.0</v>
      </c>
      <c r="O1554" s="1">
        <v>212.0</v>
      </c>
      <c r="P1554" s="1">
        <v>2.0</v>
      </c>
      <c r="Q1554" s="1" t="b">
        <v>0</v>
      </c>
      <c r="R1554" s="1">
        <v>100.0</v>
      </c>
      <c r="S1554" s="1" t="s">
        <v>296</v>
      </c>
      <c r="T1554" s="1" t="s">
        <v>422</v>
      </c>
      <c r="U1554" s="1"/>
    </row>
    <row r="1555">
      <c r="A1555" s="218">
        <v>45250.92763164351</v>
      </c>
      <c r="B1555" s="1" t="s">
        <v>35</v>
      </c>
      <c r="C1555" s="1" t="s">
        <v>38</v>
      </c>
      <c r="D1555" s="1">
        <v>10.0</v>
      </c>
      <c r="E1555" s="1">
        <v>1.0</v>
      </c>
      <c r="F1555" s="1" t="s">
        <v>1638</v>
      </c>
      <c r="G1555" s="1" t="s">
        <v>833</v>
      </c>
      <c r="H1555" s="1" t="s">
        <v>60</v>
      </c>
      <c r="I1555" s="1"/>
      <c r="J1555" s="219">
        <v>-22.5</v>
      </c>
      <c r="K1555" s="219">
        <v>-24.5</v>
      </c>
      <c r="L1555" s="219">
        <v>-3000.0</v>
      </c>
      <c r="M1555" s="219" t="s">
        <v>114</v>
      </c>
      <c r="N1555" s="1">
        <v>512.0</v>
      </c>
      <c r="O1555" s="1">
        <v>184.0</v>
      </c>
      <c r="P1555" s="1">
        <v>2.0</v>
      </c>
      <c r="Q1555" s="1" t="b">
        <v>0</v>
      </c>
      <c r="R1555" s="1">
        <v>100.0</v>
      </c>
      <c r="S1555" s="1" t="s">
        <v>354</v>
      </c>
      <c r="T1555" s="1" t="s">
        <v>422</v>
      </c>
      <c r="U1555" s="1"/>
    </row>
    <row r="1556">
      <c r="A1556" s="218">
        <v>45250.92763164351</v>
      </c>
      <c r="B1556" s="1" t="s">
        <v>35</v>
      </c>
      <c r="C1556" s="1" t="s">
        <v>78</v>
      </c>
      <c r="D1556" s="1">
        <v>2.0</v>
      </c>
      <c r="E1556" s="1">
        <v>9.0</v>
      </c>
      <c r="F1556" s="1" t="s">
        <v>1639</v>
      </c>
      <c r="G1556" s="1" t="s">
        <v>833</v>
      </c>
      <c r="H1556" s="1" t="s">
        <v>62</v>
      </c>
      <c r="I1556" s="1"/>
      <c r="J1556" s="219">
        <v>12.5</v>
      </c>
      <c r="K1556" s="219">
        <v>10.5</v>
      </c>
      <c r="L1556" s="219">
        <v>300.0</v>
      </c>
      <c r="M1556" s="219" t="s">
        <v>73</v>
      </c>
      <c r="N1556" s="1">
        <v>217.0</v>
      </c>
      <c r="O1556" s="1">
        <v>294.0</v>
      </c>
      <c r="P1556" s="1">
        <v>2.0</v>
      </c>
      <c r="Q1556" s="1" t="b">
        <v>0</v>
      </c>
      <c r="R1556" s="1">
        <v>100.0</v>
      </c>
      <c r="S1556" s="1" t="s">
        <v>351</v>
      </c>
      <c r="T1556" s="1" t="s">
        <v>423</v>
      </c>
      <c r="U1556" s="1"/>
    </row>
    <row r="1557">
      <c r="A1557" s="218">
        <v>45250.92763164351</v>
      </c>
      <c r="B1557" s="1" t="s">
        <v>35</v>
      </c>
      <c r="C1557" s="1" t="s">
        <v>63</v>
      </c>
      <c r="D1557" s="1">
        <v>11.0</v>
      </c>
      <c r="E1557" s="1">
        <v>0.0</v>
      </c>
      <c r="F1557" s="1" t="s">
        <v>1640</v>
      </c>
      <c r="G1557" s="1" t="s">
        <v>833</v>
      </c>
      <c r="H1557" s="1" t="s">
        <v>61</v>
      </c>
      <c r="I1557" s="1"/>
      <c r="J1557" s="219">
        <v>-7.5</v>
      </c>
      <c r="K1557" s="219">
        <v>-8.5</v>
      </c>
      <c r="L1557" s="219">
        <v>-360.0</v>
      </c>
      <c r="M1557" s="219" t="s">
        <v>203</v>
      </c>
      <c r="N1557" s="1">
        <v>444.0</v>
      </c>
      <c r="O1557" s="1">
        <v>166.0</v>
      </c>
      <c r="P1557" s="1">
        <v>2.0</v>
      </c>
      <c r="Q1557" s="1" t="b">
        <v>1</v>
      </c>
      <c r="R1557" s="1">
        <v>100.0</v>
      </c>
      <c r="S1557" s="1" t="s">
        <v>292</v>
      </c>
      <c r="T1557" s="1" t="s">
        <v>422</v>
      </c>
      <c r="U1557" s="1"/>
    </row>
    <row r="1558">
      <c r="A1558" s="218">
        <v>45250.92763164351</v>
      </c>
      <c r="B1558" s="1" t="s">
        <v>35</v>
      </c>
      <c r="C1558" s="1" t="s">
        <v>81</v>
      </c>
      <c r="D1558" s="1">
        <v>3.0</v>
      </c>
      <c r="E1558" s="1">
        <v>8.0</v>
      </c>
      <c r="F1558" s="1" t="s">
        <v>1641</v>
      </c>
      <c r="G1558" s="1" t="s">
        <v>833</v>
      </c>
      <c r="H1558" s="1" t="s">
        <v>61</v>
      </c>
      <c r="I1558" s="1"/>
      <c r="J1558" s="219">
        <v>7.5</v>
      </c>
      <c r="K1558" s="219">
        <v>7.5</v>
      </c>
      <c r="L1558" s="219">
        <v>250.0</v>
      </c>
      <c r="M1558" s="219" t="s">
        <v>994</v>
      </c>
      <c r="N1558" s="1">
        <v>232.0</v>
      </c>
      <c r="O1558" s="1">
        <v>383.0</v>
      </c>
      <c r="P1558" s="1">
        <v>2.0</v>
      </c>
      <c r="Q1558" s="1" t="b">
        <v>0</v>
      </c>
      <c r="R1558" s="1">
        <v>100.0</v>
      </c>
      <c r="S1558" s="1" t="s">
        <v>407</v>
      </c>
      <c r="T1558" s="1" t="s">
        <v>423</v>
      </c>
      <c r="U1558" s="1"/>
    </row>
    <row r="1559">
      <c r="A1559" s="218">
        <v>45250.92763164351</v>
      </c>
      <c r="B1559" s="1" t="s">
        <v>35</v>
      </c>
      <c r="C1559" s="1" t="s">
        <v>75</v>
      </c>
      <c r="D1559" s="1">
        <v>1.0</v>
      </c>
      <c r="E1559" s="1">
        <v>10.0</v>
      </c>
      <c r="F1559" s="1" t="s">
        <v>1642</v>
      </c>
      <c r="G1559" s="1" t="s">
        <v>833</v>
      </c>
      <c r="H1559" s="1" t="s">
        <v>60</v>
      </c>
      <c r="I1559" s="1"/>
      <c r="J1559" s="219">
        <v>12.5</v>
      </c>
      <c r="K1559" s="219">
        <v>10.5</v>
      </c>
      <c r="L1559" s="219">
        <v>330.0</v>
      </c>
      <c r="M1559" s="219" t="s">
        <v>1361</v>
      </c>
      <c r="N1559" s="1">
        <v>149.0</v>
      </c>
      <c r="O1559" s="1">
        <v>378.0</v>
      </c>
      <c r="P1559" s="1">
        <v>2.0</v>
      </c>
      <c r="Q1559" s="1" t="b">
        <v>1</v>
      </c>
      <c r="R1559" s="1">
        <v>100.0</v>
      </c>
      <c r="S1559" s="1" t="s">
        <v>352</v>
      </c>
      <c r="T1559" s="1" t="s">
        <v>423</v>
      </c>
      <c r="U1559" s="1"/>
    </row>
    <row r="1560">
      <c r="A1560" s="218">
        <v>45250.92763164351</v>
      </c>
      <c r="B1560" s="1" t="s">
        <v>35</v>
      </c>
      <c r="C1560" s="1" t="s">
        <v>79</v>
      </c>
      <c r="D1560" s="1">
        <v>6.0</v>
      </c>
      <c r="E1560" s="1">
        <v>5.0</v>
      </c>
      <c r="F1560" s="1" t="s">
        <v>1643</v>
      </c>
      <c r="G1560" s="1" t="s">
        <v>833</v>
      </c>
      <c r="H1560" s="1" t="s">
        <v>60</v>
      </c>
      <c r="I1560" s="1"/>
      <c r="J1560" s="219">
        <v>-1.5</v>
      </c>
      <c r="K1560" s="219">
        <v>1.5</v>
      </c>
      <c r="L1560" s="219">
        <v>-113.0</v>
      </c>
      <c r="M1560" s="219" t="s">
        <v>906</v>
      </c>
      <c r="N1560" s="1">
        <v>340.0</v>
      </c>
      <c r="O1560" s="1">
        <v>245.0</v>
      </c>
      <c r="P1560" s="1">
        <v>2.0</v>
      </c>
      <c r="Q1560" s="1" t="b">
        <v>0</v>
      </c>
      <c r="R1560" s="1">
        <v>100.0</v>
      </c>
      <c r="S1560" s="1" t="s">
        <v>301</v>
      </c>
      <c r="T1560" s="1" t="s">
        <v>422</v>
      </c>
      <c r="U1560" s="1"/>
    </row>
    <row r="1561">
      <c r="A1561" s="218">
        <v>45250.92763164351</v>
      </c>
      <c r="B1561" s="1" t="s">
        <v>35</v>
      </c>
      <c r="C1561" s="1" t="s">
        <v>80</v>
      </c>
      <c r="D1561" s="1">
        <v>5.0</v>
      </c>
      <c r="E1561" s="1">
        <v>6.0</v>
      </c>
      <c r="F1561" s="1" t="s">
        <v>1644</v>
      </c>
      <c r="G1561" s="1" t="s">
        <v>856</v>
      </c>
      <c r="H1561" s="1" t="s">
        <v>69</v>
      </c>
      <c r="I1561" s="1"/>
      <c r="J1561" s="219">
        <v>5.5</v>
      </c>
      <c r="K1561" s="219">
        <v>7.5</v>
      </c>
      <c r="L1561" s="219">
        <v>220.0</v>
      </c>
      <c r="M1561" s="219" t="s">
        <v>1365</v>
      </c>
      <c r="N1561" s="1">
        <v>206.0</v>
      </c>
      <c r="O1561" s="1">
        <v>206.0</v>
      </c>
      <c r="P1561" s="1">
        <v>2.0</v>
      </c>
      <c r="Q1561" s="1" t="b">
        <v>0</v>
      </c>
      <c r="R1561" s="1">
        <v>100.0</v>
      </c>
      <c r="S1561" s="1" t="s">
        <v>282</v>
      </c>
      <c r="T1561" s="1" t="s">
        <v>422</v>
      </c>
      <c r="U1561" s="1"/>
    </row>
    <row r="1562">
      <c r="A1562" s="218">
        <v>45250.92763164351</v>
      </c>
      <c r="B1562" s="1" t="s">
        <v>35</v>
      </c>
      <c r="C1562" s="1" t="s">
        <v>71</v>
      </c>
      <c r="D1562" s="1">
        <v>7.0</v>
      </c>
      <c r="E1562" s="1">
        <v>4.0</v>
      </c>
      <c r="F1562" s="1" t="s">
        <v>1645</v>
      </c>
      <c r="G1562" s="1" t="s">
        <v>856</v>
      </c>
      <c r="H1562" s="1" t="s">
        <v>125</v>
      </c>
      <c r="I1562" s="1"/>
      <c r="J1562" s="219">
        <v>11.5</v>
      </c>
      <c r="K1562" s="219">
        <v>9.5</v>
      </c>
      <c r="L1562" s="219">
        <v>330.0</v>
      </c>
      <c r="M1562" s="219" t="s">
        <v>104</v>
      </c>
      <c r="N1562" s="1">
        <v>374.0</v>
      </c>
      <c r="O1562" s="1">
        <v>293.0</v>
      </c>
      <c r="P1562" s="1">
        <v>2.0</v>
      </c>
      <c r="Q1562" s="1" t="b">
        <v>0</v>
      </c>
      <c r="R1562" s="1">
        <v>100.0</v>
      </c>
      <c r="S1562" s="1" t="s">
        <v>355</v>
      </c>
      <c r="T1562" s="1" t="s">
        <v>423</v>
      </c>
      <c r="U1562" s="1"/>
    </row>
    <row r="1563">
      <c r="A1563" s="218">
        <v>45250.92763164351</v>
      </c>
      <c r="B1563" s="1"/>
      <c r="C1563" s="1"/>
      <c r="D1563" s="1"/>
      <c r="E1563" s="1"/>
      <c r="F1563" s="1"/>
      <c r="G1563" s="218"/>
      <c r="H1563" s="1"/>
      <c r="I1563" s="1"/>
      <c r="J1563" s="219"/>
      <c r="K1563" s="219"/>
      <c r="L1563" s="219"/>
      <c r="M1563" s="219"/>
      <c r="N1563" s="1"/>
      <c r="O1563" s="1"/>
      <c r="P1563" s="1"/>
      <c r="Q1563" s="1"/>
      <c r="R1563" s="1"/>
      <c r="S1563" s="1" t="e">
        <v>#N/A</v>
      </c>
      <c r="T1563" s="1" t="e">
        <v>#N/A</v>
      </c>
      <c r="U1563" s="1"/>
    </row>
    <row r="1564">
      <c r="A1564" s="218">
        <v>45250.92763164351</v>
      </c>
      <c r="B1564" s="1" t="s">
        <v>58</v>
      </c>
      <c r="C1564" s="1" t="s">
        <v>111</v>
      </c>
      <c r="D1564" s="1">
        <v>5.0</v>
      </c>
      <c r="E1564" s="1">
        <v>6.0</v>
      </c>
      <c r="F1564" s="1" t="s">
        <v>1646</v>
      </c>
      <c r="G1564" s="1" t="s">
        <v>833</v>
      </c>
      <c r="H1564" s="1" t="s">
        <v>67</v>
      </c>
      <c r="I1564" s="1"/>
      <c r="J1564" s="219">
        <v>8.5</v>
      </c>
      <c r="K1564" s="219">
        <v>10.5</v>
      </c>
      <c r="L1564" s="219">
        <v>255.0</v>
      </c>
      <c r="M1564" s="219" t="s">
        <v>867</v>
      </c>
      <c r="N1564" s="1">
        <v>244.0</v>
      </c>
      <c r="O1564" s="1">
        <v>317.0</v>
      </c>
      <c r="P1564" s="1">
        <v>2.0</v>
      </c>
      <c r="Q1564" s="1" t="b">
        <v>1</v>
      </c>
      <c r="R1564" s="1">
        <v>100.0</v>
      </c>
      <c r="S1564" s="1" t="s">
        <v>355</v>
      </c>
      <c r="T1564" s="1" t="s">
        <v>423</v>
      </c>
      <c r="U1564" s="1"/>
    </row>
    <row r="1565">
      <c r="A1565" s="218">
        <v>45250.92763164351</v>
      </c>
      <c r="B1565" s="1" t="s">
        <v>58</v>
      </c>
      <c r="C1565" s="1" t="s">
        <v>109</v>
      </c>
      <c r="D1565" s="1">
        <v>7.0</v>
      </c>
      <c r="E1565" s="1">
        <v>4.0</v>
      </c>
      <c r="F1565" s="1" t="s">
        <v>1647</v>
      </c>
      <c r="G1565" s="1" t="s">
        <v>833</v>
      </c>
      <c r="H1565" s="1" t="s">
        <v>57</v>
      </c>
      <c r="I1565" s="1"/>
      <c r="J1565" s="219">
        <v>6.5</v>
      </c>
      <c r="K1565" s="219">
        <v>4.5</v>
      </c>
      <c r="L1565" s="219">
        <v>164.0</v>
      </c>
      <c r="M1565" s="219" t="s">
        <v>994</v>
      </c>
      <c r="N1565" s="1">
        <v>302.0</v>
      </c>
      <c r="O1565" s="1">
        <v>184.0</v>
      </c>
      <c r="P1565" s="1">
        <v>2.0</v>
      </c>
      <c r="Q1565" s="1" t="b">
        <v>1</v>
      </c>
      <c r="R1565" s="1">
        <v>100.0</v>
      </c>
      <c r="S1565" s="1" t="s">
        <v>354</v>
      </c>
      <c r="T1565" s="1" t="s">
        <v>422</v>
      </c>
      <c r="U1565" s="1"/>
    </row>
    <row r="1566">
      <c r="A1566" s="218">
        <v>45250.92763164351</v>
      </c>
      <c r="B1566" s="1" t="s">
        <v>58</v>
      </c>
      <c r="C1566" s="1" t="s">
        <v>112</v>
      </c>
      <c r="D1566" s="1">
        <v>6.0</v>
      </c>
      <c r="E1566" s="1">
        <v>5.0</v>
      </c>
      <c r="F1566" s="1" t="s">
        <v>1648</v>
      </c>
      <c r="G1566" s="1" t="s">
        <v>833</v>
      </c>
      <c r="H1566" s="1" t="s">
        <v>57</v>
      </c>
      <c r="I1566" s="1"/>
      <c r="J1566" s="219">
        <v>-21.5</v>
      </c>
      <c r="K1566" s="219">
        <v>-25.5</v>
      </c>
      <c r="L1566" s="219">
        <v>1400.0</v>
      </c>
      <c r="M1566" s="219" t="s">
        <v>854</v>
      </c>
      <c r="N1566" s="1">
        <v>303.0</v>
      </c>
      <c r="O1566" s="1">
        <v>236.0</v>
      </c>
      <c r="P1566" s="1">
        <v>2.0</v>
      </c>
      <c r="Q1566" s="1" t="b">
        <v>0</v>
      </c>
      <c r="R1566" s="1">
        <v>100.0</v>
      </c>
      <c r="S1566" s="1" t="s">
        <v>292</v>
      </c>
      <c r="T1566" s="1" t="s">
        <v>422</v>
      </c>
      <c r="U1566" s="1"/>
    </row>
    <row r="1567">
      <c r="A1567" s="218">
        <v>45250.92763164351</v>
      </c>
      <c r="B1567" s="1" t="s">
        <v>58</v>
      </c>
      <c r="C1567" s="1" t="s">
        <v>116</v>
      </c>
      <c r="D1567" s="1">
        <v>5.0</v>
      </c>
      <c r="E1567" s="1">
        <v>6.0</v>
      </c>
      <c r="F1567" s="1" t="s">
        <v>1649</v>
      </c>
      <c r="G1567" s="1" t="s">
        <v>833</v>
      </c>
      <c r="H1567" s="1" t="s">
        <v>57</v>
      </c>
      <c r="I1567" s="1"/>
      <c r="J1567" s="219">
        <v>28.5</v>
      </c>
      <c r="K1567" s="219">
        <v>27.5</v>
      </c>
      <c r="L1567" s="219">
        <v>1400.0</v>
      </c>
      <c r="M1567" s="219" t="s">
        <v>845</v>
      </c>
      <c r="N1567" s="1">
        <v>228.0</v>
      </c>
      <c r="O1567" s="1">
        <v>295.0</v>
      </c>
      <c r="P1567" s="1">
        <v>2.0</v>
      </c>
      <c r="Q1567" s="1" t="b">
        <v>0</v>
      </c>
      <c r="R1567" s="1">
        <v>100.0</v>
      </c>
      <c r="S1567" s="1" t="s">
        <v>282</v>
      </c>
      <c r="T1567" s="1" t="s">
        <v>422</v>
      </c>
      <c r="U1567" s="1"/>
    </row>
    <row r="1568">
      <c r="A1568" s="218">
        <v>45250.92763164351</v>
      </c>
      <c r="B1568" s="1" t="s">
        <v>58</v>
      </c>
      <c r="C1568" s="1" t="s">
        <v>113</v>
      </c>
      <c r="D1568" s="1">
        <v>5.0</v>
      </c>
      <c r="E1568" s="1">
        <v>6.0</v>
      </c>
      <c r="F1568" s="1" t="s">
        <v>1650</v>
      </c>
      <c r="G1568" s="1" t="s">
        <v>833</v>
      </c>
      <c r="H1568" s="1" t="s">
        <v>61</v>
      </c>
      <c r="I1568" s="1"/>
      <c r="J1568" s="219">
        <v>-3.0</v>
      </c>
      <c r="K1568" s="219">
        <v>-2.5</v>
      </c>
      <c r="L1568" s="219">
        <v>112.0</v>
      </c>
      <c r="M1568" s="219" t="s">
        <v>1336</v>
      </c>
      <c r="N1568" s="1">
        <v>288.0</v>
      </c>
      <c r="O1568" s="1">
        <v>274.0</v>
      </c>
      <c r="P1568" s="1">
        <v>2.0</v>
      </c>
      <c r="Q1568" s="1" t="b">
        <v>0</v>
      </c>
      <c r="R1568" s="1">
        <v>100.0</v>
      </c>
      <c r="S1568" s="1" t="s">
        <v>301</v>
      </c>
      <c r="T1568" s="1" t="s">
        <v>422</v>
      </c>
      <c r="U1568" s="1"/>
    </row>
    <row r="1569">
      <c r="A1569" s="218">
        <v>45250.92763164351</v>
      </c>
      <c r="B1569" s="1" t="s">
        <v>58</v>
      </c>
      <c r="C1569" s="1" t="s">
        <v>105</v>
      </c>
      <c r="D1569" s="1">
        <v>5.0</v>
      </c>
      <c r="E1569" s="1">
        <v>6.0</v>
      </c>
      <c r="F1569" s="1" t="s">
        <v>1651</v>
      </c>
      <c r="G1569" s="1" t="s">
        <v>833</v>
      </c>
      <c r="H1569" s="1" t="s">
        <v>125</v>
      </c>
      <c r="I1569" s="1"/>
      <c r="J1569" s="219">
        <v>-11.5</v>
      </c>
      <c r="K1569" s="219">
        <v>-12.5</v>
      </c>
      <c r="L1569" s="219">
        <v>360.0</v>
      </c>
      <c r="M1569" s="219" t="s">
        <v>852</v>
      </c>
      <c r="N1569" s="1">
        <v>289.0</v>
      </c>
      <c r="O1569" s="1">
        <v>328.0</v>
      </c>
      <c r="P1569" s="1">
        <v>2.0</v>
      </c>
      <c r="Q1569" s="1" t="b">
        <v>1</v>
      </c>
      <c r="R1569" s="1">
        <v>100.0</v>
      </c>
      <c r="S1569" s="1" t="s">
        <v>353</v>
      </c>
      <c r="T1569" s="1" t="s">
        <v>423</v>
      </c>
      <c r="U1569" s="1"/>
    </row>
    <row r="1570">
      <c r="A1570" s="218">
        <v>45250.92763164351</v>
      </c>
      <c r="B1570" s="1" t="s">
        <v>58</v>
      </c>
      <c r="C1570" s="1" t="s">
        <v>102</v>
      </c>
      <c r="D1570" s="1">
        <v>11.0</v>
      </c>
      <c r="E1570" s="1">
        <v>0.0</v>
      </c>
      <c r="F1570" s="1" t="s">
        <v>1652</v>
      </c>
      <c r="G1570" s="1" t="s">
        <v>833</v>
      </c>
      <c r="H1570" s="1" t="s">
        <v>60</v>
      </c>
      <c r="I1570" s="1"/>
      <c r="J1570" s="219">
        <v>-27.5</v>
      </c>
      <c r="K1570" s="219">
        <v>-25.5</v>
      </c>
      <c r="L1570" s="219">
        <v>1400.0</v>
      </c>
      <c r="M1570" s="219" t="s">
        <v>908</v>
      </c>
      <c r="N1570" s="1">
        <v>439.0</v>
      </c>
      <c r="O1570" s="1">
        <v>232.0</v>
      </c>
      <c r="P1570" s="1">
        <v>2.0</v>
      </c>
      <c r="Q1570" s="1" t="b">
        <v>1</v>
      </c>
      <c r="R1570" s="1">
        <v>100.0</v>
      </c>
      <c r="S1570" s="1" t="s">
        <v>351</v>
      </c>
      <c r="T1570" s="1" t="s">
        <v>423</v>
      </c>
      <c r="U1570" s="1"/>
    </row>
    <row r="1571">
      <c r="A1571" s="218">
        <v>45250.92763164351</v>
      </c>
      <c r="B1571" s="1" t="s">
        <v>58</v>
      </c>
      <c r="C1571" s="1" t="s">
        <v>119</v>
      </c>
      <c r="D1571" s="1">
        <v>5.0</v>
      </c>
      <c r="E1571" s="1">
        <v>6.0</v>
      </c>
      <c r="F1571" s="1" t="s">
        <v>1653</v>
      </c>
      <c r="G1571" s="1" t="s">
        <v>833</v>
      </c>
      <c r="H1571" s="1" t="s">
        <v>60</v>
      </c>
      <c r="I1571" s="1"/>
      <c r="J1571" s="219">
        <v>24.5</v>
      </c>
      <c r="K1571" s="219">
        <v>25.5</v>
      </c>
      <c r="L1571" s="219">
        <v>-3500.0</v>
      </c>
      <c r="M1571" s="219" t="s">
        <v>235</v>
      </c>
      <c r="N1571" s="1">
        <v>243.0</v>
      </c>
      <c r="O1571" s="1">
        <v>318.0</v>
      </c>
      <c r="P1571" s="1">
        <v>2.0</v>
      </c>
      <c r="Q1571" s="1" t="b">
        <v>1</v>
      </c>
      <c r="R1571" s="1">
        <v>100.0</v>
      </c>
      <c r="S1571" s="1" t="s">
        <v>296</v>
      </c>
      <c r="T1571" s="1" t="s">
        <v>422</v>
      </c>
      <c r="U1571" s="1"/>
    </row>
    <row r="1572">
      <c r="A1572" s="218">
        <v>45250.92763164351</v>
      </c>
      <c r="B1572" s="1" t="s">
        <v>58</v>
      </c>
      <c r="C1572" s="1" t="s">
        <v>118</v>
      </c>
      <c r="D1572" s="1">
        <v>8.0</v>
      </c>
      <c r="E1572" s="1">
        <v>3.0</v>
      </c>
      <c r="F1572" s="1" t="s">
        <v>1654</v>
      </c>
      <c r="G1572" s="1" t="s">
        <v>833</v>
      </c>
      <c r="H1572" s="1" t="s">
        <v>60</v>
      </c>
      <c r="I1572" s="1"/>
      <c r="J1572" s="219">
        <v>7.5</v>
      </c>
      <c r="K1572" s="219">
        <v>9.5</v>
      </c>
      <c r="L1572" s="219">
        <v>-375.0</v>
      </c>
      <c r="M1572" s="219" t="s">
        <v>990</v>
      </c>
      <c r="N1572" s="1">
        <v>431.0</v>
      </c>
      <c r="O1572" s="1">
        <v>327.0</v>
      </c>
      <c r="P1572" s="1">
        <v>2.0</v>
      </c>
      <c r="Q1572" s="1" t="b">
        <v>0</v>
      </c>
      <c r="R1572" s="1">
        <v>100.0</v>
      </c>
      <c r="S1572" s="1" t="s">
        <v>407</v>
      </c>
      <c r="T1572" s="1" t="s">
        <v>423</v>
      </c>
      <c r="U1572" s="1"/>
    </row>
    <row r="1573">
      <c r="A1573" s="218">
        <v>45250.92763164351</v>
      </c>
      <c r="B1573" s="1" t="s">
        <v>58</v>
      </c>
      <c r="C1573" s="1" t="s">
        <v>117</v>
      </c>
      <c r="D1573" s="1">
        <v>5.0</v>
      </c>
      <c r="E1573" s="1">
        <v>6.0</v>
      </c>
      <c r="F1573" s="1" t="s">
        <v>1655</v>
      </c>
      <c r="G1573" s="1" t="s">
        <v>833</v>
      </c>
      <c r="H1573" s="1" t="s">
        <v>61</v>
      </c>
      <c r="I1573" s="1"/>
      <c r="J1573" s="219">
        <v>-3.5</v>
      </c>
      <c r="K1573" s="219">
        <v>-4.5</v>
      </c>
      <c r="L1573" s="219">
        <v>172.0</v>
      </c>
      <c r="M1573" s="219" t="s">
        <v>104</v>
      </c>
      <c r="N1573" s="1">
        <v>266.0</v>
      </c>
      <c r="O1573" s="1">
        <v>227.0</v>
      </c>
      <c r="P1573" s="1">
        <v>2.0</v>
      </c>
      <c r="Q1573" s="1" t="b">
        <v>1</v>
      </c>
      <c r="R1573" s="1">
        <v>100.0</v>
      </c>
      <c r="S1573" s="1" t="s">
        <v>352</v>
      </c>
      <c r="T1573" s="1" t="s">
        <v>423</v>
      </c>
      <c r="U1573" s="1"/>
    </row>
    <row r="1574">
      <c r="A1574" s="218">
        <v>45250.92763164351</v>
      </c>
      <c r="B1574" s="1"/>
      <c r="C1574" s="1"/>
      <c r="D1574" s="1"/>
      <c r="E1574" s="1"/>
      <c r="F1574" s="1"/>
      <c r="G1574" s="218"/>
      <c r="H1574" s="1"/>
      <c r="I1574" s="1"/>
      <c r="J1574" s="219"/>
      <c r="K1574" s="219"/>
      <c r="L1574" s="219"/>
      <c r="M1574" s="219"/>
      <c r="N1574" s="1"/>
      <c r="O1574" s="1"/>
      <c r="P1574" s="1"/>
      <c r="Q1574" s="1"/>
      <c r="R1574" s="1"/>
      <c r="S1574" s="1" t="e">
        <v>#N/A</v>
      </c>
      <c r="T1574" s="1" t="e">
        <v>#N/A</v>
      </c>
      <c r="U1574" s="1"/>
    </row>
    <row r="1575">
      <c r="A1575" s="218">
        <v>45250.92763164351</v>
      </c>
      <c r="B1575" s="1" t="s">
        <v>56</v>
      </c>
      <c r="C1575" s="1" t="s">
        <v>129</v>
      </c>
      <c r="D1575" s="1">
        <v>6.0</v>
      </c>
      <c r="E1575" s="1">
        <v>5.0</v>
      </c>
      <c r="F1575" s="1" t="s">
        <v>1656</v>
      </c>
      <c r="G1575" s="1" t="s">
        <v>833</v>
      </c>
      <c r="H1575" s="1" t="s">
        <v>70</v>
      </c>
      <c r="I1575" s="1"/>
      <c r="J1575" s="219"/>
      <c r="K1575" s="219"/>
      <c r="L1575" s="219"/>
      <c r="M1575" s="219"/>
      <c r="N1575" s="1">
        <v>363.0</v>
      </c>
      <c r="O1575" s="1">
        <v>278.0</v>
      </c>
      <c r="P1575" s="1">
        <v>2.0</v>
      </c>
      <c r="Q1575" s="1" t="b">
        <v>1</v>
      </c>
      <c r="R1575" s="1">
        <v>100.0</v>
      </c>
      <c r="S1575" s="1" t="s">
        <v>353</v>
      </c>
      <c r="T1575" s="1" t="s">
        <v>423</v>
      </c>
      <c r="U1575" s="1"/>
    </row>
    <row r="1576">
      <c r="A1576" s="218">
        <v>45250.92763164351</v>
      </c>
      <c r="B1576" s="1" t="s">
        <v>56</v>
      </c>
      <c r="C1576" s="1" t="s">
        <v>130</v>
      </c>
      <c r="D1576" s="1">
        <v>5.0</v>
      </c>
      <c r="E1576" s="1">
        <v>6.0</v>
      </c>
      <c r="F1576" s="1" t="s">
        <v>1657</v>
      </c>
      <c r="G1576" s="1" t="s">
        <v>833</v>
      </c>
      <c r="H1576" s="1" t="s">
        <v>59</v>
      </c>
      <c r="I1576" s="1"/>
      <c r="J1576" s="219">
        <v>6.5</v>
      </c>
      <c r="K1576" s="219">
        <v>6.5</v>
      </c>
      <c r="L1576" s="219">
        <v>195.0</v>
      </c>
      <c r="M1576" s="219" t="s">
        <v>845</v>
      </c>
      <c r="N1576" s="1">
        <v>271.0</v>
      </c>
      <c r="O1576" s="1">
        <v>254.0</v>
      </c>
      <c r="P1576" s="1">
        <v>2.0</v>
      </c>
      <c r="Q1576" s="1" t="b">
        <v>0</v>
      </c>
      <c r="R1576" s="1">
        <v>100.0</v>
      </c>
      <c r="S1576" s="1" t="s">
        <v>301</v>
      </c>
      <c r="T1576" s="1" t="s">
        <v>422</v>
      </c>
      <c r="U1576" s="1"/>
    </row>
    <row r="1577">
      <c r="A1577" s="218">
        <v>45250.92763164351</v>
      </c>
      <c r="B1577" s="1" t="s">
        <v>56</v>
      </c>
      <c r="C1577" s="1" t="s">
        <v>124</v>
      </c>
      <c r="D1577" s="1">
        <v>6.0</v>
      </c>
      <c r="E1577" s="1">
        <v>5.0</v>
      </c>
      <c r="F1577" s="1" t="s">
        <v>1658</v>
      </c>
      <c r="G1577" s="1" t="s">
        <v>833</v>
      </c>
      <c r="H1577" s="1" t="s">
        <v>125</v>
      </c>
      <c r="I1577" s="1"/>
      <c r="J1577" s="219">
        <v>8.5</v>
      </c>
      <c r="K1577" s="219">
        <v>7.5</v>
      </c>
      <c r="L1577" s="219">
        <v>-280.0</v>
      </c>
      <c r="M1577" s="219" t="s">
        <v>867</v>
      </c>
      <c r="N1577" s="1">
        <v>273.0</v>
      </c>
      <c r="O1577" s="1">
        <v>225.0</v>
      </c>
      <c r="P1577" s="1">
        <v>2.0</v>
      </c>
      <c r="Q1577" s="1" t="b">
        <v>1</v>
      </c>
      <c r="R1577" s="1">
        <v>100.0</v>
      </c>
      <c r="S1577" s="1" t="s">
        <v>296</v>
      </c>
      <c r="T1577" s="1" t="s">
        <v>422</v>
      </c>
      <c r="U1577" s="1"/>
    </row>
    <row r="1578">
      <c r="A1578" s="218">
        <v>45250.92763164351</v>
      </c>
      <c r="B1578" s="1" t="s">
        <v>56</v>
      </c>
      <c r="C1578" s="1" t="s">
        <v>127</v>
      </c>
      <c r="D1578" s="1">
        <v>5.0</v>
      </c>
      <c r="E1578" s="1">
        <v>6.0</v>
      </c>
      <c r="F1578" s="1" t="s">
        <v>1659</v>
      </c>
      <c r="G1578" s="1" t="s">
        <v>833</v>
      </c>
      <c r="H1578" s="1" t="s">
        <v>59</v>
      </c>
      <c r="I1578" s="1"/>
      <c r="J1578" s="219">
        <v>10.5</v>
      </c>
      <c r="K1578" s="219">
        <v>12.5</v>
      </c>
      <c r="L1578" s="219">
        <v>340.0</v>
      </c>
      <c r="M1578" s="219" t="s">
        <v>840</v>
      </c>
      <c r="N1578" s="1">
        <v>326.0</v>
      </c>
      <c r="O1578" s="1">
        <v>307.0</v>
      </c>
      <c r="P1578" s="1">
        <v>2.0</v>
      </c>
      <c r="Q1578" s="1" t="b">
        <v>0</v>
      </c>
      <c r="R1578" s="1">
        <v>100.0</v>
      </c>
      <c r="S1578" s="1" t="s">
        <v>292</v>
      </c>
      <c r="T1578" s="1" t="s">
        <v>422</v>
      </c>
      <c r="U1578" s="1"/>
    </row>
    <row r="1579">
      <c r="A1579" s="218">
        <v>45250.92763164351</v>
      </c>
      <c r="B1579" s="1" t="s">
        <v>56</v>
      </c>
      <c r="C1579" s="1" t="s">
        <v>126</v>
      </c>
      <c r="D1579" s="1">
        <v>6.0</v>
      </c>
      <c r="E1579" s="1">
        <v>5.0</v>
      </c>
      <c r="F1579" s="1" t="s">
        <v>1660</v>
      </c>
      <c r="G1579" s="1" t="s">
        <v>833</v>
      </c>
      <c r="H1579" s="1" t="s">
        <v>69</v>
      </c>
      <c r="I1579" s="1"/>
      <c r="J1579" s="219">
        <v>-4.5</v>
      </c>
      <c r="K1579" s="219">
        <v>-3.5</v>
      </c>
      <c r="L1579" s="219">
        <v>-164.0</v>
      </c>
      <c r="M1579" s="219" t="s">
        <v>954</v>
      </c>
      <c r="N1579" s="1">
        <v>380.0</v>
      </c>
      <c r="O1579" s="1">
        <v>362.0</v>
      </c>
      <c r="P1579" s="1">
        <v>2.0</v>
      </c>
      <c r="Q1579" s="1" t="b">
        <v>0</v>
      </c>
      <c r="R1579" s="1">
        <v>100.0</v>
      </c>
      <c r="S1579" s="1" t="s">
        <v>355</v>
      </c>
      <c r="T1579" s="1" t="s">
        <v>423</v>
      </c>
      <c r="U1579" s="1"/>
    </row>
    <row r="1580">
      <c r="A1580" s="218">
        <v>45250.92763164351</v>
      </c>
      <c r="B1580" s="1" t="s">
        <v>56</v>
      </c>
      <c r="C1580" s="1" t="s">
        <v>128</v>
      </c>
      <c r="D1580" s="1">
        <v>8.0</v>
      </c>
      <c r="E1580" s="1">
        <v>3.0</v>
      </c>
      <c r="F1580" s="1" t="s">
        <v>1661</v>
      </c>
      <c r="G1580" s="1" t="s">
        <v>833</v>
      </c>
      <c r="H1580" s="1" t="s">
        <v>57</v>
      </c>
      <c r="I1580" s="1"/>
      <c r="J1580" s="219">
        <v>-23.5</v>
      </c>
      <c r="K1580" s="219">
        <v>-23.5</v>
      </c>
      <c r="L1580" s="219">
        <v>1200.0</v>
      </c>
      <c r="M1580" s="219" t="s">
        <v>151</v>
      </c>
      <c r="N1580" s="1">
        <v>413.0</v>
      </c>
      <c r="O1580" s="1">
        <v>176.0</v>
      </c>
      <c r="P1580" s="1">
        <v>2.0</v>
      </c>
      <c r="Q1580" s="1" t="b">
        <v>1</v>
      </c>
      <c r="R1580" s="1">
        <v>100.0</v>
      </c>
      <c r="S1580" s="1" t="s">
        <v>354</v>
      </c>
      <c r="T1580" s="1" t="s">
        <v>422</v>
      </c>
      <c r="U1580" s="1"/>
    </row>
    <row r="1581">
      <c r="A1581" s="218">
        <v>45250.92763164351</v>
      </c>
      <c r="B1581" s="1" t="s">
        <v>56</v>
      </c>
      <c r="C1581" s="1" t="s">
        <v>135</v>
      </c>
      <c r="D1581" s="1">
        <v>9.0</v>
      </c>
      <c r="E1581" s="1">
        <v>2.0</v>
      </c>
      <c r="F1581" s="1" t="s">
        <v>1662</v>
      </c>
      <c r="G1581" s="1" t="s">
        <v>833</v>
      </c>
      <c r="H1581" s="1" t="s">
        <v>46</v>
      </c>
      <c r="I1581" s="1"/>
      <c r="J1581" s="219">
        <v>-17.5</v>
      </c>
      <c r="K1581" s="219">
        <v>-18.5</v>
      </c>
      <c r="L1581" s="219">
        <v>680.0</v>
      </c>
      <c r="M1581" s="219" t="s">
        <v>1305</v>
      </c>
      <c r="N1581" s="1">
        <v>404.0</v>
      </c>
      <c r="O1581" s="1">
        <v>137.0</v>
      </c>
      <c r="P1581" s="1">
        <v>2.0</v>
      </c>
      <c r="Q1581" s="1" t="b">
        <v>1</v>
      </c>
      <c r="R1581" s="1">
        <v>100.0</v>
      </c>
      <c r="S1581" s="1" t="s">
        <v>282</v>
      </c>
      <c r="T1581" s="1" t="s">
        <v>422</v>
      </c>
      <c r="U1581" s="1"/>
    </row>
    <row r="1582">
      <c r="A1582" s="218">
        <v>45250.92763164351</v>
      </c>
      <c r="B1582" s="1" t="s">
        <v>56</v>
      </c>
      <c r="C1582" s="1" t="s">
        <v>123</v>
      </c>
      <c r="D1582" s="1">
        <v>5.0</v>
      </c>
      <c r="E1582" s="1">
        <v>6.0</v>
      </c>
      <c r="F1582" s="1" t="s">
        <v>1663</v>
      </c>
      <c r="G1582" s="1" t="s">
        <v>833</v>
      </c>
      <c r="H1582" s="1" t="s">
        <v>57</v>
      </c>
      <c r="I1582" s="1"/>
      <c r="J1582" s="219">
        <v>5.5</v>
      </c>
      <c r="K1582" s="219">
        <v>1.5</v>
      </c>
      <c r="L1582" s="219">
        <v>-118.0</v>
      </c>
      <c r="M1582" s="219" t="s">
        <v>1336</v>
      </c>
      <c r="N1582" s="1">
        <v>229.0</v>
      </c>
      <c r="O1582" s="1">
        <v>242.0</v>
      </c>
      <c r="P1582" s="1">
        <v>2.0</v>
      </c>
      <c r="Q1582" s="1" t="b">
        <v>1</v>
      </c>
      <c r="R1582" s="1">
        <v>100.0</v>
      </c>
      <c r="S1582" s="1" t="s">
        <v>351</v>
      </c>
      <c r="T1582" s="1" t="s">
        <v>423</v>
      </c>
      <c r="U1582" s="1"/>
    </row>
    <row r="1583">
      <c r="A1583" s="218">
        <v>45250.92763164351</v>
      </c>
      <c r="B1583" s="1" t="s">
        <v>56</v>
      </c>
      <c r="C1583" s="1" t="s">
        <v>133</v>
      </c>
      <c r="D1583" s="1">
        <v>4.0</v>
      </c>
      <c r="E1583" s="1">
        <v>7.0</v>
      </c>
      <c r="F1583" s="1" t="s">
        <v>1664</v>
      </c>
      <c r="G1583" s="1" t="s">
        <v>833</v>
      </c>
      <c r="H1583" s="1" t="s">
        <v>46</v>
      </c>
      <c r="I1583" s="1"/>
      <c r="J1583" s="219">
        <v>9.5</v>
      </c>
      <c r="K1583" s="219">
        <v>9.5</v>
      </c>
      <c r="L1583" s="219">
        <v>-400.0</v>
      </c>
      <c r="M1583" s="219" t="s">
        <v>906</v>
      </c>
      <c r="N1583" s="1">
        <v>264.0</v>
      </c>
      <c r="O1583" s="1">
        <v>282.0</v>
      </c>
      <c r="P1583" s="1">
        <v>2.0</v>
      </c>
      <c r="Q1583" s="1" t="b">
        <v>1</v>
      </c>
      <c r="R1583" s="1">
        <v>100.0</v>
      </c>
      <c r="S1583" s="1" t="s">
        <v>407</v>
      </c>
      <c r="T1583" s="1" t="s">
        <v>423</v>
      </c>
      <c r="U1583" s="1"/>
    </row>
    <row r="1584">
      <c r="A1584" s="218">
        <v>45250.92763164351</v>
      </c>
      <c r="B1584" s="1" t="s">
        <v>56</v>
      </c>
      <c r="C1584" s="1" t="s">
        <v>120</v>
      </c>
      <c r="D1584" s="1">
        <v>10.0</v>
      </c>
      <c r="E1584" s="1">
        <v>1.0</v>
      </c>
      <c r="F1584" s="1" t="s">
        <v>1665</v>
      </c>
      <c r="G1584" s="1" t="s">
        <v>833</v>
      </c>
      <c r="H1584" s="1" t="s">
        <v>67</v>
      </c>
      <c r="I1584" s="1"/>
      <c r="J1584" s="219">
        <v>-7.0</v>
      </c>
      <c r="K1584" s="219">
        <v>-9.5</v>
      </c>
      <c r="L1584" s="219">
        <v>-420.0</v>
      </c>
      <c r="M1584" s="219" t="s">
        <v>874</v>
      </c>
      <c r="N1584" s="1">
        <v>391.0</v>
      </c>
      <c r="O1584" s="1">
        <v>228.0</v>
      </c>
      <c r="P1584" s="1">
        <v>2.0</v>
      </c>
      <c r="Q1584" s="1" t="b">
        <v>0</v>
      </c>
      <c r="R1584" s="1">
        <v>100.0</v>
      </c>
      <c r="S1584" s="1" t="s">
        <v>352</v>
      </c>
      <c r="T1584" s="1" t="s">
        <v>423</v>
      </c>
      <c r="U1584" s="1"/>
    </row>
    <row r="1585">
      <c r="A1585" s="218">
        <v>45250.92763164351</v>
      </c>
      <c r="B1585" s="1"/>
      <c r="C1585" s="1"/>
      <c r="D1585" s="1"/>
      <c r="E1585" s="1"/>
      <c r="F1585" s="1"/>
      <c r="G1585" s="218"/>
      <c r="H1585" s="1"/>
      <c r="I1585" s="1"/>
      <c r="J1585" s="219"/>
      <c r="K1585" s="219"/>
      <c r="L1585" s="219"/>
      <c r="M1585" s="219"/>
      <c r="N1585" s="1"/>
      <c r="O1585" s="1"/>
      <c r="P1585" s="1"/>
      <c r="Q1585" s="1"/>
      <c r="R1585" s="1"/>
      <c r="S1585" s="1" t="e">
        <v>#N/A</v>
      </c>
      <c r="T1585" s="1" t="e">
        <v>#N/A</v>
      </c>
      <c r="U1585" s="1"/>
    </row>
    <row r="1586">
      <c r="A1586" s="218">
        <v>45250.92763164351</v>
      </c>
      <c r="B1586" s="1" t="s">
        <v>60</v>
      </c>
      <c r="C1586" s="1" t="s">
        <v>174</v>
      </c>
      <c r="D1586" s="1">
        <v>3.0</v>
      </c>
      <c r="E1586" s="1">
        <v>8.0</v>
      </c>
      <c r="F1586" s="1" t="s">
        <v>1638</v>
      </c>
      <c r="G1586" s="1" t="s">
        <v>833</v>
      </c>
      <c r="H1586" s="1" t="s">
        <v>35</v>
      </c>
      <c r="I1586" s="1"/>
      <c r="J1586" s="219">
        <v>22.5</v>
      </c>
      <c r="K1586" s="219">
        <v>24.5</v>
      </c>
      <c r="L1586" s="219">
        <v>-3000.0</v>
      </c>
      <c r="M1586" s="219" t="s">
        <v>114</v>
      </c>
      <c r="N1586" s="1">
        <v>190.0</v>
      </c>
      <c r="O1586" s="1">
        <v>323.0</v>
      </c>
      <c r="P1586" s="1">
        <v>2.0</v>
      </c>
      <c r="Q1586" s="1" t="b">
        <v>1</v>
      </c>
      <c r="R1586" s="1">
        <v>100.0</v>
      </c>
      <c r="S1586" s="1" t="s">
        <v>354</v>
      </c>
      <c r="T1586" s="1" t="s">
        <v>422</v>
      </c>
      <c r="U1586" s="1"/>
    </row>
    <row r="1587">
      <c r="A1587" s="218">
        <v>45250.92763164351</v>
      </c>
      <c r="B1587" s="1" t="s">
        <v>60</v>
      </c>
      <c r="C1587" s="1" t="s">
        <v>175</v>
      </c>
      <c r="D1587" s="1">
        <v>5.0</v>
      </c>
      <c r="E1587" s="1">
        <v>6.0</v>
      </c>
      <c r="F1587" s="1" t="s">
        <v>1666</v>
      </c>
      <c r="G1587" s="1" t="s">
        <v>833</v>
      </c>
      <c r="H1587" s="1" t="s">
        <v>46</v>
      </c>
      <c r="I1587" s="1"/>
      <c r="J1587" s="219"/>
      <c r="K1587" s="219"/>
      <c r="L1587" s="219"/>
      <c r="M1587" s="219"/>
      <c r="N1587" s="1">
        <v>335.0</v>
      </c>
      <c r="O1587" s="1">
        <v>317.0</v>
      </c>
      <c r="P1587" s="1">
        <v>2.0</v>
      </c>
      <c r="Q1587" s="1" t="b">
        <v>1</v>
      </c>
      <c r="R1587" s="1">
        <v>100.0</v>
      </c>
      <c r="S1587" s="1" t="s">
        <v>355</v>
      </c>
      <c r="T1587" s="1" t="s">
        <v>423</v>
      </c>
      <c r="U1587" s="1"/>
    </row>
    <row r="1588">
      <c r="A1588" s="218">
        <v>45250.92763164351</v>
      </c>
      <c r="B1588" s="1" t="s">
        <v>60</v>
      </c>
      <c r="C1588" s="1" t="s">
        <v>177</v>
      </c>
      <c r="D1588" s="1">
        <v>4.0</v>
      </c>
      <c r="E1588" s="1">
        <v>7.0</v>
      </c>
      <c r="F1588" s="1" t="s">
        <v>1642</v>
      </c>
      <c r="G1588" s="1" t="s">
        <v>833</v>
      </c>
      <c r="H1588" s="1" t="s">
        <v>35</v>
      </c>
      <c r="I1588" s="1"/>
      <c r="J1588" s="219">
        <v>-12.5</v>
      </c>
      <c r="K1588" s="219">
        <v>-10.5</v>
      </c>
      <c r="L1588" s="219">
        <v>330.0</v>
      </c>
      <c r="M1588" s="219" t="s">
        <v>1361</v>
      </c>
      <c r="N1588" s="1">
        <v>204.0</v>
      </c>
      <c r="O1588" s="1">
        <v>276.0</v>
      </c>
      <c r="P1588" s="1">
        <v>2.0</v>
      </c>
      <c r="Q1588" s="1" t="b">
        <v>0</v>
      </c>
      <c r="R1588" s="1">
        <v>100.0</v>
      </c>
      <c r="S1588" s="1" t="s">
        <v>352</v>
      </c>
      <c r="T1588" s="1" t="s">
        <v>423</v>
      </c>
      <c r="U1588" s="1"/>
    </row>
    <row r="1589">
      <c r="A1589" s="218">
        <v>45250.92763164351</v>
      </c>
      <c r="B1589" s="1" t="s">
        <v>60</v>
      </c>
      <c r="C1589" s="1" t="s">
        <v>173</v>
      </c>
      <c r="D1589" s="1">
        <v>4.0</v>
      </c>
      <c r="E1589" s="1">
        <v>8.0</v>
      </c>
      <c r="F1589" s="1" t="s">
        <v>1667</v>
      </c>
      <c r="G1589" s="1" t="s">
        <v>833</v>
      </c>
      <c r="H1589" s="1" t="s">
        <v>46</v>
      </c>
      <c r="I1589" s="1"/>
      <c r="J1589" s="219">
        <v>14.5</v>
      </c>
      <c r="K1589" s="219">
        <v>13.5</v>
      </c>
      <c r="L1589" s="219">
        <v>385.0</v>
      </c>
      <c r="M1589" s="219" t="s">
        <v>852</v>
      </c>
      <c r="N1589" s="1">
        <v>251.0</v>
      </c>
      <c r="O1589" s="1">
        <v>395.0</v>
      </c>
      <c r="P1589" s="1">
        <v>2.0</v>
      </c>
      <c r="Q1589" s="1" t="b">
        <v>0</v>
      </c>
      <c r="R1589" s="1">
        <v>100.0</v>
      </c>
      <c r="S1589" s="1" t="s">
        <v>353</v>
      </c>
      <c r="T1589" s="1" t="s">
        <v>423</v>
      </c>
      <c r="U1589" s="1"/>
    </row>
    <row r="1590">
      <c r="A1590" s="218">
        <v>45250.92763164351</v>
      </c>
      <c r="B1590" s="1" t="s">
        <v>60</v>
      </c>
      <c r="C1590" s="1" t="s">
        <v>176</v>
      </c>
      <c r="D1590" s="1">
        <v>3.0</v>
      </c>
      <c r="E1590" s="1">
        <v>8.0</v>
      </c>
      <c r="F1590" s="1" t="s">
        <v>1652</v>
      </c>
      <c r="G1590" s="1" t="s">
        <v>833</v>
      </c>
      <c r="H1590" s="1" t="s">
        <v>58</v>
      </c>
      <c r="I1590" s="1"/>
      <c r="J1590" s="219"/>
      <c r="K1590" s="219"/>
      <c r="L1590" s="219"/>
      <c r="M1590" s="219"/>
      <c r="N1590" s="1">
        <v>260.0</v>
      </c>
      <c r="O1590" s="1">
        <v>423.0</v>
      </c>
      <c r="P1590" s="1">
        <v>2.0</v>
      </c>
      <c r="Q1590" s="1" t="b">
        <v>0</v>
      </c>
      <c r="R1590" s="1">
        <v>100.0</v>
      </c>
      <c r="S1590" s="1" t="s">
        <v>351</v>
      </c>
      <c r="T1590" s="1" t="s">
        <v>423</v>
      </c>
      <c r="U1590" s="1"/>
    </row>
    <row r="1591">
      <c r="A1591" s="218">
        <v>45250.92763164351</v>
      </c>
      <c r="B1591" s="1" t="s">
        <v>60</v>
      </c>
      <c r="C1591" s="1" t="s">
        <v>164</v>
      </c>
      <c r="D1591" s="1">
        <v>10.0</v>
      </c>
      <c r="E1591" s="1">
        <v>1.0</v>
      </c>
      <c r="F1591" s="1" t="s">
        <v>1643</v>
      </c>
      <c r="G1591" s="1" t="s">
        <v>833</v>
      </c>
      <c r="H1591" s="1" t="s">
        <v>35</v>
      </c>
      <c r="I1591" s="1"/>
      <c r="J1591" s="219">
        <v>1.5</v>
      </c>
      <c r="K1591" s="219">
        <v>-1.5</v>
      </c>
      <c r="L1591" s="219">
        <v>-113.0</v>
      </c>
      <c r="M1591" s="219" t="s">
        <v>906</v>
      </c>
      <c r="N1591" s="1">
        <v>365.0</v>
      </c>
      <c r="O1591" s="1">
        <v>202.0</v>
      </c>
      <c r="P1591" s="1">
        <v>2.0</v>
      </c>
      <c r="Q1591" s="1" t="b">
        <v>1</v>
      </c>
      <c r="R1591" s="1">
        <v>100.0</v>
      </c>
      <c r="S1591" s="1" t="s">
        <v>301</v>
      </c>
      <c r="T1591" s="1" t="s">
        <v>422</v>
      </c>
      <c r="U1591" s="1"/>
    </row>
    <row r="1592">
      <c r="A1592" s="218">
        <v>45250.92763164351</v>
      </c>
      <c r="B1592" s="1" t="s">
        <v>60</v>
      </c>
      <c r="C1592" s="1" t="s">
        <v>178</v>
      </c>
      <c r="D1592" s="1">
        <v>4.0</v>
      </c>
      <c r="E1592" s="1">
        <v>7.0</v>
      </c>
      <c r="F1592" s="1" t="s">
        <v>1668</v>
      </c>
      <c r="G1592" s="1" t="s">
        <v>833</v>
      </c>
      <c r="H1592" s="1" t="s">
        <v>70</v>
      </c>
      <c r="I1592" s="1"/>
      <c r="J1592" s="219">
        <v>5.5</v>
      </c>
      <c r="K1592" s="219">
        <v>3.5</v>
      </c>
      <c r="L1592" s="219">
        <v>150.0</v>
      </c>
      <c r="M1592" s="219" t="s">
        <v>906</v>
      </c>
      <c r="N1592" s="1">
        <v>191.0</v>
      </c>
      <c r="O1592" s="1">
        <v>298.0</v>
      </c>
      <c r="P1592" s="1">
        <v>2.0</v>
      </c>
      <c r="Q1592" s="1" t="b">
        <v>0</v>
      </c>
      <c r="R1592" s="1">
        <v>100.0</v>
      </c>
      <c r="S1592" s="1" t="s">
        <v>282</v>
      </c>
      <c r="T1592" s="1" t="s">
        <v>422</v>
      </c>
      <c r="U1592" s="1"/>
    </row>
    <row r="1593">
      <c r="A1593" s="218">
        <v>45250.92763164351</v>
      </c>
      <c r="B1593" s="1" t="s">
        <v>60</v>
      </c>
      <c r="C1593" s="1" t="s">
        <v>179</v>
      </c>
      <c r="D1593" s="1">
        <v>9.0</v>
      </c>
      <c r="E1593" s="1">
        <v>2.0</v>
      </c>
      <c r="F1593" s="1" t="s">
        <v>1653</v>
      </c>
      <c r="G1593" s="1" t="s">
        <v>833</v>
      </c>
      <c r="H1593" s="1" t="s">
        <v>58</v>
      </c>
      <c r="I1593" s="1"/>
      <c r="J1593" s="219">
        <v>-24.5</v>
      </c>
      <c r="K1593" s="219">
        <v>-25.5</v>
      </c>
      <c r="L1593" s="219">
        <v>-3500.0</v>
      </c>
      <c r="M1593" s="219" t="s">
        <v>235</v>
      </c>
      <c r="N1593" s="1">
        <v>449.0</v>
      </c>
      <c r="O1593" s="1">
        <v>222.0</v>
      </c>
      <c r="P1593" s="1">
        <v>2.0</v>
      </c>
      <c r="Q1593" s="1" t="b">
        <v>0</v>
      </c>
      <c r="R1593" s="1">
        <v>100.0</v>
      </c>
      <c r="S1593" s="1" t="s">
        <v>296</v>
      </c>
      <c r="T1593" s="1" t="s">
        <v>422</v>
      </c>
      <c r="U1593" s="1"/>
    </row>
    <row r="1594">
      <c r="A1594" s="218">
        <v>45250.92763164351</v>
      </c>
      <c r="B1594" s="1" t="s">
        <v>60</v>
      </c>
      <c r="C1594" s="1" t="s">
        <v>139</v>
      </c>
      <c r="D1594" s="1">
        <v>9.0</v>
      </c>
      <c r="E1594" s="1">
        <v>2.0</v>
      </c>
      <c r="F1594" s="1" t="s">
        <v>1654</v>
      </c>
      <c r="G1594" s="1" t="s">
        <v>833</v>
      </c>
      <c r="H1594" s="1" t="s">
        <v>58</v>
      </c>
      <c r="I1594" s="1"/>
      <c r="J1594" s="219">
        <v>-7.5</v>
      </c>
      <c r="K1594" s="219">
        <v>-9.5</v>
      </c>
      <c r="L1594" s="219">
        <v>-375.0</v>
      </c>
      <c r="M1594" s="219" t="s">
        <v>990</v>
      </c>
      <c r="N1594" s="1">
        <v>443.0</v>
      </c>
      <c r="O1594" s="1">
        <v>198.0</v>
      </c>
      <c r="P1594" s="1">
        <v>2.0</v>
      </c>
      <c r="Q1594" s="1" t="b">
        <v>1</v>
      </c>
      <c r="R1594" s="1">
        <v>100.0</v>
      </c>
      <c r="S1594" s="1" t="s">
        <v>407</v>
      </c>
      <c r="T1594" s="1" t="s">
        <v>423</v>
      </c>
      <c r="U1594" s="1"/>
    </row>
    <row r="1595">
      <c r="A1595" s="218">
        <v>45250.92763164351</v>
      </c>
      <c r="B1595" s="1" t="s">
        <v>60</v>
      </c>
      <c r="C1595" s="1" t="s">
        <v>137</v>
      </c>
      <c r="D1595" s="1">
        <v>10.0</v>
      </c>
      <c r="E1595" s="1">
        <v>1.0</v>
      </c>
      <c r="F1595" s="1" t="s">
        <v>1669</v>
      </c>
      <c r="G1595" s="1" t="s">
        <v>833</v>
      </c>
      <c r="H1595" s="1"/>
      <c r="I1595" s="1"/>
      <c r="J1595" s="219"/>
      <c r="K1595" s="219"/>
      <c r="L1595" s="219"/>
      <c r="M1595" s="219"/>
      <c r="N1595" s="1">
        <v>402.0</v>
      </c>
      <c r="O1595" s="1">
        <v>191.0</v>
      </c>
      <c r="P1595" s="1">
        <v>2.0</v>
      </c>
      <c r="Q1595" s="1" t="b">
        <v>0</v>
      </c>
      <c r="R1595" s="1">
        <v>100.0</v>
      </c>
      <c r="S1595" s="1" t="s">
        <v>292</v>
      </c>
      <c r="T1595" s="1" t="s">
        <v>422</v>
      </c>
      <c r="U1595" s="1"/>
    </row>
    <row r="1596">
      <c r="A1596" s="218">
        <v>45250.92763164351</v>
      </c>
      <c r="B1596" s="1"/>
      <c r="C1596" s="1"/>
      <c r="D1596" s="1"/>
      <c r="E1596" s="1"/>
      <c r="F1596" s="1"/>
      <c r="G1596" s="218"/>
      <c r="H1596" s="1"/>
      <c r="I1596" s="1"/>
      <c r="J1596" s="219"/>
      <c r="K1596" s="219"/>
      <c r="L1596" s="219"/>
      <c r="M1596" s="219"/>
      <c r="N1596" s="1"/>
      <c r="O1596" s="1"/>
      <c r="P1596" s="1"/>
      <c r="Q1596" s="1"/>
      <c r="R1596" s="1"/>
      <c r="S1596" s="1" t="e">
        <v>#N/A</v>
      </c>
      <c r="T1596" s="1" t="e">
        <v>#N/A</v>
      </c>
      <c r="U1596" s="1"/>
    </row>
    <row r="1597">
      <c r="A1597" s="218">
        <v>45250.92763164351</v>
      </c>
      <c r="B1597" s="1" t="s">
        <v>46</v>
      </c>
      <c r="C1597" s="1" t="s">
        <v>180</v>
      </c>
      <c r="D1597" s="1">
        <v>11.0</v>
      </c>
      <c r="E1597" s="1">
        <v>0.0</v>
      </c>
      <c r="F1597" s="1" t="s">
        <v>1670</v>
      </c>
      <c r="G1597" s="1" t="s">
        <v>833</v>
      </c>
      <c r="H1597" s="1" t="s">
        <v>62</v>
      </c>
      <c r="I1597" s="1"/>
      <c r="J1597" s="219">
        <v>-2.5</v>
      </c>
      <c r="K1597" s="219">
        <v>1.5</v>
      </c>
      <c r="L1597" s="219">
        <v>-100.0</v>
      </c>
      <c r="M1597" s="219" t="s">
        <v>994</v>
      </c>
      <c r="N1597" s="1">
        <v>432.0</v>
      </c>
      <c r="O1597" s="1">
        <v>255.0</v>
      </c>
      <c r="P1597" s="1">
        <v>2.0</v>
      </c>
      <c r="Q1597" s="1" t="b">
        <v>1</v>
      </c>
      <c r="R1597" s="1">
        <v>100.0</v>
      </c>
      <c r="S1597" s="1" t="s">
        <v>354</v>
      </c>
      <c r="T1597" s="1" t="s">
        <v>422</v>
      </c>
      <c r="U1597" s="1"/>
    </row>
    <row r="1598">
      <c r="A1598" s="218">
        <v>45250.92763164351</v>
      </c>
      <c r="B1598" s="1" t="s">
        <v>46</v>
      </c>
      <c r="C1598" s="1" t="s">
        <v>184</v>
      </c>
      <c r="D1598" s="1">
        <v>5.0</v>
      </c>
      <c r="E1598" s="1">
        <v>6.0</v>
      </c>
      <c r="F1598" s="1" t="s">
        <v>1671</v>
      </c>
      <c r="G1598" s="1" t="s">
        <v>833</v>
      </c>
      <c r="H1598" s="1" t="s">
        <v>70</v>
      </c>
      <c r="I1598" s="1"/>
      <c r="J1598" s="219">
        <v>3.5</v>
      </c>
      <c r="K1598" s="219">
        <v>-2.5</v>
      </c>
      <c r="L1598" s="219">
        <v>106.0</v>
      </c>
      <c r="M1598" s="219" t="s">
        <v>73</v>
      </c>
      <c r="N1598" s="1">
        <v>305.0</v>
      </c>
      <c r="O1598" s="1">
        <v>300.0</v>
      </c>
      <c r="P1598" s="1">
        <v>2.0</v>
      </c>
      <c r="Q1598" s="1" t="b">
        <v>0</v>
      </c>
      <c r="R1598" s="1">
        <v>100.0</v>
      </c>
      <c r="S1598" s="1" t="s">
        <v>292</v>
      </c>
      <c r="T1598" s="1" t="s">
        <v>422</v>
      </c>
      <c r="U1598" s="1"/>
    </row>
    <row r="1599">
      <c r="A1599" s="218">
        <v>45250.92763164351</v>
      </c>
      <c r="B1599" s="1" t="s">
        <v>46</v>
      </c>
      <c r="C1599" s="1" t="s">
        <v>188</v>
      </c>
      <c r="D1599" s="1">
        <v>6.0</v>
      </c>
      <c r="E1599" s="1">
        <v>5.0</v>
      </c>
      <c r="F1599" s="1" t="s">
        <v>1672</v>
      </c>
      <c r="G1599" s="1" t="s">
        <v>833</v>
      </c>
      <c r="H1599" s="1" t="s">
        <v>69</v>
      </c>
      <c r="I1599" s="1"/>
      <c r="J1599" s="219">
        <v>-3.5</v>
      </c>
      <c r="K1599" s="219">
        <v>-2.5</v>
      </c>
      <c r="L1599" s="219">
        <v>106.0</v>
      </c>
      <c r="M1599" s="219" t="s">
        <v>994</v>
      </c>
      <c r="N1599" s="1">
        <v>315.0</v>
      </c>
      <c r="O1599" s="1">
        <v>267.0</v>
      </c>
      <c r="P1599" s="1">
        <v>2.0</v>
      </c>
      <c r="Q1599" s="1" t="b">
        <v>1</v>
      </c>
      <c r="R1599" s="1">
        <v>100.0</v>
      </c>
      <c r="S1599" s="1" t="s">
        <v>296</v>
      </c>
      <c r="T1599" s="1" t="s">
        <v>422</v>
      </c>
      <c r="U1599" s="1"/>
    </row>
    <row r="1600">
      <c r="A1600" s="218">
        <v>45250.92763164351</v>
      </c>
      <c r="B1600" s="1" t="s">
        <v>46</v>
      </c>
      <c r="C1600" s="1" t="s">
        <v>186</v>
      </c>
      <c r="D1600" s="1">
        <v>5.0</v>
      </c>
      <c r="E1600" s="1">
        <v>6.0</v>
      </c>
      <c r="F1600" s="1" t="s">
        <v>1673</v>
      </c>
      <c r="G1600" s="1" t="s">
        <v>833</v>
      </c>
      <c r="H1600" s="1" t="s">
        <v>61</v>
      </c>
      <c r="I1600" s="1"/>
      <c r="J1600" s="219">
        <v>4.5</v>
      </c>
      <c r="K1600" s="219">
        <v>2.5</v>
      </c>
      <c r="L1600" s="219">
        <v>126.0</v>
      </c>
      <c r="M1600" s="219" t="s">
        <v>1625</v>
      </c>
      <c r="N1600" s="1">
        <v>251.0</v>
      </c>
      <c r="O1600" s="1">
        <v>308.0</v>
      </c>
      <c r="P1600" s="1">
        <v>2.0</v>
      </c>
      <c r="Q1600" s="1" t="b">
        <v>0</v>
      </c>
      <c r="R1600" s="1">
        <v>100.0</v>
      </c>
      <c r="S1600" s="1" t="s">
        <v>282</v>
      </c>
      <c r="T1600" s="1" t="s">
        <v>422</v>
      </c>
      <c r="U1600" s="1"/>
    </row>
    <row r="1601">
      <c r="A1601" s="218">
        <v>45250.92763164351</v>
      </c>
      <c r="B1601" s="1" t="s">
        <v>46</v>
      </c>
      <c r="C1601" s="1" t="s">
        <v>181</v>
      </c>
      <c r="D1601" s="1">
        <v>9.0</v>
      </c>
      <c r="E1601" s="1">
        <v>2.0</v>
      </c>
      <c r="F1601" s="1" t="s">
        <v>1666</v>
      </c>
      <c r="G1601" s="1" t="s">
        <v>833</v>
      </c>
      <c r="H1601" s="1" t="s">
        <v>60</v>
      </c>
      <c r="I1601" s="1"/>
      <c r="J1601" s="219">
        <v>-14.5</v>
      </c>
      <c r="K1601" s="219">
        <v>-17.5</v>
      </c>
      <c r="L1601" s="219">
        <v>550.0</v>
      </c>
      <c r="M1601" s="219" t="s">
        <v>151</v>
      </c>
      <c r="N1601" s="1">
        <v>321.0</v>
      </c>
      <c r="O1601" s="1">
        <v>183.0</v>
      </c>
      <c r="P1601" s="1">
        <v>2.0</v>
      </c>
      <c r="Q1601" s="1" t="b">
        <v>0</v>
      </c>
      <c r="R1601" s="1">
        <v>100.0</v>
      </c>
      <c r="S1601" s="1" t="s">
        <v>355</v>
      </c>
      <c r="T1601" s="1" t="s">
        <v>423</v>
      </c>
      <c r="U1601" s="1"/>
    </row>
    <row r="1602">
      <c r="A1602" s="218">
        <v>45250.92763164351</v>
      </c>
      <c r="B1602" s="1" t="s">
        <v>46</v>
      </c>
      <c r="C1602" s="1" t="s">
        <v>187</v>
      </c>
      <c r="D1602" s="1">
        <v>6.0</v>
      </c>
      <c r="E1602" s="1">
        <v>5.0</v>
      </c>
      <c r="F1602" s="1" t="s">
        <v>1674</v>
      </c>
      <c r="G1602" s="1" t="s">
        <v>833</v>
      </c>
      <c r="H1602" s="1"/>
      <c r="I1602" s="1"/>
      <c r="J1602" s="219">
        <v>-3.5</v>
      </c>
      <c r="K1602" s="219">
        <v>-2.5</v>
      </c>
      <c r="L1602" s="219">
        <v>-146.0</v>
      </c>
      <c r="M1602" s="219" t="s">
        <v>906</v>
      </c>
      <c r="N1602" s="1">
        <v>303.0</v>
      </c>
      <c r="O1602" s="1">
        <v>218.0</v>
      </c>
      <c r="P1602" s="1">
        <v>2.0</v>
      </c>
      <c r="Q1602" s="1" t="b">
        <v>1</v>
      </c>
      <c r="R1602" s="1">
        <v>100.0</v>
      </c>
      <c r="S1602" s="1" t="s">
        <v>301</v>
      </c>
      <c r="T1602" s="1" t="s">
        <v>422</v>
      </c>
      <c r="U1602" s="1"/>
    </row>
    <row r="1603">
      <c r="A1603" s="218">
        <v>45250.92763164351</v>
      </c>
      <c r="B1603" s="1" t="s">
        <v>46</v>
      </c>
      <c r="C1603" s="1" t="s">
        <v>183</v>
      </c>
      <c r="D1603" s="1">
        <v>7.0</v>
      </c>
      <c r="E1603" s="1">
        <v>4.0</v>
      </c>
      <c r="F1603" s="1" t="s">
        <v>1667</v>
      </c>
      <c r="G1603" s="1" t="s">
        <v>833</v>
      </c>
      <c r="H1603" s="1" t="s">
        <v>60</v>
      </c>
      <c r="I1603" s="1"/>
      <c r="J1603" s="219">
        <v>-14.5</v>
      </c>
      <c r="K1603" s="219">
        <v>-13.5</v>
      </c>
      <c r="L1603" s="219">
        <v>385.0</v>
      </c>
      <c r="M1603" s="219" t="s">
        <v>852</v>
      </c>
      <c r="N1603" s="1">
        <v>271.0</v>
      </c>
      <c r="O1603" s="1">
        <v>269.0</v>
      </c>
      <c r="P1603" s="1">
        <v>2.0</v>
      </c>
      <c r="Q1603" s="1" t="b">
        <v>1</v>
      </c>
      <c r="R1603" s="1">
        <v>100.0</v>
      </c>
      <c r="S1603" s="1" t="s">
        <v>353</v>
      </c>
      <c r="T1603" s="1" t="s">
        <v>423</v>
      </c>
      <c r="U1603" s="1"/>
    </row>
    <row r="1604">
      <c r="A1604" s="218">
        <v>45250.92763164351</v>
      </c>
      <c r="B1604" s="1" t="s">
        <v>46</v>
      </c>
      <c r="C1604" s="1" t="s">
        <v>185</v>
      </c>
      <c r="D1604" s="1">
        <v>6.0</v>
      </c>
      <c r="E1604" s="1">
        <v>5.0</v>
      </c>
      <c r="F1604" s="1" t="s">
        <v>1662</v>
      </c>
      <c r="G1604" s="1" t="s">
        <v>833</v>
      </c>
      <c r="H1604" s="1" t="s">
        <v>56</v>
      </c>
      <c r="I1604" s="1"/>
      <c r="J1604" s="219">
        <v>17.5</v>
      </c>
      <c r="K1604" s="219">
        <v>18.5</v>
      </c>
      <c r="L1604" s="219">
        <v>680.0</v>
      </c>
      <c r="M1604" s="219" t="s">
        <v>1305</v>
      </c>
      <c r="N1604" s="1">
        <v>247.0</v>
      </c>
      <c r="O1604" s="1">
        <v>210.0</v>
      </c>
      <c r="P1604" s="1">
        <v>2.0</v>
      </c>
      <c r="Q1604" s="1" t="b">
        <v>0</v>
      </c>
      <c r="R1604" s="1">
        <v>100.0</v>
      </c>
      <c r="S1604" s="1" t="s">
        <v>351</v>
      </c>
      <c r="T1604" s="1" t="s">
        <v>423</v>
      </c>
      <c r="U1604" s="1"/>
    </row>
    <row r="1605">
      <c r="A1605" s="218">
        <v>45250.92763164351</v>
      </c>
      <c r="B1605" s="1" t="s">
        <v>46</v>
      </c>
      <c r="C1605" s="1" t="s">
        <v>182</v>
      </c>
      <c r="D1605" s="1">
        <v>10.0</v>
      </c>
      <c r="E1605" s="1">
        <v>1.0</v>
      </c>
      <c r="F1605" s="1" t="s">
        <v>1664</v>
      </c>
      <c r="G1605" s="1" t="s">
        <v>833</v>
      </c>
      <c r="H1605" s="1" t="s">
        <v>56</v>
      </c>
      <c r="I1605" s="1"/>
      <c r="J1605" s="219">
        <v>-9.5</v>
      </c>
      <c r="K1605" s="219">
        <v>-9.5</v>
      </c>
      <c r="L1605" s="219">
        <v>-400.0</v>
      </c>
      <c r="M1605" s="219" t="s">
        <v>906</v>
      </c>
      <c r="N1605" s="1">
        <v>306.0</v>
      </c>
      <c r="O1605" s="1">
        <v>204.0</v>
      </c>
      <c r="P1605" s="1">
        <v>2.0</v>
      </c>
      <c r="Q1605" s="1" t="b">
        <v>0</v>
      </c>
      <c r="R1605" s="1">
        <v>100.0</v>
      </c>
      <c r="S1605" s="1" t="s">
        <v>407</v>
      </c>
      <c r="T1605" s="1" t="s">
        <v>423</v>
      </c>
      <c r="U1605" s="1"/>
    </row>
    <row r="1606">
      <c r="A1606" s="218">
        <v>45250.92763164351</v>
      </c>
      <c r="B1606" s="1" t="s">
        <v>46</v>
      </c>
      <c r="C1606" s="1" t="s">
        <v>189</v>
      </c>
      <c r="D1606" s="1">
        <v>2.0</v>
      </c>
      <c r="E1606" s="1">
        <v>9.0</v>
      </c>
      <c r="F1606" s="1" t="s">
        <v>1675</v>
      </c>
      <c r="G1606" s="1" t="s">
        <v>887</v>
      </c>
      <c r="H1606" s="1" t="s">
        <v>59</v>
      </c>
      <c r="I1606" s="1"/>
      <c r="J1606" s="219">
        <v>8.0</v>
      </c>
      <c r="K1606" s="219">
        <v>3.5</v>
      </c>
      <c r="L1606" s="219">
        <v>142.0</v>
      </c>
      <c r="M1606" s="219" t="s">
        <v>1305</v>
      </c>
      <c r="N1606" s="1">
        <v>181.0</v>
      </c>
      <c r="O1606" s="1">
        <v>311.0</v>
      </c>
      <c r="P1606" s="1">
        <v>2.0</v>
      </c>
      <c r="Q1606" s="1" t="b">
        <v>1</v>
      </c>
      <c r="R1606" s="1">
        <v>100.0</v>
      </c>
      <c r="S1606" s="1" t="s">
        <v>352</v>
      </c>
      <c r="T1606" s="1" t="s">
        <v>423</v>
      </c>
      <c r="U1606" s="1"/>
    </row>
    <row r="1607">
      <c r="A1607" s="218">
        <v>45250.92763164351</v>
      </c>
      <c r="B1607" s="1"/>
      <c r="C1607" s="1"/>
      <c r="D1607" s="1"/>
      <c r="E1607" s="1"/>
      <c r="F1607" s="1"/>
      <c r="G1607" s="218"/>
      <c r="H1607" s="1"/>
      <c r="I1607" s="1"/>
      <c r="J1607" s="219"/>
      <c r="K1607" s="219"/>
      <c r="L1607" s="219"/>
      <c r="M1607" s="219"/>
      <c r="N1607" s="1"/>
      <c r="O1607" s="1"/>
      <c r="P1607" s="1"/>
      <c r="Q1607" s="1"/>
      <c r="R1607" s="1"/>
      <c r="S1607" s="1" t="e">
        <v>#N/A</v>
      </c>
      <c r="T1607" s="1" t="e">
        <v>#N/A</v>
      </c>
      <c r="U1607" s="1"/>
    </row>
    <row r="1608">
      <c r="A1608" s="218">
        <v>45250.92763164351</v>
      </c>
      <c r="B1608" s="1" t="s">
        <v>70</v>
      </c>
      <c r="C1608" s="1" t="s">
        <v>190</v>
      </c>
      <c r="D1608" s="1">
        <v>3.0</v>
      </c>
      <c r="E1608" s="1">
        <v>8.0</v>
      </c>
      <c r="F1608" s="1" t="s">
        <v>1656</v>
      </c>
      <c r="G1608" s="1" t="s">
        <v>833</v>
      </c>
      <c r="H1608" s="1" t="s">
        <v>56</v>
      </c>
      <c r="I1608" s="1"/>
      <c r="J1608" s="219">
        <v>14.5</v>
      </c>
      <c r="K1608" s="219">
        <v>15.5</v>
      </c>
      <c r="L1608" s="219">
        <v>500.0</v>
      </c>
      <c r="M1608" s="219" t="s">
        <v>854</v>
      </c>
      <c r="N1608" s="1">
        <v>213.0</v>
      </c>
      <c r="O1608" s="1">
        <v>303.0</v>
      </c>
      <c r="P1608" s="1">
        <v>2.0</v>
      </c>
      <c r="Q1608" s="1" t="b">
        <v>0</v>
      </c>
      <c r="R1608" s="1">
        <v>100.0</v>
      </c>
      <c r="S1608" s="1" t="s">
        <v>353</v>
      </c>
      <c r="T1608" s="1" t="s">
        <v>423</v>
      </c>
      <c r="U1608" s="1"/>
    </row>
    <row r="1609">
      <c r="A1609" s="218">
        <v>45250.92763164351</v>
      </c>
      <c r="B1609" s="1" t="s">
        <v>70</v>
      </c>
      <c r="C1609" s="1" t="s">
        <v>196</v>
      </c>
      <c r="D1609" s="1">
        <v>6.0</v>
      </c>
      <c r="E1609" s="1">
        <v>5.0</v>
      </c>
      <c r="F1609" s="1" t="s">
        <v>1671</v>
      </c>
      <c r="G1609" s="1" t="s">
        <v>833</v>
      </c>
      <c r="H1609" s="1" t="s">
        <v>46</v>
      </c>
      <c r="I1609" s="1"/>
      <c r="J1609" s="219">
        <v>-3.5</v>
      </c>
      <c r="K1609" s="219">
        <v>2.5</v>
      </c>
      <c r="L1609" s="219">
        <v>106.0</v>
      </c>
      <c r="M1609" s="219" t="s">
        <v>73</v>
      </c>
      <c r="N1609" s="1">
        <v>305.0</v>
      </c>
      <c r="O1609" s="1">
        <v>267.0</v>
      </c>
      <c r="P1609" s="1">
        <v>2.0</v>
      </c>
      <c r="Q1609" s="1" t="b">
        <v>1</v>
      </c>
      <c r="R1609" s="1">
        <v>100.0</v>
      </c>
      <c r="S1609" s="1" t="s">
        <v>292</v>
      </c>
      <c r="T1609" s="1" t="s">
        <v>422</v>
      </c>
      <c r="U1609" s="1"/>
    </row>
    <row r="1610">
      <c r="A1610" s="218">
        <v>45250.92763164351</v>
      </c>
      <c r="B1610" s="1" t="s">
        <v>70</v>
      </c>
      <c r="C1610" s="1" t="s">
        <v>192</v>
      </c>
      <c r="D1610" s="1">
        <v>7.0</v>
      </c>
      <c r="E1610" s="1">
        <v>4.0</v>
      </c>
      <c r="F1610" s="1" t="s">
        <v>1637</v>
      </c>
      <c r="G1610" s="1" t="s">
        <v>833</v>
      </c>
      <c r="H1610" s="1" t="s">
        <v>35</v>
      </c>
      <c r="I1610" s="1"/>
      <c r="J1610" s="219">
        <v>6.5</v>
      </c>
      <c r="K1610" s="219">
        <v>7.5</v>
      </c>
      <c r="L1610" s="219">
        <v>-285.0</v>
      </c>
      <c r="M1610" s="219" t="s">
        <v>969</v>
      </c>
      <c r="N1610" s="1">
        <v>354.0</v>
      </c>
      <c r="O1610" s="1">
        <v>293.0</v>
      </c>
      <c r="P1610" s="1">
        <v>2.0</v>
      </c>
      <c r="Q1610" s="1" t="b">
        <v>1</v>
      </c>
      <c r="R1610" s="1">
        <v>100.0</v>
      </c>
      <c r="S1610" s="1" t="s">
        <v>296</v>
      </c>
      <c r="T1610" s="1" t="s">
        <v>422</v>
      </c>
      <c r="U1610" s="1"/>
    </row>
    <row r="1611">
      <c r="A1611" s="218">
        <v>45250.92763164351</v>
      </c>
      <c r="B1611" s="1" t="s">
        <v>70</v>
      </c>
      <c r="C1611" s="1" t="s">
        <v>193</v>
      </c>
      <c r="D1611" s="1">
        <v>3.0</v>
      </c>
      <c r="E1611" s="1">
        <v>8.0</v>
      </c>
      <c r="F1611" s="1" t="s">
        <v>1676</v>
      </c>
      <c r="G1611" s="1" t="s">
        <v>833</v>
      </c>
      <c r="H1611" s="1" t="s">
        <v>69</v>
      </c>
      <c r="I1611" s="1"/>
      <c r="J1611" s="219">
        <v>4.5</v>
      </c>
      <c r="K1611" s="219">
        <v>6.5</v>
      </c>
      <c r="L1611" s="219">
        <v>-255.0</v>
      </c>
      <c r="M1611" s="219" t="s">
        <v>114</v>
      </c>
      <c r="N1611" s="1">
        <v>224.0</v>
      </c>
      <c r="O1611" s="1">
        <v>396.0</v>
      </c>
      <c r="P1611" s="1">
        <v>2.0</v>
      </c>
      <c r="Q1611" s="1" t="b">
        <v>1</v>
      </c>
      <c r="R1611" s="1">
        <v>100.0</v>
      </c>
      <c r="S1611" s="1" t="s">
        <v>354</v>
      </c>
      <c r="T1611" s="1" t="s">
        <v>422</v>
      </c>
      <c r="U1611" s="1"/>
    </row>
    <row r="1612">
      <c r="A1612" s="218">
        <v>45250.92763164351</v>
      </c>
      <c r="B1612" s="1" t="s">
        <v>70</v>
      </c>
      <c r="C1612" s="1" t="s">
        <v>191</v>
      </c>
      <c r="D1612" s="1">
        <v>7.0</v>
      </c>
      <c r="E1612" s="1">
        <v>4.0</v>
      </c>
      <c r="F1612" s="1" t="s">
        <v>1677</v>
      </c>
      <c r="G1612" s="1" t="s">
        <v>833</v>
      </c>
      <c r="H1612" s="1" t="s">
        <v>67</v>
      </c>
      <c r="I1612" s="1"/>
      <c r="J1612" s="219">
        <v>-6.5</v>
      </c>
      <c r="K1612" s="219">
        <v>-8.5</v>
      </c>
      <c r="L1612" s="219">
        <v>255.0</v>
      </c>
      <c r="M1612" s="219" t="s">
        <v>954</v>
      </c>
      <c r="N1612" s="1">
        <v>334.0</v>
      </c>
      <c r="O1612" s="1">
        <v>232.0</v>
      </c>
      <c r="P1612" s="1">
        <v>2.0</v>
      </c>
      <c r="Q1612" s="1" t="b">
        <v>0</v>
      </c>
      <c r="R1612" s="1">
        <v>100.0</v>
      </c>
      <c r="S1612" s="1" t="s">
        <v>301</v>
      </c>
      <c r="T1612" s="1" t="s">
        <v>422</v>
      </c>
      <c r="U1612" s="1"/>
    </row>
    <row r="1613">
      <c r="A1613" s="218">
        <v>45250.92763164351</v>
      </c>
      <c r="B1613" s="1" t="s">
        <v>70</v>
      </c>
      <c r="C1613" s="1" t="s">
        <v>194</v>
      </c>
      <c r="D1613" s="1">
        <v>3.0</v>
      </c>
      <c r="E1613" s="1">
        <v>8.0</v>
      </c>
      <c r="F1613" s="1" t="s">
        <v>1678</v>
      </c>
      <c r="G1613" s="1" t="s">
        <v>833</v>
      </c>
      <c r="H1613" s="1" t="s">
        <v>61</v>
      </c>
      <c r="I1613" s="1"/>
      <c r="J1613" s="219">
        <v>7.5</v>
      </c>
      <c r="K1613" s="219">
        <v>7.5</v>
      </c>
      <c r="L1613" s="219">
        <v>245.0</v>
      </c>
      <c r="M1613" s="219" t="s">
        <v>854</v>
      </c>
      <c r="N1613" s="1">
        <v>211.0</v>
      </c>
      <c r="O1613" s="1">
        <v>300.0</v>
      </c>
      <c r="P1613" s="1">
        <v>2.0</v>
      </c>
      <c r="Q1613" s="1" t="b">
        <v>0</v>
      </c>
      <c r="R1613" s="1">
        <v>100.0</v>
      </c>
      <c r="S1613" s="1" t="s">
        <v>351</v>
      </c>
      <c r="T1613" s="1" t="s">
        <v>423</v>
      </c>
      <c r="U1613" s="1"/>
    </row>
    <row r="1614">
      <c r="A1614" s="218">
        <v>45250.92763164351</v>
      </c>
      <c r="B1614" s="1" t="s">
        <v>70</v>
      </c>
      <c r="C1614" s="1" t="s">
        <v>195</v>
      </c>
      <c r="D1614" s="1">
        <v>3.0</v>
      </c>
      <c r="E1614" s="1">
        <v>8.0</v>
      </c>
      <c r="F1614" s="1" t="s">
        <v>1668</v>
      </c>
      <c r="G1614" s="1" t="s">
        <v>833</v>
      </c>
      <c r="H1614" s="1" t="s">
        <v>60</v>
      </c>
      <c r="I1614" s="1"/>
      <c r="J1614" s="219">
        <v>-5.5</v>
      </c>
      <c r="K1614" s="219">
        <v>-3.5</v>
      </c>
      <c r="L1614" s="219">
        <v>150.0</v>
      </c>
      <c r="M1614" s="219" t="s">
        <v>906</v>
      </c>
      <c r="N1614" s="1">
        <v>235.0</v>
      </c>
      <c r="O1614" s="1">
        <v>324.0</v>
      </c>
      <c r="P1614" s="1">
        <v>2.0</v>
      </c>
      <c r="Q1614" s="1" t="b">
        <v>1</v>
      </c>
      <c r="R1614" s="1">
        <v>100.0</v>
      </c>
      <c r="S1614" s="1" t="s">
        <v>282</v>
      </c>
      <c r="T1614" s="1" t="s">
        <v>422</v>
      </c>
      <c r="U1614" s="1"/>
    </row>
    <row r="1615">
      <c r="A1615" s="218">
        <v>45250.92763164351</v>
      </c>
      <c r="B1615" s="1" t="s">
        <v>70</v>
      </c>
      <c r="C1615" s="1" t="s">
        <v>197</v>
      </c>
      <c r="D1615" s="1">
        <v>3.0</v>
      </c>
      <c r="E1615" s="1">
        <v>8.0</v>
      </c>
      <c r="F1615" s="1" t="s">
        <v>1679</v>
      </c>
      <c r="G1615" s="1" t="s">
        <v>833</v>
      </c>
      <c r="H1615" s="1" t="s">
        <v>62</v>
      </c>
      <c r="I1615" s="1"/>
      <c r="J1615" s="219"/>
      <c r="K1615" s="219"/>
      <c r="L1615" s="219"/>
      <c r="M1615" s="219"/>
      <c r="N1615" s="1">
        <v>261.0</v>
      </c>
      <c r="O1615" s="1">
        <v>394.0</v>
      </c>
      <c r="P1615" s="1">
        <v>2.0</v>
      </c>
      <c r="Q1615" s="1" t="b">
        <v>0</v>
      </c>
      <c r="R1615" s="1">
        <v>100.0</v>
      </c>
      <c r="S1615" s="1" t="s">
        <v>355</v>
      </c>
      <c r="T1615" s="1" t="s">
        <v>423</v>
      </c>
      <c r="U1615" s="1"/>
    </row>
    <row r="1616">
      <c r="A1616" s="218">
        <v>45250.92763164351</v>
      </c>
      <c r="B1616" s="1" t="s">
        <v>70</v>
      </c>
      <c r="C1616" s="1" t="s">
        <v>198</v>
      </c>
      <c r="D1616" s="1">
        <v>8.0</v>
      </c>
      <c r="E1616" s="1">
        <v>3.0</v>
      </c>
      <c r="F1616" s="1" t="s">
        <v>1680</v>
      </c>
      <c r="G1616" s="1" t="s">
        <v>833</v>
      </c>
      <c r="H1616" s="1" t="s">
        <v>69</v>
      </c>
      <c r="I1616" s="1"/>
      <c r="J1616" s="219">
        <v>-16.5</v>
      </c>
      <c r="K1616" s="219">
        <v>-14.5</v>
      </c>
      <c r="L1616" s="219">
        <v>520.0</v>
      </c>
      <c r="M1616" s="219" t="s">
        <v>1363</v>
      </c>
      <c r="N1616" s="1">
        <v>364.0</v>
      </c>
      <c r="O1616" s="1">
        <v>267.0</v>
      </c>
      <c r="P1616" s="1">
        <v>2.0</v>
      </c>
      <c r="Q1616" s="1" t="b">
        <v>1</v>
      </c>
      <c r="R1616" s="1">
        <v>100.0</v>
      </c>
      <c r="S1616" s="1" t="s">
        <v>407</v>
      </c>
      <c r="T1616" s="1" t="s">
        <v>423</v>
      </c>
      <c r="U1616" s="1"/>
    </row>
    <row r="1617">
      <c r="A1617" s="218">
        <v>45250.92763164351</v>
      </c>
      <c r="B1617" s="1" t="s">
        <v>70</v>
      </c>
      <c r="C1617" s="1" t="s">
        <v>199</v>
      </c>
      <c r="D1617" s="1">
        <v>3.0</v>
      </c>
      <c r="E1617" s="1">
        <v>8.0</v>
      </c>
      <c r="F1617" s="1" t="s">
        <v>1681</v>
      </c>
      <c r="G1617" s="1" t="s">
        <v>833</v>
      </c>
      <c r="H1617" s="1" t="s">
        <v>62</v>
      </c>
      <c r="I1617" s="1"/>
      <c r="J1617" s="219">
        <v>9.0</v>
      </c>
      <c r="K1617" s="219">
        <v>7.5</v>
      </c>
      <c r="L1617" s="219">
        <v>245.0</v>
      </c>
      <c r="M1617" s="219" t="s">
        <v>1302</v>
      </c>
      <c r="N1617" s="1">
        <v>240.0</v>
      </c>
      <c r="O1617" s="1">
        <v>305.0</v>
      </c>
      <c r="P1617" s="1">
        <v>2.0</v>
      </c>
      <c r="Q1617" s="1" t="b">
        <v>0</v>
      </c>
      <c r="R1617" s="1">
        <v>100.0</v>
      </c>
      <c r="S1617" s="1" t="s">
        <v>352</v>
      </c>
      <c r="T1617" s="1" t="s">
        <v>423</v>
      </c>
      <c r="U1617" s="1"/>
    </row>
    <row r="1618">
      <c r="A1618" s="218">
        <v>45250.92763164351</v>
      </c>
      <c r="B1618" s="1"/>
      <c r="C1618" s="1"/>
      <c r="D1618" s="1"/>
      <c r="E1618" s="1"/>
      <c r="F1618" s="1"/>
      <c r="G1618" s="218"/>
      <c r="H1618" s="1"/>
      <c r="I1618" s="1"/>
      <c r="J1618" s="219"/>
      <c r="K1618" s="219"/>
      <c r="L1618" s="219"/>
      <c r="M1618" s="219"/>
      <c r="N1618" s="1"/>
      <c r="O1618" s="1"/>
      <c r="P1618" s="1"/>
      <c r="Q1618" s="1"/>
      <c r="R1618" s="1"/>
      <c r="S1618" s="1" t="e">
        <v>#N/A</v>
      </c>
      <c r="T1618" s="1" t="e">
        <v>#N/A</v>
      </c>
      <c r="U1618" s="1"/>
    </row>
    <row r="1619">
      <c r="A1619" s="218">
        <v>45250.92763164351</v>
      </c>
      <c r="B1619" s="1" t="s">
        <v>57</v>
      </c>
      <c r="C1619" s="1" t="s">
        <v>213</v>
      </c>
      <c r="D1619" s="1">
        <v>4.0</v>
      </c>
      <c r="E1619" s="1">
        <v>7.0</v>
      </c>
      <c r="F1619" s="1" t="s">
        <v>1682</v>
      </c>
      <c r="G1619" s="1" t="s">
        <v>833</v>
      </c>
      <c r="H1619" s="1" t="s">
        <v>67</v>
      </c>
      <c r="I1619" s="1"/>
      <c r="J1619" s="219">
        <v>-31.5</v>
      </c>
      <c r="K1619" s="219">
        <v>-27.5</v>
      </c>
      <c r="L1619" s="219">
        <v>1600.0</v>
      </c>
      <c r="M1619" s="219" t="s">
        <v>874</v>
      </c>
      <c r="N1619" s="1">
        <v>305.0</v>
      </c>
      <c r="O1619" s="1">
        <v>287.0</v>
      </c>
      <c r="P1619" s="1">
        <v>2.0</v>
      </c>
      <c r="Q1619" s="1" t="b">
        <v>0</v>
      </c>
      <c r="R1619" s="1">
        <v>100.0</v>
      </c>
      <c r="S1619" s="1" t="s">
        <v>292</v>
      </c>
      <c r="T1619" s="1" t="s">
        <v>422</v>
      </c>
      <c r="U1619" s="1"/>
    </row>
    <row r="1620">
      <c r="A1620" s="218">
        <v>45250.92763164351</v>
      </c>
      <c r="B1620" s="1" t="s">
        <v>57</v>
      </c>
      <c r="C1620" s="1" t="s">
        <v>210</v>
      </c>
      <c r="D1620" s="1">
        <v>4.0</v>
      </c>
      <c r="E1620" s="1">
        <v>7.0</v>
      </c>
      <c r="F1620" s="1" t="s">
        <v>1683</v>
      </c>
      <c r="G1620" s="1" t="s">
        <v>833</v>
      </c>
      <c r="H1620" s="1" t="s">
        <v>61</v>
      </c>
      <c r="I1620" s="1"/>
      <c r="J1620" s="219">
        <v>7.5</v>
      </c>
      <c r="K1620" s="219">
        <v>6.5</v>
      </c>
      <c r="L1620" s="219">
        <v>-250.0</v>
      </c>
      <c r="M1620" s="219" t="s">
        <v>235</v>
      </c>
      <c r="N1620" s="1">
        <v>271.0</v>
      </c>
      <c r="O1620" s="1">
        <v>351.0</v>
      </c>
      <c r="P1620" s="1">
        <v>2.0</v>
      </c>
      <c r="Q1620" s="1" t="b">
        <v>1</v>
      </c>
      <c r="R1620" s="1">
        <v>100.0</v>
      </c>
      <c r="S1620" s="1" t="s">
        <v>296</v>
      </c>
      <c r="T1620" s="1" t="s">
        <v>422</v>
      </c>
      <c r="U1620" s="1"/>
    </row>
    <row r="1621">
      <c r="A1621" s="218">
        <v>45250.92763164351</v>
      </c>
      <c r="B1621" s="1" t="s">
        <v>57</v>
      </c>
      <c r="C1621" s="1" t="s">
        <v>204</v>
      </c>
      <c r="D1621" s="1">
        <v>7.0</v>
      </c>
      <c r="E1621" s="1">
        <v>5.0</v>
      </c>
      <c r="F1621" s="1" t="s">
        <v>1647</v>
      </c>
      <c r="G1621" s="1" t="s">
        <v>833</v>
      </c>
      <c r="H1621" s="1" t="s">
        <v>58</v>
      </c>
      <c r="I1621" s="1"/>
      <c r="J1621" s="219">
        <v>-6.5</v>
      </c>
      <c r="K1621" s="219">
        <v>-4.5</v>
      </c>
      <c r="L1621" s="219">
        <v>164.0</v>
      </c>
      <c r="M1621" s="219" t="s">
        <v>994</v>
      </c>
      <c r="N1621" s="1">
        <v>502.0</v>
      </c>
      <c r="O1621" s="1">
        <v>419.0</v>
      </c>
      <c r="P1621" s="1">
        <v>2.0</v>
      </c>
      <c r="Q1621" s="1" t="b">
        <v>0</v>
      </c>
      <c r="R1621" s="1">
        <v>100.0</v>
      </c>
      <c r="S1621" s="1" t="s">
        <v>354</v>
      </c>
      <c r="T1621" s="1" t="s">
        <v>422</v>
      </c>
      <c r="U1621" s="1"/>
    </row>
    <row r="1622">
      <c r="A1622" s="218">
        <v>45250.92763164351</v>
      </c>
      <c r="B1622" s="1" t="s">
        <v>57</v>
      </c>
      <c r="C1622" s="1" t="s">
        <v>201</v>
      </c>
      <c r="D1622" s="1">
        <v>9.0</v>
      </c>
      <c r="E1622" s="1">
        <v>3.0</v>
      </c>
      <c r="F1622" s="1" t="s">
        <v>1648</v>
      </c>
      <c r="G1622" s="1" t="s">
        <v>833</v>
      </c>
      <c r="H1622" s="1" t="s">
        <v>58</v>
      </c>
      <c r="I1622" s="1"/>
      <c r="J1622" s="219">
        <v>21.5</v>
      </c>
      <c r="K1622" s="219">
        <v>25.5</v>
      </c>
      <c r="L1622" s="219">
        <v>1400.0</v>
      </c>
      <c r="M1622" s="219" t="s">
        <v>854</v>
      </c>
      <c r="N1622" s="1">
        <v>347.0</v>
      </c>
      <c r="O1622" s="1">
        <v>239.0</v>
      </c>
      <c r="P1622" s="1">
        <v>2.0</v>
      </c>
      <c r="Q1622" s="1" t="b">
        <v>1</v>
      </c>
      <c r="R1622" s="1">
        <v>100.0</v>
      </c>
      <c r="S1622" s="1" t="s">
        <v>351</v>
      </c>
      <c r="T1622" s="1" t="s">
        <v>423</v>
      </c>
      <c r="U1622" s="1"/>
    </row>
    <row r="1623">
      <c r="A1623" s="218">
        <v>45250.92763164351</v>
      </c>
      <c r="B1623" s="1" t="s">
        <v>57</v>
      </c>
      <c r="C1623" s="1" t="s">
        <v>202</v>
      </c>
      <c r="D1623" s="1">
        <v>9.0</v>
      </c>
      <c r="E1623" s="1">
        <v>2.0</v>
      </c>
      <c r="F1623" s="1" t="s">
        <v>1684</v>
      </c>
      <c r="G1623" s="1" t="s">
        <v>833</v>
      </c>
      <c r="H1623" s="1" t="s">
        <v>69</v>
      </c>
      <c r="I1623" s="1"/>
      <c r="J1623" s="219">
        <v>3.5</v>
      </c>
      <c r="K1623" s="219">
        <v>2.5</v>
      </c>
      <c r="L1623" s="219">
        <v>116.0</v>
      </c>
      <c r="M1623" s="219" t="s">
        <v>852</v>
      </c>
      <c r="N1623" s="1">
        <v>395.0</v>
      </c>
      <c r="O1623" s="1">
        <v>270.0</v>
      </c>
      <c r="P1623" s="1">
        <v>2.0</v>
      </c>
      <c r="Q1623" s="1" t="b">
        <v>1</v>
      </c>
      <c r="R1623" s="1">
        <v>100.0</v>
      </c>
      <c r="S1623" s="1" t="s">
        <v>353</v>
      </c>
      <c r="T1623" s="1" t="s">
        <v>423</v>
      </c>
      <c r="U1623" s="1"/>
    </row>
    <row r="1624">
      <c r="A1624" s="218">
        <v>45250.92763164351</v>
      </c>
      <c r="B1624" s="1" t="s">
        <v>57</v>
      </c>
      <c r="C1624" s="1" t="s">
        <v>200</v>
      </c>
      <c r="D1624" s="1">
        <v>11.0</v>
      </c>
      <c r="E1624" s="1">
        <v>0.0</v>
      </c>
      <c r="F1624" s="1" t="s">
        <v>1649</v>
      </c>
      <c r="G1624" s="1" t="s">
        <v>833</v>
      </c>
      <c r="H1624" s="1" t="s">
        <v>58</v>
      </c>
      <c r="I1624" s="1"/>
      <c r="J1624" s="219">
        <v>-28.5</v>
      </c>
      <c r="K1624" s="219">
        <v>-27.5</v>
      </c>
      <c r="L1624" s="219">
        <v>1400.0</v>
      </c>
      <c r="M1624" s="219" t="s">
        <v>845</v>
      </c>
      <c r="N1624" s="1">
        <v>370.0</v>
      </c>
      <c r="O1624" s="1">
        <v>102.0</v>
      </c>
      <c r="P1624" s="1">
        <v>2.0</v>
      </c>
      <c r="Q1624" s="1" t="b">
        <v>1</v>
      </c>
      <c r="R1624" s="1">
        <v>100.0</v>
      </c>
      <c r="S1624" s="1" t="s">
        <v>282</v>
      </c>
      <c r="T1624" s="1" t="s">
        <v>422</v>
      </c>
      <c r="U1624" s="1"/>
    </row>
    <row r="1625">
      <c r="A1625" s="218">
        <v>45250.92763164351</v>
      </c>
      <c r="B1625" s="1" t="s">
        <v>57</v>
      </c>
      <c r="C1625" s="1" t="s">
        <v>208</v>
      </c>
      <c r="D1625" s="1">
        <v>4.0</v>
      </c>
      <c r="E1625" s="1">
        <v>7.0</v>
      </c>
      <c r="F1625" s="1" t="s">
        <v>1661</v>
      </c>
      <c r="G1625" s="1" t="s">
        <v>833</v>
      </c>
      <c r="H1625" s="1" t="s">
        <v>56</v>
      </c>
      <c r="I1625" s="1"/>
      <c r="J1625" s="219">
        <v>23.5</v>
      </c>
      <c r="K1625" s="219">
        <v>23.5</v>
      </c>
      <c r="L1625" s="219">
        <v>1200.0</v>
      </c>
      <c r="M1625" s="219" t="s">
        <v>151</v>
      </c>
      <c r="N1625" s="1">
        <v>212.0</v>
      </c>
      <c r="O1625" s="1">
        <v>291.0</v>
      </c>
      <c r="P1625" s="1">
        <v>2.0</v>
      </c>
      <c r="Q1625" s="1" t="b">
        <v>0</v>
      </c>
      <c r="R1625" s="1">
        <v>100.0</v>
      </c>
      <c r="S1625" s="1" t="s">
        <v>301</v>
      </c>
      <c r="T1625" s="1" t="s">
        <v>422</v>
      </c>
      <c r="U1625" s="1"/>
    </row>
    <row r="1626">
      <c r="A1626" s="218">
        <v>45250.92763164351</v>
      </c>
      <c r="B1626" s="1" t="s">
        <v>57</v>
      </c>
      <c r="C1626" s="1" t="s">
        <v>207</v>
      </c>
      <c r="D1626" s="1">
        <v>3.0</v>
      </c>
      <c r="E1626" s="1">
        <v>8.0</v>
      </c>
      <c r="F1626" s="1" t="s">
        <v>1685</v>
      </c>
      <c r="G1626" s="1" t="s">
        <v>833</v>
      </c>
      <c r="H1626" s="1" t="s">
        <v>67</v>
      </c>
      <c r="I1626" s="1"/>
      <c r="J1626" s="219">
        <v>3.5</v>
      </c>
      <c r="K1626" s="219">
        <v>1.5</v>
      </c>
      <c r="L1626" s="219">
        <v>-120.0</v>
      </c>
      <c r="M1626" s="219" t="s">
        <v>1476</v>
      </c>
      <c r="N1626" s="1">
        <v>252.0</v>
      </c>
      <c r="O1626" s="1">
        <v>379.0</v>
      </c>
      <c r="P1626" s="1">
        <v>2.0</v>
      </c>
      <c r="Q1626" s="1" t="b">
        <v>0</v>
      </c>
      <c r="R1626" s="1">
        <v>100.0</v>
      </c>
      <c r="S1626" s="1" t="s">
        <v>407</v>
      </c>
      <c r="T1626" s="1" t="s">
        <v>423</v>
      </c>
      <c r="U1626" s="1"/>
    </row>
    <row r="1627">
      <c r="A1627" s="218">
        <v>45250.92763164351</v>
      </c>
      <c r="B1627" s="1" t="s">
        <v>57</v>
      </c>
      <c r="C1627" s="1" t="s">
        <v>206</v>
      </c>
      <c r="D1627" s="1">
        <v>7.0</v>
      </c>
      <c r="E1627" s="1">
        <v>4.0</v>
      </c>
      <c r="F1627" s="1" t="s">
        <v>1663</v>
      </c>
      <c r="G1627" s="1" t="s">
        <v>833</v>
      </c>
      <c r="H1627" s="1" t="s">
        <v>56</v>
      </c>
      <c r="I1627" s="1"/>
      <c r="J1627" s="219">
        <v>-5.5</v>
      </c>
      <c r="K1627" s="219">
        <v>-1.5</v>
      </c>
      <c r="L1627" s="219">
        <v>-118.0</v>
      </c>
      <c r="M1627" s="219" t="s">
        <v>1336</v>
      </c>
      <c r="N1627" s="1">
        <v>322.0</v>
      </c>
      <c r="O1627" s="1">
        <v>240.0</v>
      </c>
      <c r="P1627" s="1">
        <v>2.0</v>
      </c>
      <c r="Q1627" s="1" t="b">
        <v>0</v>
      </c>
      <c r="R1627" s="1">
        <v>100.0</v>
      </c>
      <c r="S1627" s="1" t="s">
        <v>355</v>
      </c>
      <c r="T1627" s="1" t="s">
        <v>423</v>
      </c>
      <c r="U1627" s="1"/>
    </row>
    <row r="1628">
      <c r="A1628" s="218">
        <v>45250.92763164351</v>
      </c>
      <c r="B1628" s="1" t="s">
        <v>57</v>
      </c>
      <c r="C1628" s="1" t="s">
        <v>214</v>
      </c>
      <c r="D1628" s="1">
        <v>8.0</v>
      </c>
      <c r="E1628" s="1">
        <v>3.0</v>
      </c>
      <c r="F1628" s="1" t="s">
        <v>1686</v>
      </c>
      <c r="G1628" s="1" t="s">
        <v>833</v>
      </c>
      <c r="H1628" s="1" t="s">
        <v>125</v>
      </c>
      <c r="I1628" s="1"/>
      <c r="J1628" s="219">
        <v>-12.5</v>
      </c>
      <c r="K1628" s="219">
        <v>-10.5</v>
      </c>
      <c r="L1628" s="219">
        <v>340.0</v>
      </c>
      <c r="M1628" s="219" t="s">
        <v>874</v>
      </c>
      <c r="N1628" s="1">
        <v>250.0</v>
      </c>
      <c r="O1628" s="1">
        <v>171.0</v>
      </c>
      <c r="P1628" s="1">
        <v>2.0</v>
      </c>
      <c r="Q1628" s="1" t="b">
        <v>1</v>
      </c>
      <c r="R1628" s="1">
        <v>100.0</v>
      </c>
      <c r="S1628" s="1" t="s">
        <v>352</v>
      </c>
      <c r="T1628" s="1" t="s">
        <v>423</v>
      </c>
      <c r="U1628" s="1"/>
    </row>
    <row r="1629">
      <c r="A1629" s="218">
        <v>45250.92763164351</v>
      </c>
      <c r="B1629" s="1"/>
      <c r="C1629" s="1"/>
      <c r="D1629" s="1"/>
      <c r="E1629" s="1"/>
      <c r="F1629" s="1"/>
      <c r="G1629" s="218"/>
      <c r="H1629" s="1"/>
      <c r="I1629" s="1"/>
      <c r="J1629" s="219"/>
      <c r="K1629" s="219"/>
      <c r="L1629" s="219"/>
      <c r="M1629" s="219"/>
      <c r="N1629" s="1"/>
      <c r="O1629" s="1"/>
      <c r="P1629" s="1"/>
      <c r="Q1629" s="1"/>
      <c r="R1629" s="1"/>
      <c r="S1629" s="1" t="e">
        <v>#N/A</v>
      </c>
      <c r="T1629" s="1" t="e">
        <v>#N/A</v>
      </c>
      <c r="U1629" s="1"/>
    </row>
    <row r="1630">
      <c r="A1630" s="218">
        <v>45250.92763164351</v>
      </c>
      <c r="B1630" s="1" t="s">
        <v>67</v>
      </c>
      <c r="C1630" s="1" t="s">
        <v>220</v>
      </c>
      <c r="D1630" s="1">
        <v>4.0</v>
      </c>
      <c r="E1630" s="1">
        <v>7.0</v>
      </c>
      <c r="F1630" s="1" t="s">
        <v>1682</v>
      </c>
      <c r="G1630" s="1" t="s">
        <v>833</v>
      </c>
      <c r="H1630" s="1" t="s">
        <v>57</v>
      </c>
      <c r="I1630" s="1"/>
      <c r="J1630" s="219"/>
      <c r="K1630" s="219"/>
      <c r="L1630" s="219"/>
      <c r="M1630" s="219"/>
      <c r="N1630" s="1">
        <v>213.0</v>
      </c>
      <c r="O1630" s="1">
        <v>341.0</v>
      </c>
      <c r="P1630" s="1">
        <v>2.0</v>
      </c>
      <c r="Q1630" s="1" t="b">
        <v>1</v>
      </c>
      <c r="R1630" s="1">
        <v>100.0</v>
      </c>
      <c r="S1630" s="1" t="s">
        <v>351</v>
      </c>
      <c r="T1630" s="1" t="s">
        <v>423</v>
      </c>
      <c r="U1630" s="1"/>
    </row>
    <row r="1631">
      <c r="A1631" s="218">
        <v>45250.92763164351</v>
      </c>
      <c r="B1631" s="1" t="s">
        <v>67</v>
      </c>
      <c r="C1631" s="1" t="s">
        <v>205</v>
      </c>
      <c r="D1631" s="1">
        <v>6.0</v>
      </c>
      <c r="E1631" s="1">
        <v>5.0</v>
      </c>
      <c r="F1631" s="1" t="s">
        <v>1646</v>
      </c>
      <c r="G1631" s="1" t="s">
        <v>833</v>
      </c>
      <c r="H1631" s="1" t="s">
        <v>58</v>
      </c>
      <c r="I1631" s="1"/>
      <c r="J1631" s="219">
        <v>-8.5</v>
      </c>
      <c r="K1631" s="219">
        <v>-10.5</v>
      </c>
      <c r="L1631" s="219">
        <v>255.0</v>
      </c>
      <c r="M1631" s="219" t="s">
        <v>867</v>
      </c>
      <c r="N1631" s="1">
        <v>327.0</v>
      </c>
      <c r="O1631" s="1">
        <v>211.0</v>
      </c>
      <c r="P1631" s="1">
        <v>2.0</v>
      </c>
      <c r="Q1631" s="1" t="b">
        <v>0</v>
      </c>
      <c r="R1631" s="1">
        <v>100.0</v>
      </c>
      <c r="S1631" s="1" t="s">
        <v>355</v>
      </c>
      <c r="T1631" s="1" t="s">
        <v>423</v>
      </c>
      <c r="U1631" s="1"/>
    </row>
    <row r="1632">
      <c r="A1632" s="218">
        <v>45250.92763164351</v>
      </c>
      <c r="B1632" s="1" t="s">
        <v>67</v>
      </c>
      <c r="C1632" s="1" t="s">
        <v>216</v>
      </c>
      <c r="D1632" s="1">
        <v>8.0</v>
      </c>
      <c r="E1632" s="1">
        <v>3.0</v>
      </c>
      <c r="F1632" s="1" t="s">
        <v>1677</v>
      </c>
      <c r="G1632" s="1" t="s">
        <v>833</v>
      </c>
      <c r="H1632" s="1" t="s">
        <v>70</v>
      </c>
      <c r="I1632" s="1"/>
      <c r="J1632" s="219">
        <v>6.5</v>
      </c>
      <c r="K1632" s="219">
        <v>8.5</v>
      </c>
      <c r="L1632" s="219">
        <v>255.0</v>
      </c>
      <c r="M1632" s="219" t="s">
        <v>954</v>
      </c>
      <c r="N1632" s="1">
        <v>419.0</v>
      </c>
      <c r="O1632" s="1">
        <v>286.0</v>
      </c>
      <c r="P1632" s="1">
        <v>2.0</v>
      </c>
      <c r="Q1632" s="1" t="b">
        <v>1</v>
      </c>
      <c r="R1632" s="1">
        <v>100.0</v>
      </c>
      <c r="S1632" s="1" t="s">
        <v>301</v>
      </c>
      <c r="T1632" s="1" t="s">
        <v>422</v>
      </c>
      <c r="U1632" s="1"/>
    </row>
    <row r="1633">
      <c r="A1633" s="218">
        <v>45250.92763164351</v>
      </c>
      <c r="B1633" s="1" t="s">
        <v>67</v>
      </c>
      <c r="C1633" s="1" t="s">
        <v>223</v>
      </c>
      <c r="D1633" s="1">
        <v>5.0</v>
      </c>
      <c r="E1633" s="1">
        <v>6.0</v>
      </c>
      <c r="F1633" s="1" t="s">
        <v>1687</v>
      </c>
      <c r="G1633" s="1" t="s">
        <v>833</v>
      </c>
      <c r="H1633" s="1" t="s">
        <v>59</v>
      </c>
      <c r="I1633" s="1"/>
      <c r="J1633" s="219">
        <v>-12.5</v>
      </c>
      <c r="K1633" s="219">
        <v>-13.5</v>
      </c>
      <c r="L1633" s="219">
        <v>420.0</v>
      </c>
      <c r="M1633" s="219" t="s">
        <v>969</v>
      </c>
      <c r="N1633" s="1">
        <v>331.0</v>
      </c>
      <c r="O1633" s="1">
        <v>265.0</v>
      </c>
      <c r="P1633" s="1">
        <v>2.0</v>
      </c>
      <c r="Q1633" s="1" t="b">
        <v>1</v>
      </c>
      <c r="R1633" s="1">
        <v>100.0</v>
      </c>
      <c r="S1633" s="1" t="s">
        <v>296</v>
      </c>
      <c r="T1633" s="1" t="s">
        <v>422</v>
      </c>
      <c r="U1633" s="1"/>
    </row>
    <row r="1634">
      <c r="A1634" s="218">
        <v>45250.92763164351</v>
      </c>
      <c r="B1634" s="1" t="s">
        <v>67</v>
      </c>
      <c r="C1634" s="1" t="s">
        <v>221</v>
      </c>
      <c r="D1634" s="1">
        <v>4.0</v>
      </c>
      <c r="E1634" s="1">
        <v>7.0</v>
      </c>
      <c r="F1634" s="1" t="s">
        <v>1685</v>
      </c>
      <c r="G1634" s="1" t="s">
        <v>833</v>
      </c>
      <c r="H1634" s="1" t="s">
        <v>57</v>
      </c>
      <c r="I1634" s="1"/>
      <c r="J1634" s="219">
        <v>-3.5</v>
      </c>
      <c r="K1634" s="219">
        <v>-1.5</v>
      </c>
      <c r="L1634" s="219">
        <v>-120.0</v>
      </c>
      <c r="M1634" s="219" t="s">
        <v>1476</v>
      </c>
      <c r="N1634" s="1">
        <v>369.0</v>
      </c>
      <c r="O1634" s="1">
        <v>403.0</v>
      </c>
      <c r="P1634" s="1">
        <v>2.0</v>
      </c>
      <c r="Q1634" s="1" t="b">
        <v>1</v>
      </c>
      <c r="R1634" s="1">
        <v>100.0</v>
      </c>
      <c r="S1634" s="1" t="s">
        <v>407</v>
      </c>
      <c r="T1634" s="1" t="s">
        <v>423</v>
      </c>
      <c r="U1634" s="1"/>
    </row>
    <row r="1635">
      <c r="A1635" s="218">
        <v>45250.92763164351</v>
      </c>
      <c r="B1635" s="1" t="s">
        <v>67</v>
      </c>
      <c r="C1635" s="1" t="s">
        <v>217</v>
      </c>
      <c r="D1635" s="1">
        <v>8.0</v>
      </c>
      <c r="E1635" s="1">
        <v>3.0</v>
      </c>
      <c r="F1635" s="1" t="s">
        <v>1688</v>
      </c>
      <c r="G1635" s="1" t="s">
        <v>833</v>
      </c>
      <c r="H1635" s="1" t="s">
        <v>59</v>
      </c>
      <c r="I1635" s="1"/>
      <c r="J1635" s="219">
        <v>1.5</v>
      </c>
      <c r="K1635" s="219">
        <v>-2.5</v>
      </c>
      <c r="L1635" s="219">
        <v>122.0</v>
      </c>
      <c r="M1635" s="219" t="s">
        <v>906</v>
      </c>
      <c r="N1635" s="1">
        <v>353.0</v>
      </c>
      <c r="O1635" s="1">
        <v>227.0</v>
      </c>
      <c r="P1635" s="1">
        <v>2.0</v>
      </c>
      <c r="Q1635" s="1" t="b">
        <v>0</v>
      </c>
      <c r="R1635" s="1">
        <v>100.0</v>
      </c>
      <c r="S1635" s="1" t="s">
        <v>354</v>
      </c>
      <c r="T1635" s="1" t="s">
        <v>422</v>
      </c>
      <c r="U1635" s="1"/>
    </row>
    <row r="1636">
      <c r="A1636" s="218">
        <v>45250.92763164351</v>
      </c>
      <c r="B1636" s="1" t="s">
        <v>67</v>
      </c>
      <c r="C1636" s="1" t="s">
        <v>222</v>
      </c>
      <c r="D1636" s="1">
        <v>3.0</v>
      </c>
      <c r="E1636" s="1">
        <v>8.0</v>
      </c>
      <c r="F1636" s="1" t="s">
        <v>1689</v>
      </c>
      <c r="G1636" s="1" t="s">
        <v>833</v>
      </c>
      <c r="H1636" s="1" t="s">
        <v>125</v>
      </c>
      <c r="I1636" s="1"/>
      <c r="J1636" s="219">
        <v>1.5</v>
      </c>
      <c r="K1636" s="219">
        <v>2.5</v>
      </c>
      <c r="L1636" s="219">
        <v>106.0</v>
      </c>
      <c r="M1636" s="219" t="s">
        <v>151</v>
      </c>
      <c r="N1636" s="1">
        <v>252.0</v>
      </c>
      <c r="O1636" s="1">
        <v>334.0</v>
      </c>
      <c r="P1636" s="1">
        <v>2.0</v>
      </c>
      <c r="Q1636" s="1" t="b">
        <v>0</v>
      </c>
      <c r="R1636" s="1">
        <v>100.0</v>
      </c>
      <c r="S1636" s="1" t="s">
        <v>282</v>
      </c>
      <c r="T1636" s="1" t="s">
        <v>422</v>
      </c>
      <c r="U1636" s="1"/>
    </row>
    <row r="1637">
      <c r="A1637" s="218">
        <v>45250.92763164351</v>
      </c>
      <c r="B1637" s="1" t="s">
        <v>67</v>
      </c>
      <c r="C1637" s="1" t="s">
        <v>225</v>
      </c>
      <c r="D1637" s="1">
        <v>9.0</v>
      </c>
      <c r="E1637" s="1">
        <v>2.0</v>
      </c>
      <c r="F1637" s="1" t="s">
        <v>1690</v>
      </c>
      <c r="G1637" s="1" t="s">
        <v>833</v>
      </c>
      <c r="H1637" s="1" t="s">
        <v>67</v>
      </c>
      <c r="I1637" s="1"/>
      <c r="J1637" s="219">
        <v>-35.5</v>
      </c>
      <c r="K1637" s="219">
        <v>-36.5</v>
      </c>
      <c r="L1637" s="219">
        <v>3500.0</v>
      </c>
      <c r="M1637" s="219" t="s">
        <v>971</v>
      </c>
      <c r="N1637" s="1">
        <v>401.0</v>
      </c>
      <c r="O1637" s="1">
        <v>261.0</v>
      </c>
      <c r="P1637" s="1">
        <v>2.0</v>
      </c>
      <c r="Q1637" s="1" t="b">
        <v>0</v>
      </c>
      <c r="R1637" s="1">
        <v>100.0</v>
      </c>
      <c r="S1637" s="1" t="s">
        <v>292</v>
      </c>
      <c r="T1637" s="1" t="s">
        <v>422</v>
      </c>
      <c r="U1637" s="1"/>
    </row>
    <row r="1638">
      <c r="A1638" s="218">
        <v>45250.92763164351</v>
      </c>
      <c r="B1638" s="1" t="s">
        <v>67</v>
      </c>
      <c r="C1638" s="1" t="s">
        <v>218</v>
      </c>
      <c r="D1638" s="1">
        <v>2.0</v>
      </c>
      <c r="E1638" s="1">
        <v>9.0</v>
      </c>
      <c r="F1638" s="1" t="s">
        <v>1690</v>
      </c>
      <c r="G1638" s="1" t="s">
        <v>833</v>
      </c>
      <c r="H1638" s="1" t="s">
        <v>67</v>
      </c>
      <c r="I1638" s="1"/>
      <c r="J1638" s="219">
        <v>35.5</v>
      </c>
      <c r="K1638" s="219">
        <v>36.5</v>
      </c>
      <c r="L1638" s="219">
        <v>3500.0</v>
      </c>
      <c r="M1638" s="219" t="s">
        <v>971</v>
      </c>
      <c r="N1638" s="1">
        <v>187.0</v>
      </c>
      <c r="O1638" s="1">
        <v>367.0</v>
      </c>
      <c r="P1638" s="1">
        <v>2.0</v>
      </c>
      <c r="Q1638" s="1" t="b">
        <v>1</v>
      </c>
      <c r="R1638" s="1">
        <v>100.0</v>
      </c>
      <c r="S1638" s="1" t="s">
        <v>353</v>
      </c>
      <c r="T1638" s="1" t="s">
        <v>423</v>
      </c>
      <c r="U1638" s="1"/>
    </row>
    <row r="1639">
      <c r="A1639" s="218">
        <v>45250.92763164351</v>
      </c>
      <c r="B1639" s="1" t="s">
        <v>67</v>
      </c>
      <c r="C1639" s="1" t="s">
        <v>226</v>
      </c>
      <c r="D1639" s="1">
        <v>6.0</v>
      </c>
      <c r="E1639" s="1">
        <v>5.0</v>
      </c>
      <c r="F1639" s="1" t="s">
        <v>1665</v>
      </c>
      <c r="G1639" s="1" t="s">
        <v>833</v>
      </c>
      <c r="H1639" s="1" t="s">
        <v>56</v>
      </c>
      <c r="I1639" s="1"/>
      <c r="J1639" s="219">
        <v>7.0</v>
      </c>
      <c r="K1639" s="219">
        <v>9.5</v>
      </c>
      <c r="L1639" s="219">
        <v>-420.0</v>
      </c>
      <c r="M1639" s="219" t="s">
        <v>874</v>
      </c>
      <c r="N1639" s="1">
        <v>282.0</v>
      </c>
      <c r="O1639" s="1">
        <v>272.0</v>
      </c>
      <c r="P1639" s="1">
        <v>2.0</v>
      </c>
      <c r="Q1639" s="1" t="b">
        <v>1</v>
      </c>
      <c r="R1639" s="1">
        <v>100.0</v>
      </c>
      <c r="S1639" s="1" t="s">
        <v>352</v>
      </c>
      <c r="T1639" s="1" t="s">
        <v>423</v>
      </c>
      <c r="U1639" s="1"/>
    </row>
    <row r="1640">
      <c r="A1640" s="218">
        <v>45250.92763164351</v>
      </c>
      <c r="B1640" s="1"/>
      <c r="C1640" s="1"/>
      <c r="D1640" s="1"/>
      <c r="E1640" s="1"/>
      <c r="F1640" s="1"/>
      <c r="G1640" s="218"/>
      <c r="H1640" s="1"/>
      <c r="I1640" s="1"/>
      <c r="J1640" s="219"/>
      <c r="K1640" s="219"/>
      <c r="L1640" s="219"/>
      <c r="M1640" s="219"/>
      <c r="N1640" s="1"/>
      <c r="O1640" s="1"/>
      <c r="P1640" s="1"/>
      <c r="Q1640" s="1"/>
      <c r="R1640" s="1"/>
      <c r="S1640" s="1" t="e">
        <v>#N/A</v>
      </c>
      <c r="T1640" s="1" t="e">
        <v>#N/A</v>
      </c>
      <c r="U1640" s="1"/>
    </row>
    <row r="1641">
      <c r="A1641" s="218">
        <v>45250.92763164351</v>
      </c>
      <c r="B1641" s="1" t="s">
        <v>59</v>
      </c>
      <c r="C1641" s="1" t="s">
        <v>232</v>
      </c>
      <c r="D1641" s="1">
        <v>6.0</v>
      </c>
      <c r="E1641" s="1">
        <v>5.0</v>
      </c>
      <c r="F1641" s="1" t="s">
        <v>1691</v>
      </c>
      <c r="G1641" s="1" t="s">
        <v>833</v>
      </c>
      <c r="H1641" s="1" t="s">
        <v>69</v>
      </c>
      <c r="I1641" s="1"/>
      <c r="J1641" s="219">
        <v>31.5</v>
      </c>
      <c r="K1641" s="219">
        <v>32.5</v>
      </c>
      <c r="L1641" s="219">
        <v>2000.0</v>
      </c>
      <c r="M1641" s="219" t="s">
        <v>1692</v>
      </c>
      <c r="N1641" s="1">
        <v>285.0</v>
      </c>
      <c r="O1641" s="1">
        <v>344.0</v>
      </c>
      <c r="P1641" s="1">
        <v>2.0</v>
      </c>
      <c r="Q1641" s="1" t="b">
        <v>0</v>
      </c>
      <c r="R1641" s="1">
        <v>100.0</v>
      </c>
      <c r="S1641" s="1" t="s">
        <v>355</v>
      </c>
      <c r="T1641" s="1" t="s">
        <v>423</v>
      </c>
      <c r="U1641" s="1"/>
    </row>
    <row r="1642">
      <c r="A1642" s="218">
        <v>45250.92763164351</v>
      </c>
      <c r="B1642" s="1" t="s">
        <v>59</v>
      </c>
      <c r="C1642" s="1" t="s">
        <v>229</v>
      </c>
      <c r="D1642" s="1">
        <v>6.0</v>
      </c>
      <c r="E1642" s="1">
        <v>5.0</v>
      </c>
      <c r="F1642" s="1" t="s">
        <v>1657</v>
      </c>
      <c r="G1642" s="1" t="s">
        <v>833</v>
      </c>
      <c r="H1642" s="1" t="s">
        <v>56</v>
      </c>
      <c r="I1642" s="1"/>
      <c r="J1642" s="219">
        <v>-6.5</v>
      </c>
      <c r="K1642" s="219">
        <v>-6.5</v>
      </c>
      <c r="L1642" s="219">
        <v>195.0</v>
      </c>
      <c r="M1642" s="219" t="s">
        <v>845</v>
      </c>
      <c r="N1642" s="1">
        <v>351.0</v>
      </c>
      <c r="O1642" s="1">
        <v>335.0</v>
      </c>
      <c r="P1642" s="1">
        <v>2.0</v>
      </c>
      <c r="Q1642" s="1" t="b">
        <v>1</v>
      </c>
      <c r="R1642" s="1">
        <v>100.0</v>
      </c>
      <c r="S1642" s="1" t="s">
        <v>301</v>
      </c>
      <c r="T1642" s="1" t="s">
        <v>422</v>
      </c>
      <c r="U1642" s="1"/>
    </row>
    <row r="1643">
      <c r="A1643" s="218">
        <v>45250.92763164351</v>
      </c>
      <c r="B1643" s="1" t="s">
        <v>59</v>
      </c>
      <c r="C1643" s="1" t="s">
        <v>237</v>
      </c>
      <c r="D1643" s="1">
        <v>9.0</v>
      </c>
      <c r="E1643" s="1">
        <v>2.0</v>
      </c>
      <c r="F1643" s="1" t="s">
        <v>1659</v>
      </c>
      <c r="G1643" s="1" t="s">
        <v>833</v>
      </c>
      <c r="H1643" s="1" t="s">
        <v>56</v>
      </c>
      <c r="I1643" s="1"/>
      <c r="J1643" s="219">
        <v>-10.5</v>
      </c>
      <c r="K1643" s="219">
        <v>-12.5</v>
      </c>
      <c r="L1643" s="219">
        <v>340.0</v>
      </c>
      <c r="M1643" s="219" t="s">
        <v>840</v>
      </c>
      <c r="N1643" s="1">
        <v>361.0</v>
      </c>
      <c r="O1643" s="1">
        <v>254.0</v>
      </c>
      <c r="P1643" s="1">
        <v>2.0</v>
      </c>
      <c r="Q1643" s="1" t="b">
        <v>1</v>
      </c>
      <c r="R1643" s="1">
        <v>100.0</v>
      </c>
      <c r="S1643" s="1" t="s">
        <v>292</v>
      </c>
      <c r="T1643" s="1" t="s">
        <v>422</v>
      </c>
      <c r="U1643" s="1"/>
    </row>
    <row r="1644">
      <c r="A1644" s="218">
        <v>45250.92763164351</v>
      </c>
      <c r="B1644" s="1" t="s">
        <v>59</v>
      </c>
      <c r="C1644" s="1" t="s">
        <v>227</v>
      </c>
      <c r="D1644" s="1">
        <v>6.0</v>
      </c>
      <c r="E1644" s="1">
        <v>5.0</v>
      </c>
      <c r="F1644" s="1" t="s">
        <v>1693</v>
      </c>
      <c r="G1644" s="1" t="s">
        <v>833</v>
      </c>
      <c r="H1644" s="1" t="s">
        <v>61</v>
      </c>
      <c r="I1644" s="1"/>
      <c r="J1644" s="219">
        <v>-4.5</v>
      </c>
      <c r="K1644" s="219">
        <v>-5.5</v>
      </c>
      <c r="L1644" s="219">
        <v>-200.0</v>
      </c>
      <c r="M1644" s="219" t="s">
        <v>908</v>
      </c>
      <c r="N1644" s="1">
        <v>357.0</v>
      </c>
      <c r="O1644" s="1">
        <v>284.0</v>
      </c>
      <c r="P1644" s="1">
        <v>2.0</v>
      </c>
      <c r="Q1644" s="1" t="b">
        <v>1</v>
      </c>
      <c r="R1644" s="1">
        <v>100.0</v>
      </c>
      <c r="S1644" s="1" t="s">
        <v>353</v>
      </c>
      <c r="T1644" s="1" t="s">
        <v>423</v>
      </c>
      <c r="U1644" s="1"/>
    </row>
    <row r="1645">
      <c r="A1645" s="218">
        <v>45250.92763164351</v>
      </c>
      <c r="B1645" s="1" t="s">
        <v>59</v>
      </c>
      <c r="C1645" s="1" t="s">
        <v>230</v>
      </c>
      <c r="D1645" s="1">
        <v>3.0</v>
      </c>
      <c r="E1645" s="1">
        <v>8.0</v>
      </c>
      <c r="F1645" s="1" t="s">
        <v>1687</v>
      </c>
      <c r="G1645" s="1" t="s">
        <v>833</v>
      </c>
      <c r="H1645" s="1" t="s">
        <v>67</v>
      </c>
      <c r="I1645" s="1"/>
      <c r="J1645" s="219">
        <v>12.5</v>
      </c>
      <c r="K1645" s="219">
        <v>13.5</v>
      </c>
      <c r="L1645" s="219">
        <v>420.0</v>
      </c>
      <c r="M1645" s="219" t="s">
        <v>969</v>
      </c>
      <c r="N1645" s="1">
        <v>246.0</v>
      </c>
      <c r="O1645" s="1">
        <v>366.0</v>
      </c>
      <c r="P1645" s="1">
        <v>2.0</v>
      </c>
      <c r="Q1645" s="1" t="b">
        <v>0</v>
      </c>
      <c r="R1645" s="1">
        <v>100.0</v>
      </c>
      <c r="S1645" s="1" t="s">
        <v>296</v>
      </c>
      <c r="T1645" s="1" t="s">
        <v>422</v>
      </c>
      <c r="U1645" s="1"/>
    </row>
    <row r="1646">
      <c r="A1646" s="218">
        <v>45250.92763164351</v>
      </c>
      <c r="B1646" s="1" t="s">
        <v>59</v>
      </c>
      <c r="C1646" s="1" t="s">
        <v>231</v>
      </c>
      <c r="D1646" s="1">
        <v>7.0</v>
      </c>
      <c r="E1646" s="1">
        <v>4.0</v>
      </c>
      <c r="F1646" s="1" t="s">
        <v>1688</v>
      </c>
      <c r="G1646" s="1" t="s">
        <v>833</v>
      </c>
      <c r="H1646" s="1" t="s">
        <v>67</v>
      </c>
      <c r="I1646" s="1"/>
      <c r="J1646" s="219">
        <v>-1.5</v>
      </c>
      <c r="K1646" s="219">
        <v>2.5</v>
      </c>
      <c r="L1646" s="219">
        <v>122.0</v>
      </c>
      <c r="M1646" s="219" t="s">
        <v>906</v>
      </c>
      <c r="N1646" s="1">
        <v>271.0</v>
      </c>
      <c r="O1646" s="1">
        <v>220.0</v>
      </c>
      <c r="P1646" s="1">
        <v>2.0</v>
      </c>
      <c r="Q1646" s="1" t="b">
        <v>1</v>
      </c>
      <c r="R1646" s="1">
        <v>100.0</v>
      </c>
      <c r="S1646" s="1" t="s">
        <v>354</v>
      </c>
      <c r="T1646" s="1" t="s">
        <v>422</v>
      </c>
      <c r="U1646" s="1"/>
    </row>
    <row r="1647">
      <c r="A1647" s="218">
        <v>45250.92763164351</v>
      </c>
      <c r="B1647" s="1" t="s">
        <v>59</v>
      </c>
      <c r="C1647" s="1" t="s">
        <v>209</v>
      </c>
      <c r="D1647" s="1">
        <v>11.0</v>
      </c>
      <c r="E1647" s="1">
        <v>0.0</v>
      </c>
      <c r="F1647" s="1" t="s">
        <v>1694</v>
      </c>
      <c r="G1647" s="1" t="s">
        <v>833</v>
      </c>
      <c r="H1647" s="1" t="s">
        <v>62</v>
      </c>
      <c r="I1647" s="1"/>
      <c r="J1647" s="219">
        <v>-21.5</v>
      </c>
      <c r="K1647" s="219">
        <v>-17.5</v>
      </c>
      <c r="L1647" s="219">
        <v>-1000.0</v>
      </c>
      <c r="M1647" s="219" t="s">
        <v>937</v>
      </c>
      <c r="N1647" s="1">
        <v>421.0</v>
      </c>
      <c r="O1647" s="1">
        <v>99.0</v>
      </c>
      <c r="P1647" s="1">
        <v>2.0</v>
      </c>
      <c r="Q1647" s="1" t="b">
        <v>1</v>
      </c>
      <c r="R1647" s="1">
        <v>100.0</v>
      </c>
      <c r="S1647" s="1" t="s">
        <v>282</v>
      </c>
      <c r="T1647" s="1" t="s">
        <v>422</v>
      </c>
      <c r="U1647" s="1"/>
    </row>
    <row r="1648">
      <c r="A1648" s="218">
        <v>45250.92763164351</v>
      </c>
      <c r="B1648" s="1" t="s">
        <v>59</v>
      </c>
      <c r="C1648" s="1" t="s">
        <v>236</v>
      </c>
      <c r="D1648" s="1">
        <v>2.0</v>
      </c>
      <c r="E1648" s="1">
        <v>9.0</v>
      </c>
      <c r="F1648" s="1" t="s">
        <v>1695</v>
      </c>
      <c r="G1648" s="1" t="s">
        <v>833</v>
      </c>
      <c r="H1648" s="1"/>
      <c r="I1648" s="1"/>
      <c r="J1648" s="219"/>
      <c r="K1648" s="219"/>
      <c r="L1648" s="219"/>
      <c r="M1648" s="219"/>
      <c r="N1648" s="1">
        <v>198.0</v>
      </c>
      <c r="O1648" s="1">
        <v>340.0</v>
      </c>
      <c r="P1648" s="1">
        <v>2.0</v>
      </c>
      <c r="Q1648" s="1" t="b">
        <v>0</v>
      </c>
      <c r="R1648" s="1">
        <v>100.0</v>
      </c>
      <c r="S1648" s="1" t="s">
        <v>351</v>
      </c>
      <c r="T1648" s="1" t="s">
        <v>423</v>
      </c>
      <c r="U1648" s="1"/>
    </row>
    <row r="1649">
      <c r="A1649" s="218">
        <v>45250.92763164351</v>
      </c>
      <c r="B1649" s="1" t="s">
        <v>59</v>
      </c>
      <c r="C1649" s="1" t="s">
        <v>234</v>
      </c>
      <c r="D1649" s="1">
        <v>5.0</v>
      </c>
      <c r="E1649" s="1">
        <v>5.0</v>
      </c>
      <c r="F1649" s="1" t="s">
        <v>1696</v>
      </c>
      <c r="G1649" s="1" t="s">
        <v>833</v>
      </c>
      <c r="H1649" s="1" t="s">
        <v>62</v>
      </c>
      <c r="I1649" s="1"/>
      <c r="J1649" s="219">
        <v>-3.0</v>
      </c>
      <c r="K1649" s="219">
        <v>-2.5</v>
      </c>
      <c r="L1649" s="219">
        <v>112.0</v>
      </c>
      <c r="M1649" s="219" t="s">
        <v>1498</v>
      </c>
      <c r="N1649" s="1">
        <v>187.0</v>
      </c>
      <c r="O1649" s="1">
        <v>193.0</v>
      </c>
      <c r="P1649" s="1">
        <v>2.0</v>
      </c>
      <c r="Q1649" s="1" t="b">
        <v>1</v>
      </c>
      <c r="R1649" s="1">
        <v>100.0</v>
      </c>
      <c r="S1649" s="1" t="s">
        <v>407</v>
      </c>
      <c r="T1649" s="1" t="s">
        <v>423</v>
      </c>
      <c r="U1649" s="1"/>
    </row>
    <row r="1650">
      <c r="A1650" s="218">
        <v>45250.92763164351</v>
      </c>
      <c r="B1650" s="1" t="s">
        <v>59</v>
      </c>
      <c r="C1650" s="1" t="s">
        <v>238</v>
      </c>
      <c r="D1650" s="1">
        <v>5.0</v>
      </c>
      <c r="E1650" s="1">
        <v>6.0</v>
      </c>
      <c r="F1650" s="1" t="s">
        <v>1675</v>
      </c>
      <c r="G1650" s="1" t="s">
        <v>887</v>
      </c>
      <c r="H1650" s="1" t="s">
        <v>46</v>
      </c>
      <c r="I1650" s="1"/>
      <c r="J1650" s="219"/>
      <c r="K1650" s="219"/>
      <c r="L1650" s="219"/>
      <c r="M1650" s="219"/>
      <c r="N1650" s="1">
        <v>220.0</v>
      </c>
      <c r="O1650" s="1">
        <v>277.0</v>
      </c>
      <c r="P1650" s="1">
        <v>2.0</v>
      </c>
      <c r="Q1650" s="1" t="b">
        <v>0</v>
      </c>
      <c r="R1650" s="1">
        <v>100.0</v>
      </c>
      <c r="S1650" s="1" t="s">
        <v>352</v>
      </c>
      <c r="T1650" s="1" t="s">
        <v>423</v>
      </c>
      <c r="U1650" s="1"/>
    </row>
    <row r="1651">
      <c r="A1651" s="218">
        <v>45250.92763164351</v>
      </c>
      <c r="B1651" s="1"/>
      <c r="C1651" s="1"/>
      <c r="D1651" s="1"/>
      <c r="E1651" s="1"/>
      <c r="F1651" s="1"/>
      <c r="G1651" s="218"/>
      <c r="H1651" s="1"/>
      <c r="I1651" s="1"/>
      <c r="J1651" s="219"/>
      <c r="K1651" s="219"/>
      <c r="L1651" s="219"/>
      <c r="M1651" s="219"/>
      <c r="N1651" s="1"/>
      <c r="O1651" s="1"/>
      <c r="P1651" s="1"/>
      <c r="Q1651" s="1"/>
      <c r="R1651" s="1"/>
      <c r="S1651" s="1" t="e">
        <v>#N/A</v>
      </c>
      <c r="T1651" s="1" t="e">
        <v>#N/A</v>
      </c>
      <c r="U1651" s="1"/>
    </row>
    <row r="1652">
      <c r="A1652" s="218">
        <v>45250.92763164351</v>
      </c>
      <c r="B1652" s="1" t="s">
        <v>62</v>
      </c>
      <c r="C1652" s="1" t="s">
        <v>241</v>
      </c>
      <c r="D1652" s="1">
        <v>8.0</v>
      </c>
      <c r="E1652" s="1">
        <v>3.0</v>
      </c>
      <c r="F1652" s="1" t="s">
        <v>1636</v>
      </c>
      <c r="G1652" s="1" t="s">
        <v>833</v>
      </c>
      <c r="H1652" s="1" t="s">
        <v>35</v>
      </c>
      <c r="I1652" s="1"/>
      <c r="J1652" s="219">
        <v>-24.5</v>
      </c>
      <c r="K1652" s="219">
        <v>-22.5</v>
      </c>
      <c r="L1652" s="219">
        <v>980.0</v>
      </c>
      <c r="M1652" s="219" t="s">
        <v>203</v>
      </c>
      <c r="N1652" s="1">
        <v>341.0</v>
      </c>
      <c r="O1652" s="1">
        <v>262.0</v>
      </c>
      <c r="P1652" s="1">
        <v>2.0</v>
      </c>
      <c r="Q1652" s="1" t="b">
        <v>1</v>
      </c>
      <c r="R1652" s="1">
        <v>100.0</v>
      </c>
      <c r="S1652" s="1" t="s">
        <v>353</v>
      </c>
      <c r="T1652" s="1" t="s">
        <v>423</v>
      </c>
      <c r="U1652" s="1"/>
    </row>
    <row r="1653">
      <c r="A1653" s="218">
        <v>45250.92763164351</v>
      </c>
      <c r="B1653" s="1" t="s">
        <v>62</v>
      </c>
      <c r="C1653" s="1" t="s">
        <v>247</v>
      </c>
      <c r="D1653" s="1">
        <v>8.0</v>
      </c>
      <c r="E1653" s="1">
        <v>3.0</v>
      </c>
      <c r="F1653" s="1" t="s">
        <v>1670</v>
      </c>
      <c r="G1653" s="1" t="s">
        <v>833</v>
      </c>
      <c r="H1653" s="1" t="s">
        <v>46</v>
      </c>
      <c r="I1653" s="1"/>
      <c r="J1653" s="219">
        <v>2.5</v>
      </c>
      <c r="K1653" s="219">
        <v>-1.5</v>
      </c>
      <c r="L1653" s="219">
        <v>-100.0</v>
      </c>
      <c r="M1653" s="219" t="s">
        <v>994</v>
      </c>
      <c r="N1653" s="1">
        <v>399.0</v>
      </c>
      <c r="O1653" s="1">
        <v>227.0</v>
      </c>
      <c r="P1653" s="1">
        <v>2.0</v>
      </c>
      <c r="Q1653" s="1" t="b">
        <v>0</v>
      </c>
      <c r="R1653" s="1">
        <v>100.0</v>
      </c>
      <c r="S1653" s="1" t="s">
        <v>354</v>
      </c>
      <c r="T1653" s="1" t="s">
        <v>422</v>
      </c>
      <c r="U1653" s="1"/>
    </row>
    <row r="1654">
      <c r="A1654" s="218">
        <v>45250.92763164351</v>
      </c>
      <c r="B1654" s="1" t="s">
        <v>62</v>
      </c>
      <c r="C1654" s="1" t="s">
        <v>245</v>
      </c>
      <c r="D1654" s="1">
        <v>6.0</v>
      </c>
      <c r="E1654" s="1">
        <v>5.0</v>
      </c>
      <c r="F1654" s="1" t="s">
        <v>1697</v>
      </c>
      <c r="G1654" s="1" t="s">
        <v>833</v>
      </c>
      <c r="H1654" s="1" t="s">
        <v>61</v>
      </c>
      <c r="I1654" s="1"/>
      <c r="J1654" s="219">
        <v>-7.5</v>
      </c>
      <c r="K1654" s="219">
        <v>-5.5</v>
      </c>
      <c r="L1654" s="219">
        <v>164.0</v>
      </c>
      <c r="M1654" s="219" t="s">
        <v>994</v>
      </c>
      <c r="N1654" s="1">
        <v>344.0</v>
      </c>
      <c r="O1654" s="1">
        <v>300.0</v>
      </c>
      <c r="P1654" s="1">
        <v>2.0</v>
      </c>
      <c r="Q1654" s="1" t="b">
        <v>0</v>
      </c>
      <c r="R1654" s="1">
        <v>100.0</v>
      </c>
      <c r="S1654" s="1" t="s">
        <v>355</v>
      </c>
      <c r="T1654" s="1" t="s">
        <v>423</v>
      </c>
      <c r="U1654" s="1"/>
    </row>
    <row r="1655">
      <c r="A1655" s="218">
        <v>45250.92763164351</v>
      </c>
      <c r="B1655" s="1" t="s">
        <v>62</v>
      </c>
      <c r="C1655" s="1" t="s">
        <v>215</v>
      </c>
      <c r="D1655" s="1">
        <v>6.0</v>
      </c>
      <c r="E1655" s="1">
        <v>5.0</v>
      </c>
      <c r="F1655" s="1" t="s">
        <v>1639</v>
      </c>
      <c r="G1655" s="1" t="s">
        <v>833</v>
      </c>
      <c r="H1655" s="1" t="s">
        <v>35</v>
      </c>
      <c r="I1655" s="1"/>
      <c r="J1655" s="219">
        <v>-12.5</v>
      </c>
      <c r="K1655" s="219">
        <v>-10.5</v>
      </c>
      <c r="L1655" s="219">
        <v>300.0</v>
      </c>
      <c r="M1655" s="219" t="s">
        <v>73</v>
      </c>
      <c r="N1655" s="1">
        <v>317.0</v>
      </c>
      <c r="O1655" s="1">
        <v>310.0</v>
      </c>
      <c r="P1655" s="1">
        <v>2.0</v>
      </c>
      <c r="Q1655" s="1" t="b">
        <v>1</v>
      </c>
      <c r="R1655" s="1">
        <v>100.0</v>
      </c>
      <c r="S1655" s="1" t="s">
        <v>351</v>
      </c>
      <c r="T1655" s="1" t="s">
        <v>423</v>
      </c>
      <c r="U1655" s="1"/>
    </row>
    <row r="1656">
      <c r="A1656" s="218">
        <v>45250.92763164351</v>
      </c>
      <c r="B1656" s="1" t="s">
        <v>62</v>
      </c>
      <c r="C1656" s="1" t="s">
        <v>242</v>
      </c>
      <c r="D1656" s="1">
        <v>3.0</v>
      </c>
      <c r="E1656" s="1">
        <v>8.0</v>
      </c>
      <c r="F1656" s="1" t="s">
        <v>1698</v>
      </c>
      <c r="G1656" s="1" t="s">
        <v>833</v>
      </c>
      <c r="H1656" s="1"/>
      <c r="I1656" s="1"/>
      <c r="J1656" s="219">
        <v>6.5</v>
      </c>
      <c r="K1656" s="219">
        <v>5.5</v>
      </c>
      <c r="L1656" s="219">
        <v>162.0</v>
      </c>
      <c r="M1656" s="219" t="s">
        <v>73</v>
      </c>
      <c r="N1656" s="1">
        <v>273.0</v>
      </c>
      <c r="O1656" s="1">
        <v>311.0</v>
      </c>
      <c r="P1656" s="1">
        <v>2.0</v>
      </c>
      <c r="Q1656" s="1" t="b">
        <v>1</v>
      </c>
      <c r="R1656" s="1">
        <v>100.0</v>
      </c>
      <c r="S1656" s="1" t="s">
        <v>296</v>
      </c>
      <c r="T1656" s="1" t="s">
        <v>422</v>
      </c>
      <c r="U1656" s="1"/>
    </row>
    <row r="1657">
      <c r="A1657" s="218">
        <v>45250.92763164351</v>
      </c>
      <c r="B1657" s="1" t="s">
        <v>62</v>
      </c>
      <c r="C1657" s="1" t="s">
        <v>244</v>
      </c>
      <c r="D1657" s="1">
        <v>6.0</v>
      </c>
      <c r="E1657" s="1">
        <v>5.0</v>
      </c>
      <c r="F1657" s="1" t="s">
        <v>1694</v>
      </c>
      <c r="G1657" s="1" t="s">
        <v>833</v>
      </c>
      <c r="H1657" s="1" t="s">
        <v>59</v>
      </c>
      <c r="I1657" s="1"/>
      <c r="J1657" s="219">
        <v>21.5</v>
      </c>
      <c r="K1657" s="219">
        <v>17.5</v>
      </c>
      <c r="L1657" s="219">
        <v>-1000.0</v>
      </c>
      <c r="M1657" s="219" t="s">
        <v>937</v>
      </c>
      <c r="N1657" s="1">
        <v>313.0</v>
      </c>
      <c r="O1657" s="1">
        <v>255.0</v>
      </c>
      <c r="P1657" s="1">
        <v>2.0</v>
      </c>
      <c r="Q1657" s="1" t="b">
        <v>0</v>
      </c>
      <c r="R1657" s="1">
        <v>100.0</v>
      </c>
      <c r="S1657" s="1" t="s">
        <v>282</v>
      </c>
      <c r="T1657" s="1" t="s">
        <v>422</v>
      </c>
      <c r="U1657" s="1"/>
    </row>
    <row r="1658">
      <c r="A1658" s="218">
        <v>45250.92763164351</v>
      </c>
      <c r="B1658" s="1" t="s">
        <v>62</v>
      </c>
      <c r="C1658" s="1" t="s">
        <v>249</v>
      </c>
      <c r="D1658" s="1">
        <v>5.0</v>
      </c>
      <c r="E1658" s="1">
        <v>6.0</v>
      </c>
      <c r="F1658" s="1" t="s">
        <v>1679</v>
      </c>
      <c r="G1658" s="1" t="s">
        <v>833</v>
      </c>
      <c r="H1658" s="1" t="s">
        <v>70</v>
      </c>
      <c r="I1658" s="1"/>
      <c r="J1658" s="219">
        <v>-13.5</v>
      </c>
      <c r="K1658" s="219">
        <v>-17.5</v>
      </c>
      <c r="L1658" s="219">
        <v>550.0</v>
      </c>
      <c r="M1658" s="219" t="s">
        <v>151</v>
      </c>
      <c r="N1658" s="1">
        <v>255.0</v>
      </c>
      <c r="O1658" s="1">
        <v>302.0</v>
      </c>
      <c r="P1658" s="1">
        <v>2.0</v>
      </c>
      <c r="Q1658" s="1" t="b">
        <v>1</v>
      </c>
      <c r="R1658" s="1">
        <v>100.0</v>
      </c>
      <c r="S1658" s="1" t="s">
        <v>292</v>
      </c>
      <c r="T1658" s="1" t="s">
        <v>422</v>
      </c>
      <c r="U1658" s="1"/>
    </row>
    <row r="1659">
      <c r="A1659" s="218">
        <v>45250.92763164351</v>
      </c>
      <c r="B1659" s="1" t="s">
        <v>62</v>
      </c>
      <c r="C1659" s="1" t="s">
        <v>246</v>
      </c>
      <c r="D1659" s="1">
        <v>2.0</v>
      </c>
      <c r="E1659" s="1">
        <v>9.0</v>
      </c>
      <c r="F1659" s="1" t="s">
        <v>1696</v>
      </c>
      <c r="G1659" s="1" t="s">
        <v>833</v>
      </c>
      <c r="H1659" s="1" t="s">
        <v>59</v>
      </c>
      <c r="I1659" s="1"/>
      <c r="J1659" s="219">
        <v>3.0</v>
      </c>
      <c r="K1659" s="219">
        <v>2.5</v>
      </c>
      <c r="L1659" s="219">
        <v>112.0</v>
      </c>
      <c r="M1659" s="219" t="s">
        <v>1498</v>
      </c>
      <c r="N1659" s="1">
        <v>181.0</v>
      </c>
      <c r="O1659" s="1">
        <v>240.0</v>
      </c>
      <c r="P1659" s="1">
        <v>2.0</v>
      </c>
      <c r="Q1659" s="1" t="b">
        <v>0</v>
      </c>
      <c r="R1659" s="1">
        <v>100.0</v>
      </c>
      <c r="S1659" s="1" t="s">
        <v>407</v>
      </c>
      <c r="T1659" s="1" t="s">
        <v>423</v>
      </c>
      <c r="U1659" s="1"/>
    </row>
    <row r="1660">
      <c r="A1660" s="218">
        <v>45250.92763164351</v>
      </c>
      <c r="B1660" s="1" t="s">
        <v>62</v>
      </c>
      <c r="C1660" s="1" t="s">
        <v>248</v>
      </c>
      <c r="D1660" s="1">
        <v>6.0</v>
      </c>
      <c r="E1660" s="1">
        <v>5.0</v>
      </c>
      <c r="F1660" s="1" t="s">
        <v>1699</v>
      </c>
      <c r="G1660" s="1" t="s">
        <v>833</v>
      </c>
      <c r="H1660" s="1" t="s">
        <v>69</v>
      </c>
      <c r="I1660" s="1"/>
      <c r="J1660" s="219">
        <v>-1.5</v>
      </c>
      <c r="K1660" s="219">
        <v>1.5</v>
      </c>
      <c r="L1660" s="219">
        <v>112.0</v>
      </c>
      <c r="M1660" s="219" t="s">
        <v>906</v>
      </c>
      <c r="N1660" s="1">
        <v>280.0</v>
      </c>
      <c r="O1660" s="1">
        <v>309.0</v>
      </c>
      <c r="P1660" s="1">
        <v>2.0</v>
      </c>
      <c r="Q1660" s="1" t="b">
        <v>1</v>
      </c>
      <c r="R1660" s="1">
        <v>100.0</v>
      </c>
      <c r="S1660" s="1" t="s">
        <v>301</v>
      </c>
      <c r="T1660" s="1" t="s">
        <v>422</v>
      </c>
      <c r="U1660" s="1"/>
    </row>
    <row r="1661">
      <c r="A1661" s="218">
        <v>45250.92763164351</v>
      </c>
      <c r="B1661" s="1" t="s">
        <v>62</v>
      </c>
      <c r="C1661" s="1" t="s">
        <v>240</v>
      </c>
      <c r="D1661" s="1">
        <v>9.0</v>
      </c>
      <c r="E1661" s="1">
        <v>2.0</v>
      </c>
      <c r="F1661" s="1" t="s">
        <v>1681</v>
      </c>
      <c r="G1661" s="1" t="s">
        <v>833</v>
      </c>
      <c r="H1661" s="1" t="s">
        <v>70</v>
      </c>
      <c r="I1661" s="1"/>
      <c r="J1661" s="219"/>
      <c r="K1661" s="219"/>
      <c r="L1661" s="219"/>
      <c r="M1661" s="219"/>
      <c r="N1661" s="1">
        <v>310.0</v>
      </c>
      <c r="O1661" s="1">
        <v>181.0</v>
      </c>
      <c r="P1661" s="1">
        <v>2.0</v>
      </c>
      <c r="Q1661" s="1" t="b">
        <v>1</v>
      </c>
      <c r="R1661" s="1">
        <v>100.0</v>
      </c>
      <c r="S1661" s="1" t="s">
        <v>352</v>
      </c>
      <c r="T1661" s="1" t="s">
        <v>423</v>
      </c>
      <c r="U1661" s="1"/>
    </row>
    <row r="1662">
      <c r="A1662" s="218">
        <v>45250.92763164351</v>
      </c>
      <c r="B1662" s="1"/>
      <c r="C1662" s="1"/>
      <c r="D1662" s="1"/>
      <c r="E1662" s="1"/>
      <c r="F1662" s="1"/>
      <c r="G1662" s="218"/>
      <c r="H1662" s="1"/>
      <c r="I1662" s="1"/>
      <c r="J1662" s="219"/>
      <c r="K1662" s="219"/>
      <c r="L1662" s="219"/>
      <c r="M1662" s="219"/>
      <c r="N1662" s="1"/>
      <c r="O1662" s="1"/>
      <c r="P1662" s="1"/>
      <c r="Q1662" s="1"/>
      <c r="R1662" s="1"/>
      <c r="S1662" s="1" t="e">
        <v>#N/A</v>
      </c>
      <c r="T1662" s="1" t="e">
        <v>#N/A</v>
      </c>
      <c r="U1662" s="1"/>
    </row>
    <row r="1663">
      <c r="A1663" s="218">
        <v>45250.92763164351</v>
      </c>
      <c r="B1663" s="1" t="s">
        <v>69</v>
      </c>
      <c r="C1663" s="1" t="s">
        <v>219</v>
      </c>
      <c r="D1663" s="1">
        <v>8.0</v>
      </c>
      <c r="E1663" s="1">
        <v>3.0</v>
      </c>
      <c r="F1663" s="1" t="s">
        <v>1691</v>
      </c>
      <c r="G1663" s="1" t="s">
        <v>833</v>
      </c>
      <c r="H1663" s="1" t="s">
        <v>59</v>
      </c>
      <c r="I1663" s="1"/>
      <c r="J1663" s="219">
        <v>-31.5</v>
      </c>
      <c r="K1663" s="219">
        <v>-32.5</v>
      </c>
      <c r="L1663" s="219">
        <v>2000.0</v>
      </c>
      <c r="M1663" s="219" t="s">
        <v>1692</v>
      </c>
      <c r="N1663" s="1">
        <v>515.0</v>
      </c>
      <c r="O1663" s="1">
        <v>303.0</v>
      </c>
      <c r="P1663" s="1">
        <v>2.0</v>
      </c>
      <c r="Q1663" s="1" t="b">
        <v>1</v>
      </c>
      <c r="R1663" s="1">
        <v>100.0</v>
      </c>
      <c r="S1663" s="1" t="s">
        <v>292</v>
      </c>
      <c r="T1663" s="1" t="s">
        <v>422</v>
      </c>
      <c r="U1663" s="1"/>
    </row>
    <row r="1664">
      <c r="A1664" s="218">
        <v>45250.92763164351</v>
      </c>
      <c r="B1664" s="1" t="s">
        <v>69</v>
      </c>
      <c r="C1664" s="1" t="s">
        <v>251</v>
      </c>
      <c r="D1664" s="1">
        <v>5.0</v>
      </c>
      <c r="E1664" s="1">
        <v>6.0</v>
      </c>
      <c r="F1664" s="1" t="s">
        <v>1676</v>
      </c>
      <c r="G1664" s="1" t="s">
        <v>833</v>
      </c>
      <c r="H1664" s="1" t="s">
        <v>70</v>
      </c>
      <c r="I1664" s="1"/>
      <c r="J1664" s="219">
        <v>-4.5</v>
      </c>
      <c r="K1664" s="219">
        <v>-6.5</v>
      </c>
      <c r="L1664" s="219">
        <v>-255.0</v>
      </c>
      <c r="M1664" s="219" t="s">
        <v>114</v>
      </c>
      <c r="N1664" s="1">
        <v>346.0</v>
      </c>
      <c r="O1664" s="1">
        <v>385.0</v>
      </c>
      <c r="P1664" s="1">
        <v>2.0</v>
      </c>
      <c r="Q1664" s="1" t="b">
        <v>0</v>
      </c>
      <c r="R1664" s="1">
        <v>100.0</v>
      </c>
      <c r="S1664" s="1" t="s">
        <v>354</v>
      </c>
      <c r="T1664" s="1" t="s">
        <v>422</v>
      </c>
      <c r="U1664" s="1"/>
    </row>
    <row r="1665">
      <c r="A1665" s="218">
        <v>45250.92763164351</v>
      </c>
      <c r="B1665" s="1" t="s">
        <v>69</v>
      </c>
      <c r="C1665" s="1" t="s">
        <v>257</v>
      </c>
      <c r="D1665" s="1">
        <v>5.0</v>
      </c>
      <c r="E1665" s="1">
        <v>6.0</v>
      </c>
      <c r="F1665" s="1" t="s">
        <v>1672</v>
      </c>
      <c r="G1665" s="1" t="s">
        <v>833</v>
      </c>
      <c r="H1665" s="1" t="s">
        <v>46</v>
      </c>
      <c r="I1665" s="1"/>
      <c r="J1665" s="219">
        <v>3.5</v>
      </c>
      <c r="K1665" s="219">
        <v>2.5</v>
      </c>
      <c r="L1665" s="219">
        <v>106.0</v>
      </c>
      <c r="M1665" s="219" t="s">
        <v>994</v>
      </c>
      <c r="N1665" s="1">
        <v>363.0</v>
      </c>
      <c r="O1665" s="1">
        <v>292.0</v>
      </c>
      <c r="P1665" s="1">
        <v>2.0</v>
      </c>
      <c r="Q1665" s="1" t="b">
        <v>0</v>
      </c>
      <c r="R1665" s="1">
        <v>100.0</v>
      </c>
      <c r="S1665" s="1" t="s">
        <v>296</v>
      </c>
      <c r="T1665" s="1" t="s">
        <v>422</v>
      </c>
      <c r="U1665" s="1"/>
    </row>
    <row r="1666">
      <c r="A1666" s="218">
        <v>45250.92763164351</v>
      </c>
      <c r="B1666" s="1" t="s">
        <v>69</v>
      </c>
      <c r="C1666" s="1" t="s">
        <v>243</v>
      </c>
      <c r="D1666" s="1">
        <v>8.0</v>
      </c>
      <c r="E1666" s="1">
        <v>3.0</v>
      </c>
      <c r="F1666" s="1" t="s">
        <v>1684</v>
      </c>
      <c r="G1666" s="1" t="s">
        <v>833</v>
      </c>
      <c r="H1666" s="1" t="s">
        <v>57</v>
      </c>
      <c r="I1666" s="1"/>
      <c r="J1666" s="219">
        <v>-3.5</v>
      </c>
      <c r="K1666" s="219">
        <v>-2.5</v>
      </c>
      <c r="L1666" s="219">
        <v>116.0</v>
      </c>
      <c r="M1666" s="219" t="s">
        <v>852</v>
      </c>
      <c r="N1666" s="1">
        <v>312.0</v>
      </c>
      <c r="O1666" s="1">
        <v>188.0</v>
      </c>
      <c r="P1666" s="1">
        <v>2.0</v>
      </c>
      <c r="Q1666" s="1" t="b">
        <v>0</v>
      </c>
      <c r="R1666" s="1">
        <v>100.0</v>
      </c>
      <c r="S1666" s="1" t="s">
        <v>353</v>
      </c>
      <c r="T1666" s="1" t="s">
        <v>423</v>
      </c>
      <c r="U1666" s="1"/>
    </row>
    <row r="1667">
      <c r="A1667" s="218">
        <v>45250.92763164351</v>
      </c>
      <c r="B1667" s="1" t="s">
        <v>69</v>
      </c>
      <c r="C1667" s="1" t="s">
        <v>254</v>
      </c>
      <c r="D1667" s="1">
        <v>6.0</v>
      </c>
      <c r="E1667" s="1">
        <v>5.0</v>
      </c>
      <c r="F1667" s="1" t="s">
        <v>1660</v>
      </c>
      <c r="G1667" s="1" t="s">
        <v>833</v>
      </c>
      <c r="H1667" s="1" t="s">
        <v>56</v>
      </c>
      <c r="I1667" s="1"/>
      <c r="J1667" s="219">
        <v>4.5</v>
      </c>
      <c r="K1667" s="219">
        <v>3.5</v>
      </c>
      <c r="L1667" s="219">
        <v>-164.0</v>
      </c>
      <c r="M1667" s="219" t="s">
        <v>954</v>
      </c>
      <c r="N1667" s="1">
        <v>312.0</v>
      </c>
      <c r="O1667" s="1">
        <v>339.0</v>
      </c>
      <c r="P1667" s="1">
        <v>2.0</v>
      </c>
      <c r="Q1667" s="1" t="b">
        <v>1</v>
      </c>
      <c r="R1667" s="1">
        <v>100.0</v>
      </c>
      <c r="S1667" s="1" t="s">
        <v>355</v>
      </c>
      <c r="T1667" s="1" t="s">
        <v>423</v>
      </c>
      <c r="U1667" s="1"/>
    </row>
    <row r="1668">
      <c r="A1668" s="218">
        <v>45250.92763164351</v>
      </c>
      <c r="B1668" s="1" t="s">
        <v>69</v>
      </c>
      <c r="C1668" s="1" t="s">
        <v>252</v>
      </c>
      <c r="D1668" s="1">
        <v>3.0</v>
      </c>
      <c r="E1668" s="1">
        <v>8.0</v>
      </c>
      <c r="F1668" s="1" t="s">
        <v>1700</v>
      </c>
      <c r="G1668" s="1" t="s">
        <v>833</v>
      </c>
      <c r="H1668" s="1" t="s">
        <v>125</v>
      </c>
      <c r="I1668" s="1"/>
      <c r="J1668" s="219">
        <v>2.5</v>
      </c>
      <c r="K1668" s="219">
        <v>0.5</v>
      </c>
      <c r="L1668" s="219">
        <v>-111.0</v>
      </c>
      <c r="M1668" s="219" t="s">
        <v>852</v>
      </c>
      <c r="N1668" s="1">
        <v>196.0</v>
      </c>
      <c r="O1668" s="1">
        <v>295.0</v>
      </c>
      <c r="P1668" s="1">
        <v>2.0</v>
      </c>
      <c r="Q1668" s="1" t="b">
        <v>0</v>
      </c>
      <c r="R1668" s="1">
        <v>100.0</v>
      </c>
      <c r="S1668" s="1" t="s">
        <v>352</v>
      </c>
      <c r="T1668" s="1" t="s">
        <v>423</v>
      </c>
      <c r="U1668" s="1"/>
    </row>
    <row r="1669">
      <c r="A1669" s="218">
        <v>45250.92763164351</v>
      </c>
      <c r="B1669" s="1" t="s">
        <v>69</v>
      </c>
      <c r="C1669" s="1" t="s">
        <v>250</v>
      </c>
      <c r="D1669" s="1">
        <v>3.0</v>
      </c>
      <c r="E1669" s="1">
        <v>9.0</v>
      </c>
      <c r="F1669" s="1" t="s">
        <v>1701</v>
      </c>
      <c r="G1669" s="1" t="s">
        <v>833</v>
      </c>
      <c r="H1669" s="1" t="s">
        <v>125</v>
      </c>
      <c r="I1669" s="1"/>
      <c r="J1669" s="219">
        <v>8.5</v>
      </c>
      <c r="K1669" s="219">
        <v>8.5</v>
      </c>
      <c r="L1669" s="219">
        <v>285.0</v>
      </c>
      <c r="M1669" s="219" t="s">
        <v>840</v>
      </c>
      <c r="N1669" s="1">
        <v>311.0</v>
      </c>
      <c r="O1669" s="1">
        <v>401.0</v>
      </c>
      <c r="P1669" s="1">
        <v>2.0</v>
      </c>
      <c r="Q1669" s="1" t="b">
        <v>0</v>
      </c>
      <c r="R1669" s="1">
        <v>100.0</v>
      </c>
      <c r="S1669" s="1" t="s">
        <v>351</v>
      </c>
      <c r="T1669" s="1" t="s">
        <v>423</v>
      </c>
      <c r="U1669" s="1"/>
    </row>
    <row r="1670">
      <c r="A1670" s="218">
        <v>45250.92763164351</v>
      </c>
      <c r="B1670" s="1" t="s">
        <v>69</v>
      </c>
      <c r="C1670" s="1" t="s">
        <v>253</v>
      </c>
      <c r="D1670" s="1">
        <v>5.0</v>
      </c>
      <c r="E1670" s="1">
        <v>6.0</v>
      </c>
      <c r="F1670" s="1" t="s">
        <v>1680</v>
      </c>
      <c r="G1670" s="1" t="s">
        <v>833</v>
      </c>
      <c r="H1670" s="1" t="s">
        <v>70</v>
      </c>
      <c r="I1670" s="1"/>
      <c r="J1670" s="219">
        <v>16.5</v>
      </c>
      <c r="K1670" s="219">
        <v>14.5</v>
      </c>
      <c r="L1670" s="219">
        <v>520.0</v>
      </c>
      <c r="M1670" s="219" t="s">
        <v>1363</v>
      </c>
      <c r="N1670" s="1">
        <v>322.0</v>
      </c>
      <c r="O1670" s="1">
        <v>405.0</v>
      </c>
      <c r="P1670" s="1">
        <v>2.0</v>
      </c>
      <c r="Q1670" s="1" t="b">
        <v>0</v>
      </c>
      <c r="R1670" s="1">
        <v>100.0</v>
      </c>
      <c r="S1670" s="1" t="s">
        <v>407</v>
      </c>
      <c r="T1670" s="1" t="s">
        <v>423</v>
      </c>
      <c r="U1670" s="1"/>
    </row>
    <row r="1671">
      <c r="A1671" s="218">
        <v>45250.92763164351</v>
      </c>
      <c r="B1671" s="1" t="s">
        <v>69</v>
      </c>
      <c r="C1671" s="1" t="s">
        <v>256</v>
      </c>
      <c r="D1671" s="1">
        <v>3.0</v>
      </c>
      <c r="E1671" s="1">
        <v>8.0</v>
      </c>
      <c r="F1671" s="1" t="s">
        <v>1699</v>
      </c>
      <c r="G1671" s="1" t="s">
        <v>833</v>
      </c>
      <c r="H1671" s="1" t="s">
        <v>62</v>
      </c>
      <c r="I1671" s="1"/>
      <c r="J1671" s="219">
        <v>1.5</v>
      </c>
      <c r="K1671" s="219">
        <v>-1.5</v>
      </c>
      <c r="L1671" s="219">
        <v>112.0</v>
      </c>
      <c r="M1671" s="219" t="s">
        <v>906</v>
      </c>
      <c r="N1671" s="1">
        <v>223.0</v>
      </c>
      <c r="O1671" s="1">
        <v>298.0</v>
      </c>
      <c r="P1671" s="1">
        <v>2.0</v>
      </c>
      <c r="Q1671" s="1" t="b">
        <v>0</v>
      </c>
      <c r="R1671" s="1">
        <v>100.0</v>
      </c>
      <c r="S1671" s="1" t="s">
        <v>301</v>
      </c>
      <c r="T1671" s="1" t="s">
        <v>422</v>
      </c>
      <c r="U1671" s="1"/>
    </row>
    <row r="1672">
      <c r="A1672" s="218">
        <v>45250.92763164351</v>
      </c>
      <c r="B1672" s="1" t="s">
        <v>69</v>
      </c>
      <c r="C1672" s="1" t="s">
        <v>255</v>
      </c>
      <c r="D1672" s="1">
        <v>6.0</v>
      </c>
      <c r="E1672" s="1">
        <v>5.0</v>
      </c>
      <c r="F1672" s="1" t="s">
        <v>1644</v>
      </c>
      <c r="G1672" s="1" t="s">
        <v>856</v>
      </c>
      <c r="H1672" s="1" t="s">
        <v>35</v>
      </c>
      <c r="I1672" s="1"/>
      <c r="J1672" s="219">
        <v>-5.5</v>
      </c>
      <c r="K1672" s="219">
        <v>-7.5</v>
      </c>
      <c r="L1672" s="219">
        <v>220.0</v>
      </c>
      <c r="M1672" s="219" t="s">
        <v>1365</v>
      </c>
      <c r="N1672" s="1">
        <v>246.0</v>
      </c>
      <c r="O1672" s="1">
        <v>213.0</v>
      </c>
      <c r="P1672" s="1">
        <v>2.0</v>
      </c>
      <c r="Q1672" s="1" t="b">
        <v>1</v>
      </c>
      <c r="R1672" s="1">
        <v>100.0</v>
      </c>
      <c r="S1672" s="1" t="s">
        <v>282</v>
      </c>
      <c r="T1672" s="1" t="s">
        <v>422</v>
      </c>
      <c r="U1672" s="1"/>
    </row>
    <row r="1673">
      <c r="A1673" s="218">
        <v>45250.92763164351</v>
      </c>
      <c r="B1673" s="1"/>
      <c r="C1673" s="1"/>
      <c r="D1673" s="1"/>
      <c r="E1673" s="1"/>
      <c r="F1673" s="1"/>
      <c r="G1673" s="218"/>
      <c r="H1673" s="1"/>
      <c r="I1673" s="1"/>
      <c r="J1673" s="219"/>
      <c r="K1673" s="219"/>
      <c r="L1673" s="219"/>
      <c r="M1673" s="219"/>
      <c r="N1673" s="1"/>
      <c r="O1673" s="1"/>
      <c r="P1673" s="1"/>
      <c r="Q1673" s="1"/>
      <c r="R1673" s="1"/>
      <c r="S1673" s="1" t="e">
        <v>#N/A</v>
      </c>
      <c r="T1673" s="1" t="e">
        <v>#N/A</v>
      </c>
      <c r="U1673" s="1"/>
    </row>
    <row r="1674">
      <c r="A1674" s="218">
        <v>45250.92763164351</v>
      </c>
      <c r="B1674" s="1" t="s">
        <v>125</v>
      </c>
      <c r="C1674" s="1" t="s">
        <v>239</v>
      </c>
      <c r="D1674" s="1">
        <v>10.0</v>
      </c>
      <c r="E1674" s="1">
        <v>1.0</v>
      </c>
      <c r="F1674" s="1" t="s">
        <v>1658</v>
      </c>
      <c r="G1674" s="1" t="s">
        <v>833</v>
      </c>
      <c r="H1674" s="1" t="s">
        <v>56</v>
      </c>
      <c r="I1674" s="1"/>
      <c r="J1674" s="219">
        <v>-8.5</v>
      </c>
      <c r="K1674" s="219">
        <v>-7.5</v>
      </c>
      <c r="L1674" s="219">
        <v>-280.0</v>
      </c>
      <c r="M1674" s="219" t="s">
        <v>867</v>
      </c>
      <c r="N1674" s="1">
        <v>364.0</v>
      </c>
      <c r="O1674" s="1">
        <v>200.0</v>
      </c>
      <c r="P1674" s="1">
        <v>2.0</v>
      </c>
      <c r="Q1674" s="1" t="b">
        <v>0</v>
      </c>
      <c r="R1674" s="1">
        <v>100.0</v>
      </c>
      <c r="S1674" s="1" t="s">
        <v>296</v>
      </c>
      <c r="T1674" s="1" t="s">
        <v>422</v>
      </c>
      <c r="U1674" s="1"/>
    </row>
    <row r="1675">
      <c r="A1675" s="218">
        <v>45250.92763164351</v>
      </c>
      <c r="B1675" s="1" t="s">
        <v>125</v>
      </c>
      <c r="C1675" s="1" t="s">
        <v>224</v>
      </c>
      <c r="D1675" s="1">
        <v>11.0</v>
      </c>
      <c r="E1675" s="1">
        <v>0.0</v>
      </c>
      <c r="F1675" s="1" t="s">
        <v>1702</v>
      </c>
      <c r="G1675" s="1" t="s">
        <v>833</v>
      </c>
      <c r="H1675" s="1"/>
      <c r="I1675" s="1"/>
      <c r="J1675" s="219"/>
      <c r="K1675" s="219"/>
      <c r="L1675" s="219"/>
      <c r="M1675" s="219"/>
      <c r="N1675" s="1">
        <v>441.0</v>
      </c>
      <c r="O1675" s="1">
        <v>186.0</v>
      </c>
      <c r="P1675" s="1">
        <v>2.0</v>
      </c>
      <c r="Q1675" s="1" t="b">
        <v>0</v>
      </c>
      <c r="R1675" s="1">
        <v>100.0</v>
      </c>
      <c r="S1675" s="1" t="s">
        <v>301</v>
      </c>
      <c r="T1675" s="1" t="s">
        <v>422</v>
      </c>
      <c r="U1675" s="1"/>
    </row>
    <row r="1676">
      <c r="A1676" s="218">
        <v>45250.92763164351</v>
      </c>
      <c r="B1676" s="1" t="s">
        <v>125</v>
      </c>
      <c r="C1676" s="1" t="s">
        <v>258</v>
      </c>
      <c r="D1676" s="1">
        <v>2.0</v>
      </c>
      <c r="E1676" s="1">
        <v>9.0</v>
      </c>
      <c r="F1676" s="1" t="s">
        <v>1651</v>
      </c>
      <c r="G1676" s="1" t="s">
        <v>833</v>
      </c>
      <c r="H1676" s="1" t="s">
        <v>58</v>
      </c>
      <c r="I1676" s="1"/>
      <c r="J1676" s="219">
        <v>11.5</v>
      </c>
      <c r="K1676" s="219">
        <v>12.5</v>
      </c>
      <c r="L1676" s="219">
        <v>360.0</v>
      </c>
      <c r="M1676" s="219" t="s">
        <v>852</v>
      </c>
      <c r="N1676" s="1">
        <v>202.0</v>
      </c>
      <c r="O1676" s="1">
        <v>359.0</v>
      </c>
      <c r="P1676" s="1">
        <v>2.0</v>
      </c>
      <c r="Q1676" s="1" t="b">
        <v>0</v>
      </c>
      <c r="R1676" s="1">
        <v>100.0</v>
      </c>
      <c r="S1676" s="1" t="s">
        <v>353</v>
      </c>
      <c r="T1676" s="1" t="s">
        <v>423</v>
      </c>
      <c r="U1676" s="1"/>
    </row>
    <row r="1677">
      <c r="A1677" s="218">
        <v>45250.92763164351</v>
      </c>
      <c r="B1677" s="1" t="s">
        <v>125</v>
      </c>
      <c r="C1677" s="1" t="s">
        <v>263</v>
      </c>
      <c r="D1677" s="1">
        <v>5.0</v>
      </c>
      <c r="E1677" s="1">
        <v>6.0</v>
      </c>
      <c r="F1677" s="1" t="s">
        <v>1700</v>
      </c>
      <c r="G1677" s="1" t="s">
        <v>833</v>
      </c>
      <c r="H1677" s="1" t="s">
        <v>69</v>
      </c>
      <c r="I1677" s="1"/>
      <c r="J1677" s="219">
        <v>-2.5</v>
      </c>
      <c r="K1677" s="219">
        <v>-0.5</v>
      </c>
      <c r="L1677" s="219">
        <v>-111.0</v>
      </c>
      <c r="M1677" s="219" t="s">
        <v>852</v>
      </c>
      <c r="N1677" s="1">
        <v>339.0</v>
      </c>
      <c r="O1677" s="1">
        <v>299.0</v>
      </c>
      <c r="P1677" s="1">
        <v>2.0</v>
      </c>
      <c r="Q1677" s="1" t="b">
        <v>1</v>
      </c>
      <c r="R1677" s="1">
        <v>100.0</v>
      </c>
      <c r="S1677" s="1" t="s">
        <v>407</v>
      </c>
      <c r="T1677" s="1" t="s">
        <v>423</v>
      </c>
      <c r="U1677" s="1"/>
    </row>
    <row r="1678">
      <c r="A1678" s="218">
        <v>45250.92763164351</v>
      </c>
      <c r="B1678" s="1" t="s">
        <v>125</v>
      </c>
      <c r="C1678" s="1" t="s">
        <v>260</v>
      </c>
      <c r="D1678" s="1">
        <v>8.0</v>
      </c>
      <c r="E1678" s="1">
        <v>3.0</v>
      </c>
      <c r="F1678" s="1" t="s">
        <v>1701</v>
      </c>
      <c r="G1678" s="1" t="s">
        <v>833</v>
      </c>
      <c r="H1678" s="1" t="s">
        <v>69</v>
      </c>
      <c r="I1678" s="1"/>
      <c r="J1678" s="219">
        <v>-8.5</v>
      </c>
      <c r="K1678" s="219">
        <v>-8.5</v>
      </c>
      <c r="L1678" s="219">
        <v>285.0</v>
      </c>
      <c r="M1678" s="219" t="s">
        <v>840</v>
      </c>
      <c r="N1678" s="1">
        <v>341.0</v>
      </c>
      <c r="O1678" s="1">
        <v>224.0</v>
      </c>
      <c r="P1678" s="1">
        <v>2.0</v>
      </c>
      <c r="Q1678" s="1" t="b">
        <v>1</v>
      </c>
      <c r="R1678" s="1">
        <v>100.0</v>
      </c>
      <c r="S1678" s="1" t="s">
        <v>351</v>
      </c>
      <c r="T1678" s="1" t="s">
        <v>423</v>
      </c>
      <c r="U1678" s="1"/>
    </row>
    <row r="1679">
      <c r="A1679" s="218">
        <v>45250.92763164351</v>
      </c>
      <c r="B1679" s="1" t="s">
        <v>125</v>
      </c>
      <c r="C1679" s="1" t="s">
        <v>264</v>
      </c>
      <c r="D1679" s="1">
        <v>7.0</v>
      </c>
      <c r="E1679" s="1">
        <v>4.0</v>
      </c>
      <c r="F1679" s="1" t="s">
        <v>1703</v>
      </c>
      <c r="G1679" s="1" t="s">
        <v>833</v>
      </c>
      <c r="H1679" s="1"/>
      <c r="I1679" s="1"/>
      <c r="J1679" s="219"/>
      <c r="K1679" s="219"/>
      <c r="L1679" s="219"/>
      <c r="M1679" s="219"/>
      <c r="N1679" s="1">
        <v>380.0</v>
      </c>
      <c r="O1679" s="1">
        <v>214.0</v>
      </c>
      <c r="P1679" s="1">
        <v>2.0</v>
      </c>
      <c r="Q1679" s="1" t="b">
        <v>0</v>
      </c>
      <c r="R1679" s="1">
        <v>100.0</v>
      </c>
      <c r="S1679" s="1" t="s">
        <v>292</v>
      </c>
      <c r="T1679" s="1" t="s">
        <v>422</v>
      </c>
      <c r="U1679" s="1"/>
    </row>
    <row r="1680">
      <c r="A1680" s="218">
        <v>45250.92763164351</v>
      </c>
      <c r="B1680" s="1" t="s">
        <v>125</v>
      </c>
      <c r="C1680" s="1" t="s">
        <v>261</v>
      </c>
      <c r="D1680" s="1">
        <v>6.0</v>
      </c>
      <c r="E1680" s="1">
        <v>5.0</v>
      </c>
      <c r="F1680" s="1" t="s">
        <v>1689</v>
      </c>
      <c r="G1680" s="1" t="s">
        <v>833</v>
      </c>
      <c r="H1680" s="1" t="s">
        <v>67</v>
      </c>
      <c r="I1680" s="1"/>
      <c r="J1680" s="219">
        <v>-1.5</v>
      </c>
      <c r="K1680" s="219">
        <v>-2.5</v>
      </c>
      <c r="L1680" s="219">
        <v>106.0</v>
      </c>
      <c r="M1680" s="219" t="s">
        <v>151</v>
      </c>
      <c r="N1680" s="1">
        <v>228.0</v>
      </c>
      <c r="O1680" s="1">
        <v>243.0</v>
      </c>
      <c r="P1680" s="1">
        <v>2.0</v>
      </c>
      <c r="Q1680" s="1" t="b">
        <v>1</v>
      </c>
      <c r="R1680" s="1">
        <v>100.0</v>
      </c>
      <c r="S1680" s="1" t="s">
        <v>282</v>
      </c>
      <c r="T1680" s="1" t="s">
        <v>422</v>
      </c>
      <c r="U1680" s="1"/>
    </row>
    <row r="1681">
      <c r="A1681" s="218">
        <v>45250.92763164351</v>
      </c>
      <c r="B1681" s="1" t="s">
        <v>125</v>
      </c>
      <c r="C1681" s="1" t="s">
        <v>259</v>
      </c>
      <c r="D1681" s="1">
        <v>5.0</v>
      </c>
      <c r="E1681" s="1">
        <v>6.0</v>
      </c>
      <c r="F1681" s="1" t="s">
        <v>1704</v>
      </c>
      <c r="G1681" s="1" t="s">
        <v>833</v>
      </c>
      <c r="H1681" s="1" t="s">
        <v>61</v>
      </c>
      <c r="I1681" s="1"/>
      <c r="J1681" s="219">
        <v>-4.5</v>
      </c>
      <c r="K1681" s="219">
        <v>-4.5</v>
      </c>
      <c r="L1681" s="219">
        <v>155.0</v>
      </c>
      <c r="M1681" s="219" t="s">
        <v>969</v>
      </c>
      <c r="N1681" s="1">
        <v>359.0</v>
      </c>
      <c r="O1681" s="1">
        <v>313.0</v>
      </c>
      <c r="P1681" s="1">
        <v>2.0</v>
      </c>
      <c r="Q1681" s="1" t="b">
        <v>1</v>
      </c>
      <c r="R1681" s="1">
        <v>100.0</v>
      </c>
      <c r="S1681" s="1" t="s">
        <v>354</v>
      </c>
      <c r="T1681" s="1" t="s">
        <v>422</v>
      </c>
      <c r="U1681" s="1"/>
    </row>
    <row r="1682">
      <c r="A1682" s="218">
        <v>45250.92763164351</v>
      </c>
      <c r="B1682" s="1" t="s">
        <v>125</v>
      </c>
      <c r="C1682" s="1" t="s">
        <v>265</v>
      </c>
      <c r="D1682" s="1">
        <v>5.0</v>
      </c>
      <c r="E1682" s="1">
        <v>6.0</v>
      </c>
      <c r="F1682" s="1" t="s">
        <v>1686</v>
      </c>
      <c r="G1682" s="1" t="s">
        <v>833</v>
      </c>
      <c r="H1682" s="1" t="s">
        <v>57</v>
      </c>
      <c r="I1682" s="1"/>
      <c r="J1682" s="219">
        <v>12.5</v>
      </c>
      <c r="K1682" s="219">
        <v>10.5</v>
      </c>
      <c r="L1682" s="219">
        <v>340.0</v>
      </c>
      <c r="M1682" s="219" t="s">
        <v>874</v>
      </c>
      <c r="N1682" s="1">
        <v>261.0</v>
      </c>
      <c r="O1682" s="1">
        <v>341.0</v>
      </c>
      <c r="P1682" s="1">
        <v>2.0</v>
      </c>
      <c r="Q1682" s="1" t="b">
        <v>0</v>
      </c>
      <c r="R1682" s="1">
        <v>100.0</v>
      </c>
      <c r="S1682" s="1" t="s">
        <v>352</v>
      </c>
      <c r="T1682" s="1" t="s">
        <v>423</v>
      </c>
      <c r="U1682" s="1"/>
    </row>
    <row r="1683">
      <c r="A1683" s="218">
        <v>45250.92763164351</v>
      </c>
      <c r="B1683" s="1" t="s">
        <v>125</v>
      </c>
      <c r="C1683" s="1" t="s">
        <v>262</v>
      </c>
      <c r="D1683" s="1">
        <v>10.0</v>
      </c>
      <c r="E1683" s="1">
        <v>1.0</v>
      </c>
      <c r="F1683" s="1" t="s">
        <v>1645</v>
      </c>
      <c r="G1683" s="1" t="s">
        <v>856</v>
      </c>
      <c r="H1683" s="1" t="s">
        <v>35</v>
      </c>
      <c r="I1683" s="1"/>
      <c r="J1683" s="219">
        <v>-11.5</v>
      </c>
      <c r="K1683" s="219">
        <v>-9.5</v>
      </c>
      <c r="L1683" s="219">
        <v>330.0</v>
      </c>
      <c r="M1683" s="219" t="s">
        <v>104</v>
      </c>
      <c r="N1683" s="1">
        <v>366.0</v>
      </c>
      <c r="O1683" s="1">
        <v>208.0</v>
      </c>
      <c r="P1683" s="1">
        <v>2.0</v>
      </c>
      <c r="Q1683" s="1" t="b">
        <v>1</v>
      </c>
      <c r="R1683" s="1">
        <v>100.0</v>
      </c>
      <c r="S1683" s="1" t="s">
        <v>355</v>
      </c>
      <c r="T1683" s="1" t="s">
        <v>423</v>
      </c>
      <c r="U1683" s="1"/>
    </row>
    <row r="1684">
      <c r="A1684" s="218">
        <v>45250.92763164351</v>
      </c>
      <c r="B1684" s="1"/>
      <c r="C1684" s="1"/>
      <c r="D1684" s="1"/>
      <c r="E1684" s="1"/>
      <c r="F1684" s="1"/>
      <c r="G1684" s="218"/>
      <c r="H1684" s="1"/>
      <c r="I1684" s="1"/>
      <c r="J1684" s="219"/>
      <c r="K1684" s="219"/>
      <c r="L1684" s="219"/>
      <c r="M1684" s="219"/>
      <c r="N1684" s="1"/>
      <c r="O1684" s="1"/>
      <c r="P1684" s="1"/>
      <c r="Q1684" s="1"/>
      <c r="R1684" s="1"/>
      <c r="S1684" s="1" t="e">
        <v>#N/A</v>
      </c>
      <c r="T1684" s="1" t="e">
        <v>#N/A</v>
      </c>
      <c r="U1684" s="1"/>
    </row>
    <row r="1685">
      <c r="A1685" s="218">
        <v>45250.92763164351</v>
      </c>
      <c r="B1685" s="1" t="s">
        <v>61</v>
      </c>
      <c r="C1685" s="1" t="s">
        <v>273</v>
      </c>
      <c r="D1685" s="1">
        <v>5.0</v>
      </c>
      <c r="E1685" s="1">
        <v>6.0</v>
      </c>
      <c r="F1685" s="1" t="s">
        <v>1693</v>
      </c>
      <c r="G1685" s="1" t="s">
        <v>833</v>
      </c>
      <c r="H1685" s="1" t="s">
        <v>59</v>
      </c>
      <c r="I1685" s="1"/>
      <c r="J1685" s="219">
        <v>4.5</v>
      </c>
      <c r="K1685" s="219">
        <v>5.5</v>
      </c>
      <c r="L1685" s="219">
        <v>-200.0</v>
      </c>
      <c r="M1685" s="219" t="s">
        <v>908</v>
      </c>
      <c r="N1685" s="1">
        <v>365.0</v>
      </c>
      <c r="O1685" s="1">
        <v>365.0</v>
      </c>
      <c r="P1685" s="1">
        <v>2.0</v>
      </c>
      <c r="Q1685" s="1" t="b">
        <v>0</v>
      </c>
      <c r="R1685" s="1">
        <v>100.0</v>
      </c>
      <c r="S1685" s="1" t="s">
        <v>353</v>
      </c>
      <c r="T1685" s="1" t="s">
        <v>423</v>
      </c>
      <c r="U1685" s="1"/>
    </row>
    <row r="1686">
      <c r="A1686" s="218">
        <v>45250.92763164351</v>
      </c>
      <c r="B1686" s="1" t="s">
        <v>61</v>
      </c>
      <c r="C1686" s="1" t="s">
        <v>270</v>
      </c>
      <c r="D1686" s="1">
        <v>5.0</v>
      </c>
      <c r="E1686" s="1">
        <v>6.0</v>
      </c>
      <c r="F1686" s="1" t="s">
        <v>1697</v>
      </c>
      <c r="G1686" s="1" t="s">
        <v>833</v>
      </c>
      <c r="H1686" s="1" t="s">
        <v>62</v>
      </c>
      <c r="I1686" s="1"/>
      <c r="J1686" s="219">
        <v>7.5</v>
      </c>
      <c r="K1686" s="219">
        <v>5.5</v>
      </c>
      <c r="L1686" s="219">
        <v>164.0</v>
      </c>
      <c r="M1686" s="219" t="s">
        <v>994</v>
      </c>
      <c r="N1686" s="1">
        <v>250.0</v>
      </c>
      <c r="O1686" s="1">
        <v>291.0</v>
      </c>
      <c r="P1686" s="1">
        <v>2.0</v>
      </c>
      <c r="Q1686" s="1" t="b">
        <v>1</v>
      </c>
      <c r="R1686" s="1">
        <v>100.0</v>
      </c>
      <c r="S1686" s="1" t="s">
        <v>355</v>
      </c>
      <c r="T1686" s="1" t="s">
        <v>423</v>
      </c>
      <c r="U1686" s="1"/>
    </row>
    <row r="1687">
      <c r="A1687" s="218">
        <v>45250.92763164351</v>
      </c>
      <c r="B1687" s="1" t="s">
        <v>61</v>
      </c>
      <c r="C1687" s="1" t="s">
        <v>267</v>
      </c>
      <c r="D1687" s="1">
        <v>8.0</v>
      </c>
      <c r="E1687" s="1">
        <v>3.0</v>
      </c>
      <c r="F1687" s="1" t="s">
        <v>1683</v>
      </c>
      <c r="G1687" s="1" t="s">
        <v>833</v>
      </c>
      <c r="H1687" s="1" t="s">
        <v>57</v>
      </c>
      <c r="I1687" s="1"/>
      <c r="J1687" s="219">
        <v>-7.5</v>
      </c>
      <c r="K1687" s="219">
        <v>-6.5</v>
      </c>
      <c r="L1687" s="219">
        <v>-250.0</v>
      </c>
      <c r="M1687" s="219" t="s">
        <v>235</v>
      </c>
      <c r="N1687" s="1">
        <v>322.0</v>
      </c>
      <c r="O1687" s="1">
        <v>294.0</v>
      </c>
      <c r="P1687" s="1">
        <v>2.0</v>
      </c>
      <c r="Q1687" s="1" t="b">
        <v>0</v>
      </c>
      <c r="R1687" s="1">
        <v>100.0</v>
      </c>
      <c r="S1687" s="1" t="s">
        <v>296</v>
      </c>
      <c r="T1687" s="1" t="s">
        <v>422</v>
      </c>
      <c r="U1687" s="1"/>
    </row>
    <row r="1688">
      <c r="A1688" s="218">
        <v>45250.92763164351</v>
      </c>
      <c r="B1688" s="1" t="s">
        <v>61</v>
      </c>
      <c r="C1688" s="1" t="s">
        <v>266</v>
      </c>
      <c r="D1688" s="1">
        <v>9.0</v>
      </c>
      <c r="E1688" s="1">
        <v>2.0</v>
      </c>
      <c r="F1688" s="1" t="s">
        <v>1673</v>
      </c>
      <c r="G1688" s="1" t="s">
        <v>833</v>
      </c>
      <c r="H1688" s="1" t="s">
        <v>46</v>
      </c>
      <c r="I1688" s="1"/>
      <c r="J1688" s="219">
        <v>-4.5</v>
      </c>
      <c r="K1688" s="219">
        <v>-2.5</v>
      </c>
      <c r="L1688" s="219">
        <v>126.0</v>
      </c>
      <c r="M1688" s="219" t="s">
        <v>1625</v>
      </c>
      <c r="N1688" s="1">
        <v>203.0</v>
      </c>
      <c r="O1688" s="1">
        <v>136.0</v>
      </c>
      <c r="P1688" s="1">
        <v>2.0</v>
      </c>
      <c r="Q1688" s="1" t="b">
        <v>1</v>
      </c>
      <c r="R1688" s="1">
        <v>100.0</v>
      </c>
      <c r="S1688" s="1" t="s">
        <v>282</v>
      </c>
      <c r="T1688" s="1" t="s">
        <v>422</v>
      </c>
      <c r="U1688" s="1"/>
    </row>
    <row r="1689">
      <c r="A1689" s="218">
        <v>45250.92763164351</v>
      </c>
      <c r="B1689" s="1" t="s">
        <v>61</v>
      </c>
      <c r="C1689" s="1" t="s">
        <v>268</v>
      </c>
      <c r="D1689" s="1">
        <v>8.0</v>
      </c>
      <c r="E1689" s="1">
        <v>3.0</v>
      </c>
      <c r="F1689" s="1" t="s">
        <v>1650</v>
      </c>
      <c r="G1689" s="1" t="s">
        <v>833</v>
      </c>
      <c r="H1689" s="1" t="s">
        <v>58</v>
      </c>
      <c r="I1689" s="1"/>
      <c r="J1689" s="219">
        <v>3.0</v>
      </c>
      <c r="K1689" s="219">
        <v>2.5</v>
      </c>
      <c r="L1689" s="219">
        <v>112.0</v>
      </c>
      <c r="M1689" s="219" t="s">
        <v>1336</v>
      </c>
      <c r="N1689" s="1">
        <v>283.0</v>
      </c>
      <c r="O1689" s="1">
        <v>222.0</v>
      </c>
      <c r="P1689" s="1">
        <v>2.0</v>
      </c>
      <c r="Q1689" s="1" t="b">
        <v>1</v>
      </c>
      <c r="R1689" s="1">
        <v>100.0</v>
      </c>
      <c r="S1689" s="1" t="s">
        <v>301</v>
      </c>
      <c r="T1689" s="1" t="s">
        <v>422</v>
      </c>
      <c r="U1689" s="1"/>
    </row>
    <row r="1690">
      <c r="A1690" s="218">
        <v>45250.92763164351</v>
      </c>
      <c r="B1690" s="1" t="s">
        <v>61</v>
      </c>
      <c r="C1690" s="1" t="s">
        <v>233</v>
      </c>
      <c r="D1690" s="1">
        <v>7.0</v>
      </c>
      <c r="E1690" s="1">
        <v>4.0</v>
      </c>
      <c r="F1690" s="1" t="s">
        <v>1640</v>
      </c>
      <c r="G1690" s="1" t="s">
        <v>833</v>
      </c>
      <c r="H1690" s="1" t="s">
        <v>35</v>
      </c>
      <c r="I1690" s="1"/>
      <c r="J1690" s="219">
        <v>7.5</v>
      </c>
      <c r="K1690" s="219">
        <v>8.5</v>
      </c>
      <c r="L1690" s="219">
        <v>-360.0</v>
      </c>
      <c r="M1690" s="219" t="s">
        <v>203</v>
      </c>
      <c r="N1690" s="1">
        <v>330.0</v>
      </c>
      <c r="O1690" s="1">
        <v>240.0</v>
      </c>
      <c r="P1690" s="1">
        <v>2.0</v>
      </c>
      <c r="Q1690" s="1" t="b">
        <v>0</v>
      </c>
      <c r="R1690" s="1">
        <v>100.0</v>
      </c>
      <c r="S1690" s="1" t="s">
        <v>292</v>
      </c>
      <c r="T1690" s="1" t="s">
        <v>422</v>
      </c>
      <c r="U1690" s="1"/>
    </row>
    <row r="1691">
      <c r="A1691" s="218">
        <v>45250.92763164351</v>
      </c>
      <c r="B1691" s="1" t="s">
        <v>61</v>
      </c>
      <c r="C1691" s="1" t="s">
        <v>271</v>
      </c>
      <c r="D1691" s="1">
        <v>4.0</v>
      </c>
      <c r="E1691" s="1">
        <v>7.0</v>
      </c>
      <c r="F1691" s="1" t="s">
        <v>1641</v>
      </c>
      <c r="G1691" s="1" t="s">
        <v>833</v>
      </c>
      <c r="H1691" s="1" t="s">
        <v>35</v>
      </c>
      <c r="I1691" s="1"/>
      <c r="J1691" s="219">
        <v>-7.5</v>
      </c>
      <c r="K1691" s="219">
        <v>-7.5</v>
      </c>
      <c r="L1691" s="219">
        <v>250.0</v>
      </c>
      <c r="M1691" s="219" t="s">
        <v>994</v>
      </c>
      <c r="N1691" s="1">
        <v>317.0</v>
      </c>
      <c r="O1691" s="1">
        <v>398.0</v>
      </c>
      <c r="P1691" s="1">
        <v>2.0</v>
      </c>
      <c r="Q1691" s="1" t="b">
        <v>1</v>
      </c>
      <c r="R1691" s="1">
        <v>100.0</v>
      </c>
      <c r="S1691" s="1" t="s">
        <v>407</v>
      </c>
      <c r="T1691" s="1" t="s">
        <v>423</v>
      </c>
      <c r="U1691" s="1"/>
    </row>
    <row r="1692">
      <c r="A1692" s="218">
        <v>45250.92763164351</v>
      </c>
      <c r="B1692" s="1" t="s">
        <v>61</v>
      </c>
      <c r="C1692" s="1" t="s">
        <v>228</v>
      </c>
      <c r="D1692" s="1">
        <v>4.0</v>
      </c>
      <c r="E1692" s="1">
        <v>7.0</v>
      </c>
      <c r="F1692" s="1" t="s">
        <v>1678</v>
      </c>
      <c r="G1692" s="1" t="s">
        <v>833</v>
      </c>
      <c r="H1692" s="1" t="s">
        <v>70</v>
      </c>
      <c r="I1692" s="1"/>
      <c r="J1692" s="219">
        <v>-7.5</v>
      </c>
      <c r="K1692" s="219">
        <v>-7.5</v>
      </c>
      <c r="L1692" s="219">
        <v>245.0</v>
      </c>
      <c r="M1692" s="219" t="s">
        <v>854</v>
      </c>
      <c r="N1692" s="1">
        <v>271.0</v>
      </c>
      <c r="O1692" s="1">
        <v>314.0</v>
      </c>
      <c r="P1692" s="1">
        <v>2.0</v>
      </c>
      <c r="Q1692" s="1" t="b">
        <v>1</v>
      </c>
      <c r="R1692" s="1">
        <v>100.0</v>
      </c>
      <c r="S1692" s="1" t="s">
        <v>351</v>
      </c>
      <c r="T1692" s="1" t="s">
        <v>423</v>
      </c>
      <c r="U1692" s="1"/>
    </row>
    <row r="1693">
      <c r="A1693" s="218">
        <v>45250.92763164351</v>
      </c>
      <c r="B1693" s="1" t="s">
        <v>61</v>
      </c>
      <c r="C1693" s="1" t="s">
        <v>269</v>
      </c>
      <c r="D1693" s="1">
        <v>4.0</v>
      </c>
      <c r="E1693" s="1">
        <v>7.0</v>
      </c>
      <c r="F1693" s="1" t="s">
        <v>1704</v>
      </c>
      <c r="G1693" s="1" t="s">
        <v>833</v>
      </c>
      <c r="H1693" s="1" t="s">
        <v>125</v>
      </c>
      <c r="I1693" s="1"/>
      <c r="J1693" s="219">
        <v>4.5</v>
      </c>
      <c r="K1693" s="219">
        <v>4.5</v>
      </c>
      <c r="L1693" s="219">
        <v>155.0</v>
      </c>
      <c r="M1693" s="219" t="s">
        <v>969</v>
      </c>
      <c r="N1693" s="1">
        <v>321.0</v>
      </c>
      <c r="O1693" s="1">
        <v>395.0</v>
      </c>
      <c r="P1693" s="1">
        <v>2.0</v>
      </c>
      <c r="Q1693" s="1" t="b">
        <v>0</v>
      </c>
      <c r="R1693" s="1">
        <v>100.0</v>
      </c>
      <c r="S1693" s="1" t="s">
        <v>354</v>
      </c>
      <c r="T1693" s="1" t="s">
        <v>422</v>
      </c>
      <c r="U1693" s="1"/>
    </row>
    <row r="1694">
      <c r="A1694" s="218">
        <v>45257.455505335645</v>
      </c>
      <c r="B1694" s="1" t="s">
        <v>35</v>
      </c>
      <c r="C1694" s="1" t="s">
        <v>38</v>
      </c>
      <c r="D1694" s="1">
        <v>11.0</v>
      </c>
      <c r="E1694" s="1">
        <v>1.0</v>
      </c>
      <c r="F1694" s="1" t="s">
        <v>43</v>
      </c>
      <c r="G1694" s="218">
        <v>45261.83333333333</v>
      </c>
      <c r="H1694" s="1" t="s">
        <v>46</v>
      </c>
      <c r="I1694" s="1"/>
      <c r="J1694" s="219">
        <v>-7.5</v>
      </c>
      <c r="K1694" s="219">
        <v>-9.5</v>
      </c>
      <c r="L1694" s="219">
        <v>-320.0</v>
      </c>
      <c r="M1694" s="219" t="s">
        <v>1363</v>
      </c>
      <c r="N1694" s="1">
        <v>543.0</v>
      </c>
      <c r="O1694" s="1">
        <v>191.0</v>
      </c>
      <c r="P1694" s="1">
        <v>1.0</v>
      </c>
      <c r="Q1694" s="1" t="b">
        <v>0</v>
      </c>
      <c r="R1694" s="1">
        <v>100.0</v>
      </c>
      <c r="S1694" s="1" t="s">
        <v>354</v>
      </c>
      <c r="T1694" s="1" t="s">
        <v>422</v>
      </c>
      <c r="U1694" s="1"/>
    </row>
    <row r="1695">
      <c r="A1695" s="218">
        <v>45257.455505335645</v>
      </c>
      <c r="B1695" s="1" t="s">
        <v>35</v>
      </c>
      <c r="C1695" s="1" t="s">
        <v>63</v>
      </c>
      <c r="D1695" s="1">
        <v>12.0</v>
      </c>
      <c r="E1695" s="1">
        <v>0.0</v>
      </c>
      <c r="F1695" s="1" t="s">
        <v>65</v>
      </c>
      <c r="G1695" s="218">
        <v>45262.66666666667</v>
      </c>
      <c r="H1695" s="1" t="s">
        <v>60</v>
      </c>
      <c r="I1695" s="1"/>
      <c r="J1695" s="219">
        <v>-4.5</v>
      </c>
      <c r="K1695" s="219">
        <v>-5.5</v>
      </c>
      <c r="L1695" s="219">
        <v>-215.0</v>
      </c>
      <c r="M1695" s="219" t="s">
        <v>840</v>
      </c>
      <c r="N1695" s="1">
        <v>475.0</v>
      </c>
      <c r="O1695" s="1">
        <v>189.0</v>
      </c>
      <c r="P1695" s="1">
        <v>1.0</v>
      </c>
      <c r="Q1695" s="1" t="b">
        <v>1</v>
      </c>
      <c r="R1695" s="1">
        <v>100.0</v>
      </c>
      <c r="S1695" s="1" t="s">
        <v>292</v>
      </c>
      <c r="T1695" s="1" t="s">
        <v>422</v>
      </c>
      <c r="U1695" s="1"/>
    </row>
    <row r="1696">
      <c r="A1696" s="218">
        <v>45257.455505335645</v>
      </c>
      <c r="B1696" s="1" t="s">
        <v>35</v>
      </c>
      <c r="C1696" s="1" t="s">
        <v>71</v>
      </c>
      <c r="D1696" s="1">
        <v>8.0</v>
      </c>
      <c r="E1696" s="1">
        <v>4.0</v>
      </c>
      <c r="F1696" s="1" t="s">
        <v>72</v>
      </c>
      <c r="G1696" s="218">
        <v>45262.66666666667</v>
      </c>
      <c r="H1696" s="1" t="s">
        <v>46</v>
      </c>
      <c r="I1696" s="1"/>
      <c r="J1696" s="219">
        <v>6.0</v>
      </c>
      <c r="K1696" s="219">
        <v>6.5</v>
      </c>
      <c r="L1696" s="219">
        <v>188.0</v>
      </c>
      <c r="M1696" s="219" t="s">
        <v>845</v>
      </c>
      <c r="N1696" s="1">
        <v>429.0</v>
      </c>
      <c r="O1696" s="1">
        <v>320.0</v>
      </c>
      <c r="P1696" s="1">
        <v>1.0</v>
      </c>
      <c r="Q1696" s="1" t="b">
        <v>0</v>
      </c>
      <c r="R1696" s="1">
        <v>100.0</v>
      </c>
      <c r="S1696" s="1" t="s">
        <v>355</v>
      </c>
      <c r="T1696" s="1" t="s">
        <v>423</v>
      </c>
      <c r="U1696" s="1"/>
    </row>
    <row r="1697">
      <c r="A1697" s="218">
        <v>45257.455505335645</v>
      </c>
      <c r="B1697" s="1" t="s">
        <v>35</v>
      </c>
      <c r="C1697" s="1" t="s">
        <v>74</v>
      </c>
      <c r="D1697" s="1">
        <v>8.0</v>
      </c>
      <c r="E1697" s="1">
        <v>4.0</v>
      </c>
      <c r="F1697" s="1"/>
      <c r="G1697" s="1"/>
      <c r="H1697" s="1"/>
      <c r="I1697" s="1"/>
      <c r="J1697" s="219"/>
      <c r="K1697" s="219"/>
      <c r="L1697" s="219"/>
      <c r="M1697" s="219"/>
      <c r="N1697" s="1">
        <v>454.0</v>
      </c>
      <c r="O1697" s="1">
        <v>254.0</v>
      </c>
      <c r="P1697" s="1">
        <v>3.0</v>
      </c>
      <c r="Q1697" s="1" t="b">
        <v>1</v>
      </c>
      <c r="R1697" s="1">
        <v>100.0</v>
      </c>
      <c r="S1697" s="1" t="s">
        <v>296</v>
      </c>
      <c r="T1697" s="1" t="s">
        <v>422</v>
      </c>
      <c r="U1697" s="1"/>
    </row>
    <row r="1698">
      <c r="A1698" s="218">
        <v>45257.455505335645</v>
      </c>
      <c r="B1698" s="1" t="s">
        <v>35</v>
      </c>
      <c r="C1698" s="1" t="s">
        <v>75</v>
      </c>
      <c r="D1698" s="1">
        <v>1.0</v>
      </c>
      <c r="E1698" s="1">
        <v>11.0</v>
      </c>
      <c r="F1698" s="1"/>
      <c r="G1698" s="1"/>
      <c r="H1698" s="1"/>
      <c r="I1698" s="1"/>
      <c r="J1698" s="219"/>
      <c r="K1698" s="219"/>
      <c r="L1698" s="219"/>
      <c r="M1698" s="219"/>
      <c r="N1698" s="1">
        <v>176.0</v>
      </c>
      <c r="O1698" s="1">
        <v>415.0</v>
      </c>
      <c r="P1698" s="1">
        <v>3.0</v>
      </c>
      <c r="Q1698" s="1" t="b">
        <v>1</v>
      </c>
      <c r="R1698" s="1">
        <v>100.0</v>
      </c>
      <c r="S1698" s="1" t="s">
        <v>352</v>
      </c>
      <c r="T1698" s="1" t="s">
        <v>423</v>
      </c>
      <c r="U1698" s="1"/>
    </row>
    <row r="1699">
      <c r="A1699" s="218">
        <v>45257.455505335645</v>
      </c>
      <c r="B1699" s="1" t="s">
        <v>35</v>
      </c>
      <c r="C1699" s="1" t="s">
        <v>78</v>
      </c>
      <c r="D1699" s="1">
        <v>3.0</v>
      </c>
      <c r="E1699" s="1">
        <v>9.0</v>
      </c>
      <c r="F1699" s="1"/>
      <c r="G1699" s="1"/>
      <c r="H1699" s="1"/>
      <c r="I1699" s="1"/>
      <c r="J1699" s="219"/>
      <c r="K1699" s="219"/>
      <c r="L1699" s="219"/>
      <c r="M1699" s="219"/>
      <c r="N1699" s="1">
        <v>240.0</v>
      </c>
      <c r="O1699" s="1">
        <v>314.0</v>
      </c>
      <c r="P1699" s="1">
        <v>3.0</v>
      </c>
      <c r="Q1699" s="1" t="b">
        <v>1</v>
      </c>
      <c r="R1699" s="1">
        <v>100.0</v>
      </c>
      <c r="S1699" s="1" t="s">
        <v>351</v>
      </c>
      <c r="T1699" s="1" t="s">
        <v>423</v>
      </c>
      <c r="U1699" s="1"/>
    </row>
    <row r="1700">
      <c r="A1700" s="218">
        <v>45257.455505335645</v>
      </c>
      <c r="B1700" s="1" t="s">
        <v>35</v>
      </c>
      <c r="C1700" s="1" t="s">
        <v>79</v>
      </c>
      <c r="D1700" s="1">
        <v>7.0</v>
      </c>
      <c r="E1700" s="1">
        <v>5.0</v>
      </c>
      <c r="F1700" s="1"/>
      <c r="G1700" s="1"/>
      <c r="H1700" s="1"/>
      <c r="I1700" s="1"/>
      <c r="J1700" s="219"/>
      <c r="K1700" s="219"/>
      <c r="L1700" s="219"/>
      <c r="M1700" s="219"/>
      <c r="N1700" s="1">
        <v>385.0</v>
      </c>
      <c r="O1700" s="1">
        <v>265.0</v>
      </c>
      <c r="P1700" s="1">
        <v>3.0</v>
      </c>
      <c r="Q1700" s="1" t="b">
        <v>1</v>
      </c>
      <c r="R1700" s="1">
        <v>100.0</v>
      </c>
      <c r="S1700" s="1" t="s">
        <v>301</v>
      </c>
      <c r="T1700" s="1" t="s">
        <v>422</v>
      </c>
      <c r="U1700" s="1"/>
    </row>
    <row r="1701">
      <c r="A1701" s="218">
        <v>45257.455505335645</v>
      </c>
      <c r="B1701" s="1" t="s">
        <v>35</v>
      </c>
      <c r="C1701" s="1" t="s">
        <v>80</v>
      </c>
      <c r="D1701" s="1">
        <v>5.0</v>
      </c>
      <c r="E1701" s="1">
        <v>7.0</v>
      </c>
      <c r="F1701" s="1"/>
      <c r="G1701" s="1"/>
      <c r="H1701" s="1"/>
      <c r="I1701" s="1"/>
      <c r="J1701" s="219"/>
      <c r="K1701" s="219"/>
      <c r="L1701" s="219"/>
      <c r="M1701" s="219"/>
      <c r="N1701" s="1">
        <v>216.0</v>
      </c>
      <c r="O1701" s="1">
        <v>219.0</v>
      </c>
      <c r="P1701" s="1">
        <v>3.0</v>
      </c>
      <c r="Q1701" s="1" t="b">
        <v>1</v>
      </c>
      <c r="R1701" s="1">
        <v>100.0</v>
      </c>
      <c r="S1701" s="1" t="s">
        <v>282</v>
      </c>
      <c r="T1701" s="1" t="s">
        <v>422</v>
      </c>
      <c r="U1701" s="1"/>
    </row>
    <row r="1702">
      <c r="A1702" s="218">
        <v>45257.455505335645</v>
      </c>
      <c r="B1702" s="1" t="s">
        <v>35</v>
      </c>
      <c r="C1702" s="1" t="s">
        <v>81</v>
      </c>
      <c r="D1702" s="1">
        <v>3.0</v>
      </c>
      <c r="E1702" s="1">
        <v>9.0</v>
      </c>
      <c r="F1702" s="1"/>
      <c r="G1702" s="1"/>
      <c r="H1702" s="1"/>
      <c r="I1702" s="1"/>
      <c r="J1702" s="219"/>
      <c r="K1702" s="219"/>
      <c r="L1702" s="219"/>
      <c r="M1702" s="219"/>
      <c r="N1702" s="1">
        <v>253.0</v>
      </c>
      <c r="O1702" s="1">
        <v>428.0</v>
      </c>
      <c r="P1702" s="1">
        <v>3.0</v>
      </c>
      <c r="Q1702" s="1" t="b">
        <v>1</v>
      </c>
      <c r="R1702" s="1">
        <v>100.0</v>
      </c>
      <c r="S1702" s="1" t="s">
        <v>407</v>
      </c>
      <c r="T1702" s="1" t="s">
        <v>423</v>
      </c>
      <c r="U1702" s="1"/>
    </row>
    <row r="1703">
      <c r="A1703" s="218">
        <v>45257.455505335645</v>
      </c>
      <c r="B1703" s="1" t="s">
        <v>35</v>
      </c>
      <c r="C1703" s="1" t="s">
        <v>88</v>
      </c>
      <c r="D1703" s="1">
        <v>4.0</v>
      </c>
      <c r="E1703" s="1">
        <v>8.0</v>
      </c>
      <c r="F1703" s="1"/>
      <c r="G1703" s="1"/>
      <c r="H1703" s="1"/>
      <c r="I1703" s="1"/>
      <c r="J1703" s="219"/>
      <c r="K1703" s="219"/>
      <c r="L1703" s="219"/>
      <c r="M1703" s="219"/>
      <c r="N1703" s="1">
        <v>327.0</v>
      </c>
      <c r="O1703" s="1">
        <v>421.0</v>
      </c>
      <c r="P1703" s="1">
        <v>3.0</v>
      </c>
      <c r="Q1703" s="1" t="b">
        <v>1</v>
      </c>
      <c r="R1703" s="1">
        <v>100.0</v>
      </c>
      <c r="S1703" s="1" t="s">
        <v>353</v>
      </c>
      <c r="T1703" s="1" t="s">
        <v>423</v>
      </c>
      <c r="U1703" s="1"/>
    </row>
    <row r="1704">
      <c r="A1704" s="218">
        <v>45257.455505335645</v>
      </c>
      <c r="B1704" s="1"/>
      <c r="C1704" s="1"/>
      <c r="D1704" s="1"/>
      <c r="E1704" s="1"/>
      <c r="F1704" s="1"/>
      <c r="G1704" s="1"/>
      <c r="H1704" s="1"/>
      <c r="I1704" s="1"/>
      <c r="J1704" s="219"/>
      <c r="K1704" s="219"/>
      <c r="L1704" s="219"/>
      <c r="M1704" s="219"/>
      <c r="N1704" s="1"/>
      <c r="O1704" s="1"/>
      <c r="P1704" s="1"/>
      <c r="Q1704" s="1"/>
      <c r="R1704" s="1"/>
      <c r="S1704" s="1" t="e">
        <v>#N/A</v>
      </c>
      <c r="T1704" s="1" t="e">
        <v>#N/A</v>
      </c>
      <c r="U1704" s="1"/>
    </row>
    <row r="1705">
      <c r="A1705" s="218">
        <v>45257.455505335645</v>
      </c>
      <c r="B1705" s="1" t="s">
        <v>58</v>
      </c>
      <c r="C1705" s="1" t="s">
        <v>102</v>
      </c>
      <c r="D1705" s="1">
        <v>12.0</v>
      </c>
      <c r="E1705" s="1">
        <v>0.0</v>
      </c>
      <c r="F1705" s="1" t="s">
        <v>103</v>
      </c>
      <c r="G1705" s="218">
        <v>45261.79166666667</v>
      </c>
      <c r="H1705" s="1" t="s">
        <v>57</v>
      </c>
      <c r="I1705" s="1" t="s">
        <v>99</v>
      </c>
      <c r="J1705" s="219">
        <v>-13.5</v>
      </c>
      <c r="K1705" s="219">
        <v>-10.5</v>
      </c>
      <c r="L1705" s="219">
        <v>315.0</v>
      </c>
      <c r="M1705" s="219" t="s">
        <v>114</v>
      </c>
      <c r="N1705" s="1">
        <v>481.0</v>
      </c>
      <c r="O1705" s="1">
        <v>260.0</v>
      </c>
      <c r="P1705" s="1">
        <v>1.0</v>
      </c>
      <c r="Q1705" s="1" t="b">
        <v>1</v>
      </c>
      <c r="R1705" s="1">
        <v>100.0</v>
      </c>
      <c r="S1705" s="1" t="s">
        <v>351</v>
      </c>
      <c r="T1705" s="1" t="s">
        <v>423</v>
      </c>
      <c r="U1705" s="1"/>
    </row>
    <row r="1706">
      <c r="A1706" s="218">
        <v>45257.455505335645</v>
      </c>
      <c r="B1706" s="1" t="s">
        <v>58</v>
      </c>
      <c r="C1706" s="1" t="s">
        <v>105</v>
      </c>
      <c r="D1706" s="1">
        <v>5.0</v>
      </c>
      <c r="E1706" s="1">
        <v>7.0</v>
      </c>
      <c r="F1706" s="1"/>
      <c r="G1706" s="1"/>
      <c r="H1706" s="1"/>
      <c r="I1706" s="1"/>
      <c r="J1706" s="219"/>
      <c r="K1706" s="219"/>
      <c r="L1706" s="219"/>
      <c r="M1706" s="219"/>
      <c r="N1706" s="1">
        <v>313.0</v>
      </c>
      <c r="O1706" s="1">
        <v>355.0</v>
      </c>
      <c r="P1706" s="1">
        <v>3.0</v>
      </c>
      <c r="Q1706" s="1" t="b">
        <v>1</v>
      </c>
      <c r="R1706" s="1">
        <v>100.0</v>
      </c>
      <c r="S1706" s="1" t="s">
        <v>353</v>
      </c>
      <c r="T1706" s="1" t="s">
        <v>423</v>
      </c>
      <c r="U1706" s="1"/>
    </row>
    <row r="1707">
      <c r="A1707" s="218">
        <v>45257.455505335645</v>
      </c>
      <c r="B1707" s="1" t="s">
        <v>58</v>
      </c>
      <c r="C1707" s="1" t="s">
        <v>109</v>
      </c>
      <c r="D1707" s="1">
        <v>7.0</v>
      </c>
      <c r="E1707" s="1">
        <v>5.0</v>
      </c>
      <c r="F1707" s="1"/>
      <c r="G1707" s="1"/>
      <c r="H1707" s="1"/>
      <c r="I1707" s="1"/>
      <c r="J1707" s="219"/>
      <c r="K1707" s="219"/>
      <c r="L1707" s="219"/>
      <c r="M1707" s="219"/>
      <c r="N1707" s="1">
        <v>309.0</v>
      </c>
      <c r="O1707" s="1">
        <v>217.0</v>
      </c>
      <c r="P1707" s="1">
        <v>3.0</v>
      </c>
      <c r="Q1707" s="1" t="b">
        <v>1</v>
      </c>
      <c r="R1707" s="1">
        <v>100.0</v>
      </c>
      <c r="S1707" s="1" t="s">
        <v>354</v>
      </c>
      <c r="T1707" s="1" t="s">
        <v>422</v>
      </c>
      <c r="U1707" s="1"/>
    </row>
    <row r="1708">
      <c r="A1708" s="218">
        <v>45257.455505335645</v>
      </c>
      <c r="B1708" s="1" t="s">
        <v>58</v>
      </c>
      <c r="C1708" s="1" t="s">
        <v>111</v>
      </c>
      <c r="D1708" s="1">
        <v>6.0</v>
      </c>
      <c r="E1708" s="1">
        <v>6.0</v>
      </c>
      <c r="F1708" s="1"/>
      <c r="G1708" s="1"/>
      <c r="H1708" s="1"/>
      <c r="I1708" s="1"/>
      <c r="J1708" s="219"/>
      <c r="K1708" s="219"/>
      <c r="L1708" s="219"/>
      <c r="M1708" s="219"/>
      <c r="N1708" s="1">
        <v>279.0</v>
      </c>
      <c r="O1708" s="1">
        <v>338.0</v>
      </c>
      <c r="P1708" s="1">
        <v>3.0</v>
      </c>
      <c r="Q1708" s="1" t="b">
        <v>1</v>
      </c>
      <c r="R1708" s="1">
        <v>100.0</v>
      </c>
      <c r="S1708" s="1" t="s">
        <v>355</v>
      </c>
      <c r="T1708" s="1" t="s">
        <v>423</v>
      </c>
      <c r="U1708" s="1"/>
    </row>
    <row r="1709">
      <c r="A1709" s="218">
        <v>45257.455505335645</v>
      </c>
      <c r="B1709" s="1" t="s">
        <v>58</v>
      </c>
      <c r="C1709" s="1" t="s">
        <v>112</v>
      </c>
      <c r="D1709" s="1">
        <v>6.0</v>
      </c>
      <c r="E1709" s="1">
        <v>6.0</v>
      </c>
      <c r="F1709" s="1"/>
      <c r="G1709" s="1"/>
      <c r="H1709" s="1"/>
      <c r="I1709" s="1"/>
      <c r="J1709" s="219"/>
      <c r="K1709" s="219"/>
      <c r="L1709" s="219"/>
      <c r="M1709" s="219"/>
      <c r="N1709" s="1">
        <v>327.0</v>
      </c>
      <c r="O1709" s="1">
        <v>263.0</v>
      </c>
      <c r="P1709" s="1">
        <v>3.0</v>
      </c>
      <c r="Q1709" s="1" t="b">
        <v>1</v>
      </c>
      <c r="R1709" s="1">
        <v>100.0</v>
      </c>
      <c r="S1709" s="1" t="s">
        <v>292</v>
      </c>
      <c r="T1709" s="1" t="s">
        <v>422</v>
      </c>
      <c r="U1709" s="1"/>
    </row>
    <row r="1710">
      <c r="A1710" s="218">
        <v>45257.455505335645</v>
      </c>
      <c r="B1710" s="1" t="s">
        <v>58</v>
      </c>
      <c r="C1710" s="1" t="s">
        <v>113</v>
      </c>
      <c r="D1710" s="1">
        <v>6.0</v>
      </c>
      <c r="E1710" s="1">
        <v>6.0</v>
      </c>
      <c r="F1710" s="1"/>
      <c r="G1710" s="1"/>
      <c r="H1710" s="1"/>
      <c r="I1710" s="1"/>
      <c r="J1710" s="219">
        <v>-1.5</v>
      </c>
      <c r="K1710" s="219">
        <v>-1.5</v>
      </c>
      <c r="L1710" s="219">
        <v>-118.0</v>
      </c>
      <c r="M1710" s="219" t="s">
        <v>114</v>
      </c>
      <c r="N1710" s="1">
        <v>343.0</v>
      </c>
      <c r="O1710" s="1">
        <v>291.0</v>
      </c>
      <c r="P1710" s="1">
        <v>3.0</v>
      </c>
      <c r="Q1710" s="1" t="b">
        <v>1</v>
      </c>
      <c r="R1710" s="1">
        <v>100.0</v>
      </c>
      <c r="S1710" s="1" t="s">
        <v>301</v>
      </c>
      <c r="T1710" s="1" t="s">
        <v>422</v>
      </c>
      <c r="U1710" s="1"/>
    </row>
    <row r="1711">
      <c r="A1711" s="218">
        <v>45257.455505335645</v>
      </c>
      <c r="B1711" s="1" t="s">
        <v>58</v>
      </c>
      <c r="C1711" s="1" t="s">
        <v>116</v>
      </c>
      <c r="D1711" s="1">
        <v>5.0</v>
      </c>
      <c r="E1711" s="1">
        <v>7.0</v>
      </c>
      <c r="F1711" s="1"/>
      <c r="G1711" s="1"/>
      <c r="H1711" s="1"/>
      <c r="I1711" s="1"/>
      <c r="J1711" s="219"/>
      <c r="K1711" s="219"/>
      <c r="L1711" s="219"/>
      <c r="M1711" s="219"/>
      <c r="N1711" s="1">
        <v>242.0</v>
      </c>
      <c r="O1711" s="1">
        <v>323.0</v>
      </c>
      <c r="P1711" s="1">
        <v>3.0</v>
      </c>
      <c r="Q1711" s="1" t="b">
        <v>1</v>
      </c>
      <c r="R1711" s="1">
        <v>100.0</v>
      </c>
      <c r="S1711" s="1" t="s">
        <v>282</v>
      </c>
      <c r="T1711" s="1" t="s">
        <v>422</v>
      </c>
      <c r="U1711" s="1"/>
    </row>
    <row r="1712">
      <c r="A1712" s="218">
        <v>45257.455505335645</v>
      </c>
      <c r="B1712" s="1" t="s">
        <v>58</v>
      </c>
      <c r="C1712" s="1" t="s">
        <v>117</v>
      </c>
      <c r="D1712" s="1">
        <v>6.0</v>
      </c>
      <c r="E1712" s="1">
        <v>6.0</v>
      </c>
      <c r="F1712" s="1"/>
      <c r="G1712" s="1"/>
      <c r="H1712" s="1"/>
      <c r="I1712" s="1"/>
      <c r="J1712" s="219"/>
      <c r="K1712" s="219"/>
      <c r="L1712" s="219"/>
      <c r="M1712" s="219"/>
      <c r="N1712" s="1">
        <v>303.0</v>
      </c>
      <c r="O1712" s="1">
        <v>254.0</v>
      </c>
      <c r="P1712" s="1">
        <v>3.0</v>
      </c>
      <c r="Q1712" s="1" t="b">
        <v>1</v>
      </c>
      <c r="R1712" s="1">
        <v>100.0</v>
      </c>
      <c r="S1712" s="1" t="s">
        <v>352</v>
      </c>
      <c r="T1712" s="1" t="s">
        <v>423</v>
      </c>
      <c r="U1712" s="1"/>
    </row>
    <row r="1713">
      <c r="A1713" s="218">
        <v>45257.455505335645</v>
      </c>
      <c r="B1713" s="1" t="s">
        <v>58</v>
      </c>
      <c r="C1713" s="1" t="s">
        <v>118</v>
      </c>
      <c r="D1713" s="1">
        <v>9.0</v>
      </c>
      <c r="E1713" s="1">
        <v>3.0</v>
      </c>
      <c r="F1713" s="1"/>
      <c r="G1713" s="1"/>
      <c r="H1713" s="1"/>
      <c r="I1713" s="1"/>
      <c r="J1713" s="219"/>
      <c r="K1713" s="219"/>
      <c r="L1713" s="219"/>
      <c r="M1713" s="219"/>
      <c r="N1713" s="1">
        <v>476.0</v>
      </c>
      <c r="O1713" s="1">
        <v>348.0</v>
      </c>
      <c r="P1713" s="1">
        <v>3.0</v>
      </c>
      <c r="Q1713" s="1" t="b">
        <v>1</v>
      </c>
      <c r="R1713" s="1">
        <v>100.0</v>
      </c>
      <c r="S1713" s="1" t="s">
        <v>407</v>
      </c>
      <c r="T1713" s="1" t="s">
        <v>423</v>
      </c>
      <c r="U1713" s="1"/>
    </row>
    <row r="1714">
      <c r="A1714" s="218">
        <v>45257.455505335645</v>
      </c>
      <c r="B1714" s="1" t="s">
        <v>58</v>
      </c>
      <c r="C1714" s="1" t="s">
        <v>119</v>
      </c>
      <c r="D1714" s="1">
        <v>5.0</v>
      </c>
      <c r="E1714" s="1">
        <v>7.0</v>
      </c>
      <c r="F1714" s="1"/>
      <c r="G1714" s="1"/>
      <c r="H1714" s="1"/>
      <c r="I1714" s="1"/>
      <c r="J1714" s="219"/>
      <c r="K1714" s="219"/>
      <c r="L1714" s="219"/>
      <c r="M1714" s="219"/>
      <c r="N1714" s="1">
        <v>277.0</v>
      </c>
      <c r="O1714" s="1">
        <v>358.0</v>
      </c>
      <c r="P1714" s="1">
        <v>3.0</v>
      </c>
      <c r="Q1714" s="1" t="b">
        <v>1</v>
      </c>
      <c r="R1714" s="1">
        <v>100.0</v>
      </c>
      <c r="S1714" s="1" t="s">
        <v>296</v>
      </c>
      <c r="T1714" s="1" t="s">
        <v>422</v>
      </c>
      <c r="U1714" s="1"/>
    </row>
    <row r="1715">
      <c r="A1715" s="218">
        <v>45257.455505335645</v>
      </c>
      <c r="B1715" s="1"/>
      <c r="C1715" s="1"/>
      <c r="D1715" s="1"/>
      <c r="E1715" s="1"/>
      <c r="F1715" s="1"/>
      <c r="G1715" s="1"/>
      <c r="H1715" s="1"/>
      <c r="I1715" s="1"/>
      <c r="J1715" s="219"/>
      <c r="K1715" s="219"/>
      <c r="L1715" s="219"/>
      <c r="M1715" s="219"/>
      <c r="N1715" s="1"/>
      <c r="O1715" s="1"/>
      <c r="P1715" s="1"/>
      <c r="Q1715" s="1"/>
      <c r="R1715" s="1"/>
      <c r="S1715" s="1" t="e">
        <v>#N/A</v>
      </c>
      <c r="T1715" s="1" t="e">
        <v>#N/A</v>
      </c>
      <c r="U1715" s="1"/>
    </row>
    <row r="1716">
      <c r="A1716" s="218">
        <v>45257.455505335645</v>
      </c>
      <c r="B1716" s="1" t="s">
        <v>56</v>
      </c>
      <c r="C1716" s="1" t="s">
        <v>120</v>
      </c>
      <c r="D1716" s="1">
        <v>11.0</v>
      </c>
      <c r="E1716" s="1">
        <v>1.0</v>
      </c>
      <c r="F1716" s="1" t="s">
        <v>121</v>
      </c>
      <c r="G1716" s="218">
        <v>45262.5</v>
      </c>
      <c r="H1716" s="1" t="s">
        <v>62</v>
      </c>
      <c r="I1716" s="1" t="s">
        <v>76</v>
      </c>
      <c r="J1716" s="219">
        <v>-9.0</v>
      </c>
      <c r="K1716" s="219">
        <v>-8.5</v>
      </c>
      <c r="L1716" s="219">
        <v>235.0</v>
      </c>
      <c r="M1716" s="219" t="s">
        <v>852</v>
      </c>
      <c r="N1716" s="1">
        <v>423.0</v>
      </c>
      <c r="O1716" s="1">
        <v>245.0</v>
      </c>
      <c r="P1716" s="1">
        <v>1.0</v>
      </c>
      <c r="Q1716" s="1" t="b">
        <v>1</v>
      </c>
      <c r="R1716" s="1">
        <v>100.0</v>
      </c>
      <c r="S1716" s="1" t="s">
        <v>352</v>
      </c>
      <c r="T1716" s="1" t="s">
        <v>423</v>
      </c>
      <c r="U1716" s="1"/>
    </row>
    <row r="1717">
      <c r="A1717" s="218">
        <v>45257.455505335645</v>
      </c>
      <c r="B1717" s="1" t="s">
        <v>56</v>
      </c>
      <c r="C1717" s="1" t="s">
        <v>123</v>
      </c>
      <c r="D1717" s="1">
        <v>5.0</v>
      </c>
      <c r="E1717" s="1">
        <v>6.0</v>
      </c>
      <c r="F1717" s="1"/>
      <c r="G1717" s="1"/>
      <c r="H1717" s="1"/>
      <c r="I1717" s="1"/>
      <c r="J1717" s="219"/>
      <c r="K1717" s="219"/>
      <c r="L1717" s="219"/>
      <c r="M1717" s="219"/>
      <c r="N1717" s="1">
        <v>229.0</v>
      </c>
      <c r="O1717" s="1">
        <v>242.0</v>
      </c>
      <c r="P1717" s="1">
        <v>3.0</v>
      </c>
      <c r="Q1717" s="1" t="b">
        <v>1</v>
      </c>
      <c r="R1717" s="1">
        <v>100.0</v>
      </c>
      <c r="S1717" s="1" t="s">
        <v>351</v>
      </c>
      <c r="T1717" s="1" t="s">
        <v>423</v>
      </c>
      <c r="U1717" s="1"/>
    </row>
    <row r="1718">
      <c r="A1718" s="218">
        <v>45257.455505335645</v>
      </c>
      <c r="B1718" s="1" t="s">
        <v>56</v>
      </c>
      <c r="C1718" s="1" t="s">
        <v>124</v>
      </c>
      <c r="D1718" s="1">
        <v>7.0</v>
      </c>
      <c r="E1718" s="1">
        <v>5.0</v>
      </c>
      <c r="F1718" s="1"/>
      <c r="G1718" s="1"/>
      <c r="H1718" s="1"/>
      <c r="I1718" s="1"/>
      <c r="J1718" s="219"/>
      <c r="K1718" s="219"/>
      <c r="L1718" s="219"/>
      <c r="M1718" s="219"/>
      <c r="N1718" s="1">
        <v>315.0</v>
      </c>
      <c r="O1718" s="1">
        <v>260.0</v>
      </c>
      <c r="P1718" s="1">
        <v>3.0</v>
      </c>
      <c r="Q1718" s="1" t="b">
        <v>1</v>
      </c>
      <c r="R1718" s="1">
        <v>100.0</v>
      </c>
      <c r="S1718" s="1" t="s">
        <v>296</v>
      </c>
      <c r="T1718" s="1" t="s">
        <v>422</v>
      </c>
      <c r="U1718" s="1"/>
    </row>
    <row r="1719">
      <c r="A1719" s="218">
        <v>45257.455505335645</v>
      </c>
      <c r="B1719" s="1" t="s">
        <v>56</v>
      </c>
      <c r="C1719" s="1" t="s">
        <v>126</v>
      </c>
      <c r="D1719" s="1">
        <v>7.0</v>
      </c>
      <c r="E1719" s="1">
        <v>5.0</v>
      </c>
      <c r="F1719" s="1"/>
      <c r="G1719" s="1"/>
      <c r="H1719" s="1"/>
      <c r="I1719" s="1"/>
      <c r="J1719" s="219"/>
      <c r="K1719" s="219"/>
      <c r="L1719" s="219"/>
      <c r="M1719" s="219"/>
      <c r="N1719" s="1">
        <v>432.0</v>
      </c>
      <c r="O1719" s="1">
        <v>406.0</v>
      </c>
      <c r="P1719" s="1">
        <v>3.0</v>
      </c>
      <c r="Q1719" s="1" t="b">
        <v>1</v>
      </c>
      <c r="R1719" s="1">
        <v>100.0</v>
      </c>
      <c r="S1719" s="1" t="s">
        <v>355</v>
      </c>
      <c r="T1719" s="1" t="s">
        <v>423</v>
      </c>
      <c r="U1719" s="1"/>
    </row>
    <row r="1720">
      <c r="A1720" s="218">
        <v>45257.455505335645</v>
      </c>
      <c r="B1720" s="1" t="s">
        <v>56</v>
      </c>
      <c r="C1720" s="1" t="s">
        <v>127</v>
      </c>
      <c r="D1720" s="1">
        <v>5.0</v>
      </c>
      <c r="E1720" s="1">
        <v>7.0</v>
      </c>
      <c r="F1720" s="1"/>
      <c r="G1720" s="1"/>
      <c r="H1720" s="1"/>
      <c r="I1720" s="1"/>
      <c r="J1720" s="219"/>
      <c r="K1720" s="219"/>
      <c r="L1720" s="219"/>
      <c r="M1720" s="219"/>
      <c r="N1720" s="1">
        <v>341.0</v>
      </c>
      <c r="O1720" s="1">
        <v>331.0</v>
      </c>
      <c r="P1720" s="1">
        <v>3.0</v>
      </c>
      <c r="Q1720" s="1" t="b">
        <v>1</v>
      </c>
      <c r="R1720" s="1">
        <v>100.0</v>
      </c>
      <c r="S1720" s="1" t="s">
        <v>292</v>
      </c>
      <c r="T1720" s="1" t="s">
        <v>422</v>
      </c>
      <c r="U1720" s="1"/>
    </row>
    <row r="1721">
      <c r="A1721" s="218">
        <v>45257.455505335645</v>
      </c>
      <c r="B1721" s="1" t="s">
        <v>56</v>
      </c>
      <c r="C1721" s="1" t="s">
        <v>128</v>
      </c>
      <c r="D1721" s="1">
        <v>9.0</v>
      </c>
      <c r="E1721" s="1">
        <v>3.0</v>
      </c>
      <c r="F1721" s="1"/>
      <c r="G1721" s="1"/>
      <c r="H1721" s="1"/>
      <c r="I1721" s="1"/>
      <c r="J1721" s="219"/>
      <c r="K1721" s="219"/>
      <c r="L1721" s="219"/>
      <c r="M1721" s="219"/>
      <c r="N1721" s="1">
        <v>469.0</v>
      </c>
      <c r="O1721" s="1">
        <v>199.0</v>
      </c>
      <c r="P1721" s="1">
        <v>3.0</v>
      </c>
      <c r="Q1721" s="1" t="b">
        <v>1</v>
      </c>
      <c r="R1721" s="1">
        <v>100.0</v>
      </c>
      <c r="S1721" s="1" t="s">
        <v>354</v>
      </c>
      <c r="T1721" s="1" t="s">
        <v>422</v>
      </c>
      <c r="U1721" s="1"/>
    </row>
    <row r="1722">
      <c r="A1722" s="218">
        <v>45257.455505335645</v>
      </c>
      <c r="B1722" s="1" t="s">
        <v>56</v>
      </c>
      <c r="C1722" s="1" t="s">
        <v>129</v>
      </c>
      <c r="D1722" s="1">
        <v>7.0</v>
      </c>
      <c r="E1722" s="1">
        <v>5.0</v>
      </c>
      <c r="F1722" s="1"/>
      <c r="G1722" s="1"/>
      <c r="H1722" s="1"/>
      <c r="I1722" s="1"/>
      <c r="J1722" s="219"/>
      <c r="K1722" s="219"/>
      <c r="L1722" s="219"/>
      <c r="M1722" s="219"/>
      <c r="N1722" s="1">
        <v>400.0</v>
      </c>
      <c r="O1722" s="1">
        <v>309.0</v>
      </c>
      <c r="P1722" s="1">
        <v>3.0</v>
      </c>
      <c r="Q1722" s="1" t="b">
        <v>1</v>
      </c>
      <c r="R1722" s="1">
        <v>100.0</v>
      </c>
      <c r="S1722" s="1" t="s">
        <v>353</v>
      </c>
      <c r="T1722" s="1" t="s">
        <v>423</v>
      </c>
      <c r="U1722" s="1"/>
    </row>
    <row r="1723">
      <c r="A1723" s="218">
        <v>45257.455505335645</v>
      </c>
      <c r="B1723" s="1" t="s">
        <v>56</v>
      </c>
      <c r="C1723" s="1" t="s">
        <v>130</v>
      </c>
      <c r="D1723" s="1">
        <v>6.0</v>
      </c>
      <c r="E1723" s="1">
        <v>6.0</v>
      </c>
      <c r="F1723" s="1"/>
      <c r="G1723" s="1"/>
      <c r="H1723" s="1"/>
      <c r="I1723" s="1"/>
      <c r="J1723" s="219"/>
      <c r="K1723" s="219"/>
      <c r="L1723" s="219"/>
      <c r="M1723" s="219"/>
      <c r="N1723" s="1">
        <v>306.0</v>
      </c>
      <c r="O1723" s="1">
        <v>285.0</v>
      </c>
      <c r="P1723" s="1">
        <v>3.0</v>
      </c>
      <c r="Q1723" s="1" t="b">
        <v>1</v>
      </c>
      <c r="R1723" s="1">
        <v>100.0</v>
      </c>
      <c r="S1723" s="1" t="s">
        <v>301</v>
      </c>
      <c r="T1723" s="1" t="s">
        <v>422</v>
      </c>
      <c r="U1723" s="1"/>
    </row>
    <row r="1724">
      <c r="A1724" s="218">
        <v>45257.455505335645</v>
      </c>
      <c r="B1724" s="1" t="s">
        <v>56</v>
      </c>
      <c r="C1724" s="1" t="s">
        <v>133</v>
      </c>
      <c r="D1724" s="1">
        <v>4.0</v>
      </c>
      <c r="E1724" s="1">
        <v>8.0</v>
      </c>
      <c r="F1724" s="1"/>
      <c r="G1724" s="1"/>
      <c r="H1724" s="1"/>
      <c r="I1724" s="1"/>
      <c r="J1724" s="219"/>
      <c r="K1724" s="219"/>
      <c r="L1724" s="219"/>
      <c r="M1724" s="219"/>
      <c r="N1724" s="1">
        <v>285.0</v>
      </c>
      <c r="O1724" s="1">
        <v>306.0</v>
      </c>
      <c r="P1724" s="1">
        <v>3.0</v>
      </c>
      <c r="Q1724" s="1" t="b">
        <v>1</v>
      </c>
      <c r="R1724" s="1">
        <v>100.0</v>
      </c>
      <c r="S1724" s="1" t="s">
        <v>407</v>
      </c>
      <c r="T1724" s="1" t="s">
        <v>423</v>
      </c>
      <c r="U1724" s="1"/>
    </row>
    <row r="1725">
      <c r="A1725" s="218">
        <v>45257.455505335645</v>
      </c>
      <c r="B1725" s="1" t="s">
        <v>56</v>
      </c>
      <c r="C1725" s="1" t="s">
        <v>135</v>
      </c>
      <c r="D1725" s="1">
        <v>10.0</v>
      </c>
      <c r="E1725" s="1">
        <v>2.0</v>
      </c>
      <c r="F1725" s="1"/>
      <c r="G1725" s="1"/>
      <c r="H1725" s="1"/>
      <c r="I1725" s="1"/>
      <c r="J1725" s="219"/>
      <c r="K1725" s="219"/>
      <c r="L1725" s="219"/>
      <c r="M1725" s="219"/>
      <c r="N1725" s="1">
        <v>446.0</v>
      </c>
      <c r="O1725" s="1">
        <v>137.0</v>
      </c>
      <c r="P1725" s="1">
        <v>3.0</v>
      </c>
      <c r="Q1725" s="1" t="b">
        <v>1</v>
      </c>
      <c r="R1725" s="1">
        <v>100.0</v>
      </c>
      <c r="S1725" s="1" t="s">
        <v>282</v>
      </c>
      <c r="T1725" s="1" t="s">
        <v>422</v>
      </c>
      <c r="U1725" s="1"/>
    </row>
    <row r="1726">
      <c r="A1726" s="218">
        <v>45257.455505335645</v>
      </c>
      <c r="B1726" s="1"/>
      <c r="C1726" s="1"/>
      <c r="D1726" s="1"/>
      <c r="E1726" s="1"/>
      <c r="F1726" s="1"/>
      <c r="G1726" s="1"/>
      <c r="H1726" s="1"/>
      <c r="I1726" s="1"/>
      <c r="J1726" s="219"/>
      <c r="K1726" s="219"/>
      <c r="L1726" s="219"/>
      <c r="M1726" s="219"/>
      <c r="N1726" s="1"/>
      <c r="O1726" s="1"/>
      <c r="P1726" s="1"/>
      <c r="Q1726" s="1"/>
      <c r="R1726" s="1"/>
      <c r="S1726" s="1" t="e">
        <v>#N/A</v>
      </c>
      <c r="T1726" s="1" t="e">
        <v>#N/A</v>
      </c>
      <c r="U1726" s="1"/>
    </row>
    <row r="1727">
      <c r="A1727" s="218">
        <v>45257.455505335645</v>
      </c>
      <c r="B1727" s="1" t="s">
        <v>60</v>
      </c>
      <c r="C1727" s="1" t="s">
        <v>137</v>
      </c>
      <c r="D1727" s="1">
        <v>11.0</v>
      </c>
      <c r="E1727" s="1">
        <v>1.0</v>
      </c>
      <c r="F1727" s="1" t="s">
        <v>65</v>
      </c>
      <c r="G1727" s="218">
        <v>45262.66666666667</v>
      </c>
      <c r="H1727" s="1" t="s">
        <v>35</v>
      </c>
      <c r="I1727" s="1"/>
      <c r="J1727" s="219">
        <v>4.5</v>
      </c>
      <c r="K1727" s="219">
        <v>5.5</v>
      </c>
      <c r="L1727" s="219">
        <v>-215.0</v>
      </c>
      <c r="M1727" s="219" t="s">
        <v>840</v>
      </c>
      <c r="N1727" s="1">
        <v>429.0</v>
      </c>
      <c r="O1727" s="1">
        <v>215.0</v>
      </c>
      <c r="P1727" s="1">
        <v>1.0</v>
      </c>
      <c r="Q1727" s="1" t="b">
        <v>0</v>
      </c>
      <c r="R1727" s="1">
        <v>100.0</v>
      </c>
      <c r="S1727" s="1" t="s">
        <v>292</v>
      </c>
      <c r="T1727" s="1" t="s">
        <v>422</v>
      </c>
      <c r="U1727" s="1"/>
    </row>
    <row r="1728">
      <c r="A1728" s="218">
        <v>45257.455505335645</v>
      </c>
      <c r="B1728" s="1" t="s">
        <v>60</v>
      </c>
      <c r="C1728" s="1" t="s">
        <v>139</v>
      </c>
      <c r="D1728" s="1">
        <v>10.0</v>
      </c>
      <c r="E1728" s="1">
        <v>2.0</v>
      </c>
      <c r="F1728" s="1" t="s">
        <v>107</v>
      </c>
      <c r="G1728" s="218">
        <v>45262.66666666667</v>
      </c>
      <c r="H1728" s="1" t="s">
        <v>46</v>
      </c>
      <c r="I1728" s="1" t="s">
        <v>82</v>
      </c>
      <c r="J1728" s="219">
        <v>6.0</v>
      </c>
      <c r="K1728" s="219">
        <v>4.5</v>
      </c>
      <c r="L1728" s="219">
        <v>146.0</v>
      </c>
      <c r="M1728" s="219" t="s">
        <v>937</v>
      </c>
      <c r="N1728" s="1">
        <v>502.0</v>
      </c>
      <c r="O1728" s="1">
        <v>212.0</v>
      </c>
      <c r="P1728" s="1">
        <v>1.0</v>
      </c>
      <c r="Q1728" s="1" t="b">
        <v>1</v>
      </c>
      <c r="R1728" s="1">
        <v>100.0</v>
      </c>
      <c r="S1728" s="1" t="s">
        <v>407</v>
      </c>
      <c r="T1728" s="1" t="s">
        <v>423</v>
      </c>
      <c r="U1728" s="1"/>
    </row>
    <row r="1729">
      <c r="A1729" s="218">
        <v>45257.455505335645</v>
      </c>
      <c r="B1729" s="1" t="s">
        <v>60</v>
      </c>
      <c r="C1729" s="1" t="s">
        <v>164</v>
      </c>
      <c r="D1729" s="1">
        <v>10.0</v>
      </c>
      <c r="E1729" s="1">
        <v>2.0</v>
      </c>
      <c r="F1729" s="1" t="s">
        <v>108</v>
      </c>
      <c r="G1729" s="218">
        <v>45262.83333333333</v>
      </c>
      <c r="H1729" s="1" t="s">
        <v>125</v>
      </c>
      <c r="I1729" s="1" t="s">
        <v>82</v>
      </c>
      <c r="J1729" s="219">
        <v>6.5</v>
      </c>
      <c r="K1729" s="219">
        <v>3.5</v>
      </c>
      <c r="L1729" s="219">
        <v>134.0</v>
      </c>
      <c r="M1729" s="219" t="s">
        <v>937</v>
      </c>
      <c r="N1729" s="1">
        <v>396.0</v>
      </c>
      <c r="O1729" s="1">
        <v>240.0</v>
      </c>
      <c r="P1729" s="1">
        <v>1.0</v>
      </c>
      <c r="Q1729" s="1" t="b">
        <v>1</v>
      </c>
      <c r="R1729" s="1">
        <v>100.0</v>
      </c>
      <c r="S1729" s="1" t="s">
        <v>301</v>
      </c>
      <c r="T1729" s="1" t="s">
        <v>422</v>
      </c>
      <c r="U1729" s="1"/>
    </row>
    <row r="1730">
      <c r="A1730" s="218">
        <v>45257.455505335645</v>
      </c>
      <c r="B1730" s="1" t="s">
        <v>60</v>
      </c>
      <c r="C1730" s="1" t="s">
        <v>173</v>
      </c>
      <c r="D1730" s="1">
        <v>5.0</v>
      </c>
      <c r="E1730" s="1">
        <v>8.0</v>
      </c>
      <c r="F1730" s="1"/>
      <c r="G1730" s="1"/>
      <c r="H1730" s="1"/>
      <c r="I1730" s="1"/>
      <c r="J1730" s="219"/>
      <c r="K1730" s="219"/>
      <c r="L1730" s="219"/>
      <c r="M1730" s="219"/>
      <c r="N1730" s="1">
        <v>278.0</v>
      </c>
      <c r="O1730" s="1">
        <v>419.0</v>
      </c>
      <c r="P1730" s="1">
        <v>3.0</v>
      </c>
      <c r="Q1730" s="1" t="b">
        <v>1</v>
      </c>
      <c r="R1730" s="1">
        <v>100.0</v>
      </c>
      <c r="S1730" s="1" t="s">
        <v>353</v>
      </c>
      <c r="T1730" s="1" t="s">
        <v>423</v>
      </c>
      <c r="U1730" s="1"/>
    </row>
    <row r="1731">
      <c r="A1731" s="218">
        <v>45257.455505335645</v>
      </c>
      <c r="B1731" s="1" t="s">
        <v>60</v>
      </c>
      <c r="C1731" s="1" t="s">
        <v>174</v>
      </c>
      <c r="D1731" s="1">
        <v>3.0</v>
      </c>
      <c r="E1731" s="1">
        <v>9.0</v>
      </c>
      <c r="F1731" s="1"/>
      <c r="G1731" s="1"/>
      <c r="H1731" s="1"/>
      <c r="I1731" s="1"/>
      <c r="J1731" s="219"/>
      <c r="K1731" s="219"/>
      <c r="L1731" s="219"/>
      <c r="M1731" s="219"/>
      <c r="N1731" s="1">
        <v>213.0</v>
      </c>
      <c r="O1731" s="1">
        <v>382.0</v>
      </c>
      <c r="P1731" s="1">
        <v>3.0</v>
      </c>
      <c r="Q1731" s="1" t="b">
        <v>1</v>
      </c>
      <c r="R1731" s="1">
        <v>100.0</v>
      </c>
      <c r="S1731" s="1" t="s">
        <v>354</v>
      </c>
      <c r="T1731" s="1" t="s">
        <v>422</v>
      </c>
      <c r="U1731" s="1"/>
    </row>
    <row r="1732">
      <c r="A1732" s="218">
        <v>45257.455505335645</v>
      </c>
      <c r="B1732" s="1" t="s">
        <v>60</v>
      </c>
      <c r="C1732" s="1" t="s">
        <v>175</v>
      </c>
      <c r="D1732" s="1">
        <v>6.0</v>
      </c>
      <c r="E1732" s="1">
        <v>6.0</v>
      </c>
      <c r="F1732" s="1"/>
      <c r="G1732" s="1"/>
      <c r="H1732" s="1"/>
      <c r="I1732" s="1"/>
      <c r="J1732" s="219"/>
      <c r="K1732" s="219"/>
      <c r="L1732" s="219"/>
      <c r="M1732" s="219"/>
      <c r="N1732" s="1">
        <v>387.0</v>
      </c>
      <c r="O1732" s="1">
        <v>338.0</v>
      </c>
      <c r="P1732" s="1">
        <v>3.0</v>
      </c>
      <c r="Q1732" s="1" t="b">
        <v>1</v>
      </c>
      <c r="R1732" s="1">
        <v>100.0</v>
      </c>
      <c r="S1732" s="1" t="s">
        <v>355</v>
      </c>
      <c r="T1732" s="1" t="s">
        <v>423</v>
      </c>
      <c r="U1732" s="1"/>
    </row>
    <row r="1733">
      <c r="A1733" s="218">
        <v>45257.455505335645</v>
      </c>
      <c r="B1733" s="1" t="s">
        <v>60</v>
      </c>
      <c r="C1733" s="1" t="s">
        <v>176</v>
      </c>
      <c r="D1733" s="1">
        <v>3.0</v>
      </c>
      <c r="E1733" s="1">
        <v>9.0</v>
      </c>
      <c r="F1733" s="1"/>
      <c r="G1733" s="1"/>
      <c r="H1733" s="1"/>
      <c r="I1733" s="1"/>
      <c r="J1733" s="219"/>
      <c r="K1733" s="219"/>
      <c r="L1733" s="219"/>
      <c r="M1733" s="219"/>
      <c r="N1733" s="1">
        <v>278.0</v>
      </c>
      <c r="O1733" s="1">
        <v>454.0</v>
      </c>
      <c r="P1733" s="1">
        <v>3.0</v>
      </c>
      <c r="Q1733" s="1" t="b">
        <v>1</v>
      </c>
      <c r="R1733" s="1">
        <v>100.0</v>
      </c>
      <c r="S1733" s="1" t="s">
        <v>351</v>
      </c>
      <c r="T1733" s="1" t="s">
        <v>423</v>
      </c>
      <c r="U1733" s="1"/>
    </row>
    <row r="1734">
      <c r="A1734" s="218">
        <v>45257.455505335645</v>
      </c>
      <c r="B1734" s="1" t="s">
        <v>60</v>
      </c>
      <c r="C1734" s="1" t="s">
        <v>177</v>
      </c>
      <c r="D1734" s="1">
        <v>4.0</v>
      </c>
      <c r="E1734" s="1">
        <v>8.0</v>
      </c>
      <c r="F1734" s="1"/>
      <c r="G1734" s="1"/>
      <c r="H1734" s="1"/>
      <c r="I1734" s="1"/>
      <c r="J1734" s="219"/>
      <c r="K1734" s="219"/>
      <c r="L1734" s="219"/>
      <c r="M1734" s="219"/>
      <c r="N1734" s="1">
        <v>219.0</v>
      </c>
      <c r="O1734" s="1">
        <v>293.0</v>
      </c>
      <c r="P1734" s="1">
        <v>3.0</v>
      </c>
      <c r="Q1734" s="1" t="b">
        <v>1</v>
      </c>
      <c r="R1734" s="1">
        <v>100.0</v>
      </c>
      <c r="S1734" s="1" t="s">
        <v>352</v>
      </c>
      <c r="T1734" s="1" t="s">
        <v>423</v>
      </c>
      <c r="U1734" s="1"/>
    </row>
    <row r="1735">
      <c r="A1735" s="218">
        <v>45257.455505335645</v>
      </c>
      <c r="B1735" s="1" t="s">
        <v>60</v>
      </c>
      <c r="C1735" s="1" t="s">
        <v>178</v>
      </c>
      <c r="D1735" s="1">
        <v>4.0</v>
      </c>
      <c r="E1735" s="1">
        <v>8.0</v>
      </c>
      <c r="F1735" s="1"/>
      <c r="G1735" s="1"/>
      <c r="H1735" s="1"/>
      <c r="I1735" s="1"/>
      <c r="J1735" s="219"/>
      <c r="K1735" s="219"/>
      <c r="L1735" s="219"/>
      <c r="M1735" s="219"/>
      <c r="N1735" s="1">
        <v>191.0</v>
      </c>
      <c r="O1735" s="1">
        <v>340.0</v>
      </c>
      <c r="P1735" s="1">
        <v>3.0</v>
      </c>
      <c r="Q1735" s="1" t="b">
        <v>1</v>
      </c>
      <c r="R1735" s="1">
        <v>100.0</v>
      </c>
      <c r="S1735" s="1" t="s">
        <v>282</v>
      </c>
      <c r="T1735" s="1" t="s">
        <v>422</v>
      </c>
      <c r="U1735" s="1"/>
    </row>
    <row r="1736">
      <c r="A1736" s="218">
        <v>45257.455505335645</v>
      </c>
      <c r="B1736" s="1" t="s">
        <v>60</v>
      </c>
      <c r="C1736" s="1" t="s">
        <v>179</v>
      </c>
      <c r="D1736" s="1">
        <v>10.0</v>
      </c>
      <c r="E1736" s="1">
        <v>2.0</v>
      </c>
      <c r="F1736" s="1"/>
      <c r="G1736" s="1"/>
      <c r="H1736" s="1"/>
      <c r="I1736" s="1"/>
      <c r="J1736" s="219"/>
      <c r="K1736" s="219"/>
      <c r="L1736" s="219"/>
      <c r="M1736" s="219"/>
      <c r="N1736" s="1">
        <v>518.0</v>
      </c>
      <c r="O1736" s="1">
        <v>267.0</v>
      </c>
      <c r="P1736" s="1">
        <v>3.0</v>
      </c>
      <c r="Q1736" s="1" t="b">
        <v>1</v>
      </c>
      <c r="R1736" s="1">
        <v>100.0</v>
      </c>
      <c r="S1736" s="1" t="s">
        <v>296</v>
      </c>
      <c r="T1736" s="1" t="s">
        <v>422</v>
      </c>
      <c r="U1736" s="1"/>
    </row>
    <row r="1737">
      <c r="A1737" s="218">
        <v>45257.455505335645</v>
      </c>
      <c r="B1737" s="1"/>
      <c r="C1737" s="1"/>
      <c r="D1737" s="1"/>
      <c r="E1737" s="1"/>
      <c r="F1737" s="1"/>
      <c r="G1737" s="1"/>
      <c r="H1737" s="1"/>
      <c r="I1737" s="1"/>
      <c r="J1737" s="219"/>
      <c r="K1737" s="219"/>
      <c r="L1737" s="219"/>
      <c r="M1737" s="219"/>
      <c r="N1737" s="1"/>
      <c r="O1737" s="1"/>
      <c r="P1737" s="1"/>
      <c r="Q1737" s="1"/>
      <c r="R1737" s="1"/>
      <c r="S1737" s="1" t="e">
        <v>#N/A</v>
      </c>
      <c r="T1737" s="1" t="e">
        <v>#N/A</v>
      </c>
      <c r="U1737" s="1"/>
    </row>
    <row r="1738">
      <c r="A1738" s="218">
        <v>45257.455505335645</v>
      </c>
      <c r="B1738" s="1" t="s">
        <v>46</v>
      </c>
      <c r="C1738" s="1" t="s">
        <v>180</v>
      </c>
      <c r="D1738" s="1">
        <v>12.0</v>
      </c>
      <c r="E1738" s="1">
        <v>0.0</v>
      </c>
      <c r="F1738" s="1" t="s">
        <v>43</v>
      </c>
      <c r="G1738" s="218">
        <v>45261.83333333333</v>
      </c>
      <c r="H1738" s="1" t="s">
        <v>35</v>
      </c>
      <c r="I1738" s="1" t="s">
        <v>82</v>
      </c>
      <c r="J1738" s="219">
        <v>7.5</v>
      </c>
      <c r="K1738" s="219">
        <v>9.5</v>
      </c>
      <c r="L1738" s="219">
        <v>-320.0</v>
      </c>
      <c r="M1738" s="219" t="s">
        <v>1363</v>
      </c>
      <c r="N1738" s="1">
        <v>456.0</v>
      </c>
      <c r="O1738" s="1">
        <v>276.0</v>
      </c>
      <c r="P1738" s="1">
        <v>1.0</v>
      </c>
      <c r="Q1738" s="1" t="b">
        <v>1</v>
      </c>
      <c r="R1738" s="1">
        <v>100.0</v>
      </c>
      <c r="S1738" s="1" t="s">
        <v>354</v>
      </c>
      <c r="T1738" s="1" t="s">
        <v>422</v>
      </c>
      <c r="U1738" s="1"/>
    </row>
    <row r="1739">
      <c r="A1739" s="218">
        <v>45257.455505335645</v>
      </c>
      <c r="B1739" s="1" t="s">
        <v>46</v>
      </c>
      <c r="C1739" s="1" t="s">
        <v>181</v>
      </c>
      <c r="D1739" s="1">
        <v>10.0</v>
      </c>
      <c r="E1739" s="1">
        <v>2.0</v>
      </c>
      <c r="F1739" s="1" t="s">
        <v>72</v>
      </c>
      <c r="G1739" s="218">
        <v>45262.66666666667</v>
      </c>
      <c r="H1739" s="1" t="s">
        <v>35</v>
      </c>
      <c r="I1739" s="1" t="s">
        <v>76</v>
      </c>
      <c r="J1739" s="219">
        <v>-6.0</v>
      </c>
      <c r="K1739" s="219">
        <v>-6.5</v>
      </c>
      <c r="L1739" s="219">
        <v>188.0</v>
      </c>
      <c r="M1739" s="219" t="s">
        <v>845</v>
      </c>
      <c r="N1739" s="1">
        <v>356.0</v>
      </c>
      <c r="O1739" s="1">
        <v>200.0</v>
      </c>
      <c r="P1739" s="1">
        <v>1.0</v>
      </c>
      <c r="Q1739" s="1" t="b">
        <v>1</v>
      </c>
      <c r="R1739" s="1">
        <v>100.0</v>
      </c>
      <c r="S1739" s="1" t="s">
        <v>355</v>
      </c>
      <c r="T1739" s="1" t="s">
        <v>423</v>
      </c>
      <c r="U1739" s="1"/>
    </row>
    <row r="1740">
      <c r="A1740" s="218">
        <v>45257.455505335645</v>
      </c>
      <c r="B1740" s="1" t="s">
        <v>46</v>
      </c>
      <c r="C1740" s="1" t="s">
        <v>182</v>
      </c>
      <c r="D1740" s="1">
        <v>11.0</v>
      </c>
      <c r="E1740" s="1">
        <v>1.0</v>
      </c>
      <c r="F1740" s="1" t="s">
        <v>107</v>
      </c>
      <c r="G1740" s="218">
        <v>45262.66666666667</v>
      </c>
      <c r="H1740" s="1" t="s">
        <v>60</v>
      </c>
      <c r="I1740" s="1"/>
      <c r="J1740" s="219">
        <v>-6.0</v>
      </c>
      <c r="K1740" s="219">
        <v>-4.5</v>
      </c>
      <c r="L1740" s="219">
        <v>146.0</v>
      </c>
      <c r="M1740" s="219" t="s">
        <v>937</v>
      </c>
      <c r="N1740" s="1">
        <v>335.0</v>
      </c>
      <c r="O1740" s="1">
        <v>220.0</v>
      </c>
      <c r="P1740" s="1">
        <v>1.0</v>
      </c>
      <c r="Q1740" s="1" t="b">
        <v>0</v>
      </c>
      <c r="R1740" s="1">
        <v>100.0</v>
      </c>
      <c r="S1740" s="1" t="s">
        <v>407</v>
      </c>
      <c r="T1740" s="1" t="s">
        <v>423</v>
      </c>
      <c r="U1740" s="1"/>
    </row>
    <row r="1741">
      <c r="A1741" s="218">
        <v>45257.455505335645</v>
      </c>
      <c r="B1741" s="1" t="s">
        <v>46</v>
      </c>
      <c r="C1741" s="1" t="s">
        <v>183</v>
      </c>
      <c r="D1741" s="1">
        <v>8.0</v>
      </c>
      <c r="E1741" s="1">
        <v>4.0</v>
      </c>
      <c r="F1741" s="1"/>
      <c r="G1741" s="1"/>
      <c r="H1741" s="1"/>
      <c r="I1741" s="1"/>
      <c r="J1741" s="219"/>
      <c r="K1741" s="219"/>
      <c r="L1741" s="219"/>
      <c r="M1741" s="219"/>
      <c r="N1741" s="1">
        <v>313.0</v>
      </c>
      <c r="O1741" s="1">
        <v>275.0</v>
      </c>
      <c r="P1741" s="1">
        <v>3.0</v>
      </c>
      <c r="Q1741" s="1" t="b">
        <v>1</v>
      </c>
      <c r="R1741" s="1">
        <v>100.0</v>
      </c>
      <c r="S1741" s="1" t="s">
        <v>353</v>
      </c>
      <c r="T1741" s="1" t="s">
        <v>423</v>
      </c>
      <c r="U1741" s="1"/>
    </row>
    <row r="1742">
      <c r="A1742" s="218">
        <v>45257.455505335645</v>
      </c>
      <c r="B1742" s="1" t="s">
        <v>46</v>
      </c>
      <c r="C1742" s="1" t="s">
        <v>184</v>
      </c>
      <c r="D1742" s="1">
        <v>5.0</v>
      </c>
      <c r="E1742" s="1">
        <v>7.0</v>
      </c>
      <c r="F1742" s="1"/>
      <c r="G1742" s="1"/>
      <c r="H1742" s="1"/>
      <c r="I1742" s="1"/>
      <c r="J1742" s="219"/>
      <c r="K1742" s="219"/>
      <c r="L1742" s="219"/>
      <c r="M1742" s="219"/>
      <c r="N1742" s="1">
        <v>312.0</v>
      </c>
      <c r="O1742" s="1">
        <v>316.0</v>
      </c>
      <c r="P1742" s="1">
        <v>3.0</v>
      </c>
      <c r="Q1742" s="1" t="b">
        <v>1</v>
      </c>
      <c r="R1742" s="1">
        <v>100.0</v>
      </c>
      <c r="S1742" s="1" t="s">
        <v>292</v>
      </c>
      <c r="T1742" s="1" t="s">
        <v>422</v>
      </c>
      <c r="U1742" s="1"/>
    </row>
    <row r="1743">
      <c r="A1743" s="218">
        <v>45257.455505335645</v>
      </c>
      <c r="B1743" s="1" t="s">
        <v>46</v>
      </c>
      <c r="C1743" s="1" t="s">
        <v>185</v>
      </c>
      <c r="D1743" s="1">
        <v>6.0</v>
      </c>
      <c r="E1743" s="1">
        <v>6.0</v>
      </c>
      <c r="F1743" s="1"/>
      <c r="G1743" s="1"/>
      <c r="H1743" s="1"/>
      <c r="I1743" s="1"/>
      <c r="J1743" s="219"/>
      <c r="K1743" s="219"/>
      <c r="L1743" s="219"/>
      <c r="M1743" s="219"/>
      <c r="N1743" s="1">
        <v>271.0</v>
      </c>
      <c r="O1743" s="1">
        <v>252.0</v>
      </c>
      <c r="P1743" s="1">
        <v>3.0</v>
      </c>
      <c r="Q1743" s="1" t="b">
        <v>1</v>
      </c>
      <c r="R1743" s="1">
        <v>100.0</v>
      </c>
      <c r="S1743" s="1" t="s">
        <v>351</v>
      </c>
      <c r="T1743" s="1" t="s">
        <v>423</v>
      </c>
      <c r="U1743" s="1"/>
    </row>
    <row r="1744">
      <c r="A1744" s="218">
        <v>45257.455505335645</v>
      </c>
      <c r="B1744" s="1" t="s">
        <v>46</v>
      </c>
      <c r="C1744" s="1" t="s">
        <v>186</v>
      </c>
      <c r="D1744" s="1">
        <v>5.0</v>
      </c>
      <c r="E1744" s="1">
        <v>7.0</v>
      </c>
      <c r="F1744" s="1"/>
      <c r="G1744" s="1"/>
      <c r="H1744" s="1"/>
      <c r="I1744" s="1"/>
      <c r="J1744" s="219"/>
      <c r="K1744" s="219"/>
      <c r="L1744" s="219"/>
      <c r="M1744" s="219"/>
      <c r="N1744" s="1">
        <v>294.0</v>
      </c>
      <c r="O1744" s="1">
        <v>353.0</v>
      </c>
      <c r="P1744" s="1">
        <v>3.0</v>
      </c>
      <c r="Q1744" s="1" t="b">
        <v>1</v>
      </c>
      <c r="R1744" s="1">
        <v>100.0</v>
      </c>
      <c r="S1744" s="1" t="s">
        <v>282</v>
      </c>
      <c r="T1744" s="1" t="s">
        <v>422</v>
      </c>
      <c r="U1744" s="1"/>
    </row>
    <row r="1745">
      <c r="A1745" s="218">
        <v>45257.455505335645</v>
      </c>
      <c r="B1745" s="1" t="s">
        <v>46</v>
      </c>
      <c r="C1745" s="1" t="s">
        <v>187</v>
      </c>
      <c r="D1745" s="1">
        <v>7.0</v>
      </c>
      <c r="E1745" s="1">
        <v>5.0</v>
      </c>
      <c r="F1745" s="1"/>
      <c r="G1745" s="1"/>
      <c r="H1745" s="1"/>
      <c r="I1745" s="1"/>
      <c r="J1745" s="219"/>
      <c r="K1745" s="219"/>
      <c r="L1745" s="219"/>
      <c r="M1745" s="219"/>
      <c r="N1745" s="1">
        <v>333.0</v>
      </c>
      <c r="O1745" s="1">
        <v>237.0</v>
      </c>
      <c r="P1745" s="1">
        <v>3.0</v>
      </c>
      <c r="Q1745" s="1" t="b">
        <v>1</v>
      </c>
      <c r="R1745" s="1">
        <v>100.0</v>
      </c>
      <c r="S1745" s="1" t="s">
        <v>301</v>
      </c>
      <c r="T1745" s="1" t="s">
        <v>422</v>
      </c>
      <c r="U1745" s="1"/>
    </row>
    <row r="1746">
      <c r="A1746" s="218">
        <v>45257.455505335645</v>
      </c>
      <c r="B1746" s="1" t="s">
        <v>46</v>
      </c>
      <c r="C1746" s="1" t="s">
        <v>188</v>
      </c>
      <c r="D1746" s="1">
        <v>6.0</v>
      </c>
      <c r="E1746" s="1">
        <v>6.0</v>
      </c>
      <c r="F1746" s="1"/>
      <c r="G1746" s="1"/>
      <c r="H1746" s="1"/>
      <c r="I1746" s="1"/>
      <c r="J1746" s="219"/>
      <c r="K1746" s="219"/>
      <c r="L1746" s="219"/>
      <c r="M1746" s="219"/>
      <c r="N1746" s="1">
        <v>322.0</v>
      </c>
      <c r="O1746" s="1">
        <v>324.0</v>
      </c>
      <c r="P1746" s="1">
        <v>3.0</v>
      </c>
      <c r="Q1746" s="1" t="b">
        <v>1</v>
      </c>
      <c r="R1746" s="1">
        <v>100.0</v>
      </c>
      <c r="S1746" s="1" t="s">
        <v>296</v>
      </c>
      <c r="T1746" s="1" t="s">
        <v>422</v>
      </c>
      <c r="U1746" s="1"/>
    </row>
    <row r="1747">
      <c r="A1747" s="218">
        <v>45257.455505335645</v>
      </c>
      <c r="B1747" s="1" t="s">
        <v>46</v>
      </c>
      <c r="C1747" s="1" t="s">
        <v>189</v>
      </c>
      <c r="D1747" s="1">
        <v>2.0</v>
      </c>
      <c r="E1747" s="1">
        <v>10.0</v>
      </c>
      <c r="F1747" s="1"/>
      <c r="G1747" s="1"/>
      <c r="H1747" s="1"/>
      <c r="I1747" s="1"/>
      <c r="J1747" s="219"/>
      <c r="K1747" s="219"/>
      <c r="L1747" s="219"/>
      <c r="M1747" s="219"/>
      <c r="N1747" s="1">
        <v>195.0</v>
      </c>
      <c r="O1747" s="1">
        <v>336.0</v>
      </c>
      <c r="P1747" s="1">
        <v>3.0</v>
      </c>
      <c r="Q1747" s="1" t="b">
        <v>1</v>
      </c>
      <c r="R1747" s="1">
        <v>100.0</v>
      </c>
      <c r="S1747" s="1" t="s">
        <v>352</v>
      </c>
      <c r="T1747" s="1" t="s">
        <v>423</v>
      </c>
      <c r="U1747" s="1"/>
    </row>
    <row r="1748">
      <c r="A1748" s="218">
        <v>45257.455505335645</v>
      </c>
      <c r="B1748" s="1"/>
      <c r="C1748" s="1"/>
      <c r="D1748" s="1"/>
      <c r="E1748" s="1"/>
      <c r="F1748" s="1"/>
      <c r="G1748" s="1"/>
      <c r="H1748" s="1"/>
      <c r="I1748" s="1"/>
      <c r="J1748" s="219"/>
      <c r="K1748" s="219"/>
      <c r="L1748" s="219"/>
      <c r="M1748" s="219"/>
      <c r="N1748" s="1"/>
      <c r="O1748" s="1"/>
      <c r="P1748" s="1"/>
      <c r="Q1748" s="1"/>
      <c r="R1748" s="1"/>
      <c r="S1748" s="1" t="e">
        <v>#N/A</v>
      </c>
      <c r="T1748" s="1" t="e">
        <v>#N/A</v>
      </c>
      <c r="U1748" s="1"/>
    </row>
    <row r="1749">
      <c r="A1749" s="218">
        <v>45257.455505335645</v>
      </c>
      <c r="B1749" s="1" t="s">
        <v>70</v>
      </c>
      <c r="C1749" s="1" t="s">
        <v>190</v>
      </c>
      <c r="D1749" s="1">
        <v>4.0</v>
      </c>
      <c r="E1749" s="1">
        <v>8.0</v>
      </c>
      <c r="F1749" s="1"/>
      <c r="G1749" s="1"/>
      <c r="H1749" s="1"/>
      <c r="I1749" s="1"/>
      <c r="J1749" s="219"/>
      <c r="K1749" s="219"/>
      <c r="L1749" s="219"/>
      <c r="M1749" s="219"/>
      <c r="N1749" s="1">
        <v>246.0</v>
      </c>
      <c r="O1749" s="1">
        <v>321.0</v>
      </c>
      <c r="P1749" s="1">
        <v>3.0</v>
      </c>
      <c r="Q1749" s="1" t="b">
        <v>1</v>
      </c>
      <c r="R1749" s="1">
        <v>100.0</v>
      </c>
      <c r="S1749" s="1" t="s">
        <v>353</v>
      </c>
      <c r="T1749" s="1" t="s">
        <v>423</v>
      </c>
      <c r="U1749" s="1"/>
    </row>
    <row r="1750">
      <c r="A1750" s="218">
        <v>45257.455505335645</v>
      </c>
      <c r="B1750" s="1" t="s">
        <v>70</v>
      </c>
      <c r="C1750" s="1" t="s">
        <v>191</v>
      </c>
      <c r="D1750" s="1">
        <v>8.0</v>
      </c>
      <c r="E1750" s="1">
        <v>4.0</v>
      </c>
      <c r="F1750" s="1"/>
      <c r="G1750" s="1"/>
      <c r="H1750" s="1"/>
      <c r="I1750" s="1"/>
      <c r="J1750" s="219"/>
      <c r="K1750" s="219"/>
      <c r="L1750" s="219"/>
      <c r="M1750" s="219"/>
      <c r="N1750" s="1">
        <v>350.0</v>
      </c>
      <c r="O1750" s="1">
        <v>239.0</v>
      </c>
      <c r="P1750" s="1">
        <v>3.0</v>
      </c>
      <c r="Q1750" s="1" t="b">
        <v>1</v>
      </c>
      <c r="R1750" s="1">
        <v>100.0</v>
      </c>
      <c r="S1750" s="1" t="s">
        <v>301</v>
      </c>
      <c r="T1750" s="1" t="s">
        <v>422</v>
      </c>
      <c r="U1750" s="1"/>
    </row>
    <row r="1751">
      <c r="A1751" s="218">
        <v>45257.455505335645</v>
      </c>
      <c r="B1751" s="1" t="s">
        <v>70</v>
      </c>
      <c r="C1751" s="1" t="s">
        <v>192</v>
      </c>
      <c r="D1751" s="1">
        <v>8.0</v>
      </c>
      <c r="E1751" s="1">
        <v>4.0</v>
      </c>
      <c r="F1751" s="1"/>
      <c r="G1751" s="1"/>
      <c r="H1751" s="1"/>
      <c r="I1751" s="1"/>
      <c r="J1751" s="219"/>
      <c r="K1751" s="219"/>
      <c r="L1751" s="219"/>
      <c r="M1751" s="219"/>
      <c r="N1751" s="1">
        <v>403.0</v>
      </c>
      <c r="O1751" s="1">
        <v>309.0</v>
      </c>
      <c r="P1751" s="1">
        <v>3.0</v>
      </c>
      <c r="Q1751" s="1" t="b">
        <v>1</v>
      </c>
      <c r="R1751" s="1">
        <v>100.0</v>
      </c>
      <c r="S1751" s="1" t="s">
        <v>296</v>
      </c>
      <c r="T1751" s="1" t="s">
        <v>422</v>
      </c>
      <c r="U1751" s="1"/>
    </row>
    <row r="1752">
      <c r="A1752" s="218">
        <v>45257.455505335645</v>
      </c>
      <c r="B1752" s="1" t="s">
        <v>70</v>
      </c>
      <c r="C1752" s="1" t="s">
        <v>193</v>
      </c>
      <c r="D1752" s="1">
        <v>3.0</v>
      </c>
      <c r="E1752" s="1">
        <v>9.0</v>
      </c>
      <c r="F1752" s="1"/>
      <c r="G1752" s="1"/>
      <c r="H1752" s="1"/>
      <c r="I1752" s="1"/>
      <c r="J1752" s="219"/>
      <c r="K1752" s="219"/>
      <c r="L1752" s="219"/>
      <c r="M1752" s="219"/>
      <c r="N1752" s="1">
        <v>247.0</v>
      </c>
      <c r="O1752" s="1">
        <v>452.0</v>
      </c>
      <c r="P1752" s="1">
        <v>3.0</v>
      </c>
      <c r="Q1752" s="1" t="b">
        <v>1</v>
      </c>
      <c r="R1752" s="1">
        <v>100.0</v>
      </c>
      <c r="S1752" s="1" t="s">
        <v>354</v>
      </c>
      <c r="T1752" s="1" t="s">
        <v>422</v>
      </c>
      <c r="U1752" s="1"/>
    </row>
    <row r="1753">
      <c r="A1753" s="218">
        <v>45257.455505335645</v>
      </c>
      <c r="B1753" s="1" t="s">
        <v>70</v>
      </c>
      <c r="C1753" s="1" t="s">
        <v>194</v>
      </c>
      <c r="D1753" s="1">
        <v>3.0</v>
      </c>
      <c r="E1753" s="1">
        <v>9.0</v>
      </c>
      <c r="F1753" s="1"/>
      <c r="G1753" s="1"/>
      <c r="H1753" s="1"/>
      <c r="I1753" s="1"/>
      <c r="J1753" s="219"/>
      <c r="K1753" s="219"/>
      <c r="L1753" s="219"/>
      <c r="M1753" s="219"/>
      <c r="N1753" s="1">
        <v>239.0</v>
      </c>
      <c r="O1753" s="1">
        <v>342.0</v>
      </c>
      <c r="P1753" s="1">
        <v>3.0</v>
      </c>
      <c r="Q1753" s="1" t="b">
        <v>1</v>
      </c>
      <c r="R1753" s="1">
        <v>100.0</v>
      </c>
      <c r="S1753" s="1" t="s">
        <v>351</v>
      </c>
      <c r="T1753" s="1" t="s">
        <v>423</v>
      </c>
      <c r="U1753" s="1"/>
    </row>
    <row r="1754">
      <c r="A1754" s="218">
        <v>45257.455505335645</v>
      </c>
      <c r="B1754" s="1" t="s">
        <v>70</v>
      </c>
      <c r="C1754" s="1" t="s">
        <v>195</v>
      </c>
      <c r="D1754" s="1">
        <v>3.0</v>
      </c>
      <c r="E1754" s="1">
        <v>9.0</v>
      </c>
      <c r="F1754" s="1"/>
      <c r="G1754" s="1"/>
      <c r="H1754" s="1"/>
      <c r="I1754" s="1"/>
      <c r="J1754" s="219"/>
      <c r="K1754" s="219"/>
      <c r="L1754" s="219"/>
      <c r="M1754" s="219"/>
      <c r="N1754" s="1">
        <v>266.0</v>
      </c>
      <c r="O1754" s="1">
        <v>359.0</v>
      </c>
      <c r="P1754" s="1">
        <v>3.0</v>
      </c>
      <c r="Q1754" s="1" t="b">
        <v>1</v>
      </c>
      <c r="R1754" s="1">
        <v>100.0</v>
      </c>
      <c r="S1754" s="1" t="s">
        <v>282</v>
      </c>
      <c r="T1754" s="1" t="s">
        <v>422</v>
      </c>
      <c r="U1754" s="1"/>
    </row>
    <row r="1755">
      <c r="A1755" s="218">
        <v>45257.455505335645</v>
      </c>
      <c r="B1755" s="1" t="s">
        <v>70</v>
      </c>
      <c r="C1755" s="1" t="s">
        <v>196</v>
      </c>
      <c r="D1755" s="1">
        <v>7.0</v>
      </c>
      <c r="E1755" s="1">
        <v>5.0</v>
      </c>
      <c r="F1755" s="1"/>
      <c r="G1755" s="1"/>
      <c r="H1755" s="1"/>
      <c r="I1755" s="1"/>
      <c r="J1755" s="219"/>
      <c r="K1755" s="219"/>
      <c r="L1755" s="219"/>
      <c r="M1755" s="219"/>
      <c r="N1755" s="1">
        <v>343.0</v>
      </c>
      <c r="O1755" s="1">
        <v>298.0</v>
      </c>
      <c r="P1755" s="1">
        <v>3.0</v>
      </c>
      <c r="Q1755" s="1" t="b">
        <v>1</v>
      </c>
      <c r="R1755" s="1">
        <v>100.0</v>
      </c>
      <c r="S1755" s="1" t="s">
        <v>292</v>
      </c>
      <c r="T1755" s="1" t="s">
        <v>422</v>
      </c>
      <c r="U1755" s="1"/>
    </row>
    <row r="1756">
      <c r="A1756" s="218">
        <v>45257.455505335645</v>
      </c>
      <c r="B1756" s="1" t="s">
        <v>70</v>
      </c>
      <c r="C1756" s="1" t="s">
        <v>197</v>
      </c>
      <c r="D1756" s="1">
        <v>3.0</v>
      </c>
      <c r="E1756" s="1">
        <v>9.0</v>
      </c>
      <c r="F1756" s="1"/>
      <c r="G1756" s="1"/>
      <c r="H1756" s="1"/>
      <c r="I1756" s="1"/>
      <c r="J1756" s="219"/>
      <c r="K1756" s="219"/>
      <c r="L1756" s="219"/>
      <c r="M1756" s="219"/>
      <c r="N1756" s="1">
        <v>278.0</v>
      </c>
      <c r="O1756" s="1">
        <v>429.0</v>
      </c>
      <c r="P1756" s="1">
        <v>3.0</v>
      </c>
      <c r="Q1756" s="1" t="b">
        <v>1</v>
      </c>
      <c r="R1756" s="1">
        <v>100.0</v>
      </c>
      <c r="S1756" s="1" t="s">
        <v>355</v>
      </c>
      <c r="T1756" s="1" t="s">
        <v>423</v>
      </c>
      <c r="U1756" s="1"/>
    </row>
    <row r="1757">
      <c r="A1757" s="218">
        <v>45257.455505335645</v>
      </c>
      <c r="B1757" s="1" t="s">
        <v>70</v>
      </c>
      <c r="C1757" s="1" t="s">
        <v>198</v>
      </c>
      <c r="D1757" s="1">
        <v>8.0</v>
      </c>
      <c r="E1757" s="1">
        <v>4.0</v>
      </c>
      <c r="F1757" s="1"/>
      <c r="G1757" s="1"/>
      <c r="H1757" s="1"/>
      <c r="I1757" s="1"/>
      <c r="J1757" s="219"/>
      <c r="K1757" s="219"/>
      <c r="L1757" s="219"/>
      <c r="M1757" s="219"/>
      <c r="N1757" s="1">
        <v>380.0</v>
      </c>
      <c r="O1757" s="1">
        <v>296.0</v>
      </c>
      <c r="P1757" s="1">
        <v>3.0</v>
      </c>
      <c r="Q1757" s="1" t="b">
        <v>1</v>
      </c>
      <c r="R1757" s="1">
        <v>100.0</v>
      </c>
      <c r="S1757" s="1" t="s">
        <v>407</v>
      </c>
      <c r="T1757" s="1" t="s">
        <v>423</v>
      </c>
      <c r="U1757" s="1"/>
    </row>
    <row r="1758">
      <c r="A1758" s="218">
        <v>45257.455505335645</v>
      </c>
      <c r="B1758" s="1" t="s">
        <v>70</v>
      </c>
      <c r="C1758" s="1" t="s">
        <v>199</v>
      </c>
      <c r="D1758" s="1">
        <v>3.0</v>
      </c>
      <c r="E1758" s="1">
        <v>9.0</v>
      </c>
      <c r="F1758" s="1"/>
      <c r="G1758" s="1"/>
      <c r="H1758" s="1"/>
      <c r="I1758" s="1"/>
      <c r="J1758" s="219"/>
      <c r="K1758" s="219"/>
      <c r="L1758" s="219"/>
      <c r="M1758" s="219"/>
      <c r="N1758" s="1">
        <v>251.0</v>
      </c>
      <c r="O1758" s="1">
        <v>329.0</v>
      </c>
      <c r="P1758" s="1">
        <v>3.0</v>
      </c>
      <c r="Q1758" s="1" t="b">
        <v>1</v>
      </c>
      <c r="R1758" s="1">
        <v>100.0</v>
      </c>
      <c r="S1758" s="1" t="s">
        <v>352</v>
      </c>
      <c r="T1758" s="1" t="s">
        <v>423</v>
      </c>
      <c r="U1758" s="1"/>
    </row>
    <row r="1759">
      <c r="A1759" s="218">
        <v>45257.455505335645</v>
      </c>
      <c r="B1759" s="1"/>
      <c r="C1759" s="1"/>
      <c r="D1759" s="1"/>
      <c r="E1759" s="1"/>
      <c r="F1759" s="1"/>
      <c r="G1759" s="1"/>
      <c r="H1759" s="1"/>
      <c r="I1759" s="1"/>
      <c r="J1759" s="219"/>
      <c r="K1759" s="219"/>
      <c r="L1759" s="219"/>
      <c r="M1759" s="219"/>
      <c r="N1759" s="1"/>
      <c r="O1759" s="1"/>
      <c r="P1759" s="1"/>
      <c r="Q1759" s="1"/>
      <c r="R1759" s="1"/>
      <c r="S1759" s="1" t="e">
        <v>#N/A</v>
      </c>
      <c r="T1759" s="1" t="e">
        <v>#N/A</v>
      </c>
      <c r="U1759" s="1"/>
    </row>
    <row r="1760">
      <c r="A1760" s="218">
        <v>45257.455505335645</v>
      </c>
      <c r="B1760" s="1" t="s">
        <v>57</v>
      </c>
      <c r="C1760" s="1" t="s">
        <v>201</v>
      </c>
      <c r="D1760" s="1">
        <v>10.0</v>
      </c>
      <c r="E1760" s="1">
        <v>3.0</v>
      </c>
      <c r="F1760" s="1" t="s">
        <v>103</v>
      </c>
      <c r="G1760" s="218">
        <v>45261.79166666667</v>
      </c>
      <c r="H1760" s="1" t="s">
        <v>58</v>
      </c>
      <c r="I1760" s="1"/>
      <c r="J1760" s="219">
        <v>13.5</v>
      </c>
      <c r="K1760" s="219">
        <v>10.5</v>
      </c>
      <c r="L1760" s="219">
        <v>315.0</v>
      </c>
      <c r="M1760" s="219" t="s">
        <v>114</v>
      </c>
      <c r="N1760" s="1">
        <v>367.0</v>
      </c>
      <c r="O1760" s="1">
        <v>256.0</v>
      </c>
      <c r="P1760" s="1">
        <v>1.0</v>
      </c>
      <c r="Q1760" s="1" t="b">
        <v>0</v>
      </c>
      <c r="R1760" s="1">
        <v>100.0</v>
      </c>
      <c r="S1760" s="1" t="s">
        <v>351</v>
      </c>
      <c r="T1760" s="1" t="s">
        <v>423</v>
      </c>
      <c r="U1760" s="1"/>
    </row>
    <row r="1761">
      <c r="A1761" s="218">
        <v>45257.455505335645</v>
      </c>
      <c r="B1761" s="1" t="s">
        <v>57</v>
      </c>
      <c r="C1761" s="1" t="s">
        <v>202</v>
      </c>
      <c r="D1761" s="1">
        <v>9.0</v>
      </c>
      <c r="E1761" s="1">
        <v>3.0</v>
      </c>
      <c r="F1761" s="1" t="s">
        <v>110</v>
      </c>
      <c r="G1761" s="218">
        <v>45262.625</v>
      </c>
      <c r="H1761" s="1" t="s">
        <v>59</v>
      </c>
      <c r="I1761" s="1" t="s">
        <v>92</v>
      </c>
      <c r="J1761" s="219">
        <v>3.5</v>
      </c>
      <c r="K1761" s="219">
        <v>3.5</v>
      </c>
      <c r="L1761" s="219">
        <v>-152.0</v>
      </c>
      <c r="M1761" s="219" t="s">
        <v>203</v>
      </c>
      <c r="N1761" s="1">
        <v>426.0</v>
      </c>
      <c r="O1761" s="1">
        <v>307.0</v>
      </c>
      <c r="P1761" s="1">
        <v>1.0</v>
      </c>
      <c r="Q1761" s="1" t="b">
        <v>1</v>
      </c>
      <c r="R1761" s="1">
        <v>100.0</v>
      </c>
      <c r="S1761" s="1" t="s">
        <v>353</v>
      </c>
      <c r="T1761" s="1" t="s">
        <v>423</v>
      </c>
      <c r="U1761" s="1"/>
    </row>
    <row r="1762">
      <c r="A1762" s="218">
        <v>45257.455505335645</v>
      </c>
      <c r="B1762" s="1" t="s">
        <v>57</v>
      </c>
      <c r="C1762" s="1" t="s">
        <v>204</v>
      </c>
      <c r="D1762" s="1">
        <v>7.0</v>
      </c>
      <c r="E1762" s="1">
        <v>5.0</v>
      </c>
      <c r="F1762" s="1"/>
      <c r="G1762" s="1"/>
      <c r="H1762" s="1"/>
      <c r="I1762" s="1"/>
      <c r="J1762" s="219"/>
      <c r="K1762" s="219"/>
      <c r="L1762" s="219"/>
      <c r="M1762" s="219"/>
      <c r="N1762" s="1">
        <v>502.0</v>
      </c>
      <c r="O1762" s="1">
        <v>419.0</v>
      </c>
      <c r="P1762" s="1">
        <v>3.0</v>
      </c>
      <c r="Q1762" s="1" t="b">
        <v>1</v>
      </c>
      <c r="R1762" s="1">
        <v>100.0</v>
      </c>
      <c r="S1762" s="1" t="s">
        <v>354</v>
      </c>
      <c r="T1762" s="1" t="s">
        <v>422</v>
      </c>
      <c r="U1762" s="1"/>
    </row>
    <row r="1763">
      <c r="A1763" s="218">
        <v>45257.455505335645</v>
      </c>
      <c r="B1763" s="1" t="s">
        <v>57</v>
      </c>
      <c r="C1763" s="1" t="s">
        <v>206</v>
      </c>
      <c r="D1763" s="1">
        <v>7.0</v>
      </c>
      <c r="E1763" s="1">
        <v>5.0</v>
      </c>
      <c r="F1763" s="1"/>
      <c r="G1763" s="1"/>
      <c r="H1763" s="1"/>
      <c r="I1763" s="1"/>
      <c r="J1763" s="219"/>
      <c r="K1763" s="219"/>
      <c r="L1763" s="219"/>
      <c r="M1763" s="219"/>
      <c r="N1763" s="1">
        <v>336.0</v>
      </c>
      <c r="O1763" s="1">
        <v>296.0</v>
      </c>
      <c r="P1763" s="1">
        <v>3.0</v>
      </c>
      <c r="Q1763" s="1" t="b">
        <v>1</v>
      </c>
      <c r="R1763" s="1">
        <v>100.0</v>
      </c>
      <c r="S1763" s="1" t="s">
        <v>355</v>
      </c>
      <c r="T1763" s="1" t="s">
        <v>423</v>
      </c>
      <c r="U1763" s="1"/>
    </row>
    <row r="1764">
      <c r="A1764" s="218">
        <v>45257.455505335645</v>
      </c>
      <c r="B1764" s="1" t="s">
        <v>57</v>
      </c>
      <c r="C1764" s="1" t="s">
        <v>207</v>
      </c>
      <c r="D1764" s="1">
        <v>4.0</v>
      </c>
      <c r="E1764" s="1">
        <v>8.0</v>
      </c>
      <c r="F1764" s="1"/>
      <c r="G1764" s="1"/>
      <c r="H1764" s="1"/>
      <c r="I1764" s="1"/>
      <c r="J1764" s="219"/>
      <c r="K1764" s="219"/>
      <c r="L1764" s="219"/>
      <c r="M1764" s="219"/>
      <c r="N1764" s="1">
        <v>281.0</v>
      </c>
      <c r="O1764" s="1">
        <v>406.0</v>
      </c>
      <c r="P1764" s="1">
        <v>3.0</v>
      </c>
      <c r="Q1764" s="1" t="b">
        <v>1</v>
      </c>
      <c r="R1764" s="1">
        <v>100.0</v>
      </c>
      <c r="S1764" s="1" t="s">
        <v>407</v>
      </c>
      <c r="T1764" s="1" t="s">
        <v>423</v>
      </c>
      <c r="U1764" s="1"/>
    </row>
    <row r="1765">
      <c r="A1765" s="218">
        <v>45257.455505335645</v>
      </c>
      <c r="B1765" s="1" t="s">
        <v>57</v>
      </c>
      <c r="C1765" s="1" t="s">
        <v>208</v>
      </c>
      <c r="D1765" s="1">
        <v>4.0</v>
      </c>
      <c r="E1765" s="1">
        <v>8.0</v>
      </c>
      <c r="F1765" s="1"/>
      <c r="G1765" s="1"/>
      <c r="H1765" s="1"/>
      <c r="I1765" s="1"/>
      <c r="J1765" s="219"/>
      <c r="K1765" s="219"/>
      <c r="L1765" s="219"/>
      <c r="M1765" s="219"/>
      <c r="N1765" s="1">
        <v>243.0</v>
      </c>
      <c r="O1765" s="1">
        <v>326.0</v>
      </c>
      <c r="P1765" s="1">
        <v>3.0</v>
      </c>
      <c r="Q1765" s="1" t="b">
        <v>1</v>
      </c>
      <c r="R1765" s="1">
        <v>100.0</v>
      </c>
      <c r="S1765" s="1" t="s">
        <v>301</v>
      </c>
      <c r="T1765" s="1" t="s">
        <v>422</v>
      </c>
      <c r="U1765" s="1"/>
    </row>
    <row r="1766">
      <c r="A1766" s="218">
        <v>45257.455505335645</v>
      </c>
      <c r="B1766" s="1" t="s">
        <v>57</v>
      </c>
      <c r="C1766" s="1" t="s">
        <v>200</v>
      </c>
      <c r="D1766" s="1">
        <v>11.0</v>
      </c>
      <c r="E1766" s="1">
        <v>1.0</v>
      </c>
      <c r="F1766" s="1"/>
      <c r="G1766" s="1"/>
      <c r="H1766" s="1"/>
      <c r="I1766" s="1"/>
      <c r="J1766" s="219"/>
      <c r="K1766" s="219"/>
      <c r="L1766" s="219"/>
      <c r="M1766" s="219"/>
      <c r="N1766" s="1">
        <v>394.0</v>
      </c>
      <c r="O1766" s="1">
        <v>132.0</v>
      </c>
      <c r="P1766" s="1">
        <v>3.0</v>
      </c>
      <c r="Q1766" s="1" t="b">
        <v>1</v>
      </c>
      <c r="R1766" s="1">
        <v>100.0</v>
      </c>
      <c r="S1766" s="1" t="s">
        <v>282</v>
      </c>
      <c r="T1766" s="1" t="s">
        <v>422</v>
      </c>
      <c r="U1766" s="1"/>
    </row>
    <row r="1767">
      <c r="A1767" s="218">
        <v>45257.455505335645</v>
      </c>
      <c r="B1767" s="1" t="s">
        <v>57</v>
      </c>
      <c r="C1767" s="1" t="s">
        <v>210</v>
      </c>
      <c r="D1767" s="1">
        <v>4.0</v>
      </c>
      <c r="E1767" s="1">
        <v>8.0</v>
      </c>
      <c r="F1767" s="1"/>
      <c r="G1767" s="1"/>
      <c r="H1767" s="1"/>
      <c r="I1767" s="1"/>
      <c r="J1767" s="219"/>
      <c r="K1767" s="219"/>
      <c r="L1767" s="219"/>
      <c r="M1767" s="219"/>
      <c r="N1767" s="1">
        <v>284.0</v>
      </c>
      <c r="O1767" s="1">
        <v>378.0</v>
      </c>
      <c r="P1767" s="1">
        <v>3.0</v>
      </c>
      <c r="Q1767" s="1" t="b">
        <v>1</v>
      </c>
      <c r="R1767" s="1">
        <v>100.0</v>
      </c>
      <c r="S1767" s="1" t="s">
        <v>296</v>
      </c>
      <c r="T1767" s="1" t="s">
        <v>422</v>
      </c>
      <c r="U1767" s="1"/>
    </row>
    <row r="1768">
      <c r="A1768" s="218">
        <v>45257.455505335645</v>
      </c>
      <c r="B1768" s="1" t="s">
        <v>57</v>
      </c>
      <c r="C1768" s="1" t="s">
        <v>213</v>
      </c>
      <c r="D1768" s="1">
        <v>4.0</v>
      </c>
      <c r="E1768" s="1">
        <v>8.0</v>
      </c>
      <c r="F1768" s="1"/>
      <c r="G1768" s="1"/>
      <c r="H1768" s="1"/>
      <c r="I1768" s="1"/>
      <c r="J1768" s="219"/>
      <c r="K1768" s="219"/>
      <c r="L1768" s="219"/>
      <c r="M1768" s="219"/>
      <c r="N1768" s="1">
        <v>319.0</v>
      </c>
      <c r="O1768" s="1">
        <v>335.0</v>
      </c>
      <c r="P1768" s="1">
        <v>3.0</v>
      </c>
      <c r="Q1768" s="1" t="b">
        <v>1</v>
      </c>
      <c r="R1768" s="1">
        <v>100.0</v>
      </c>
      <c r="S1768" s="1" t="s">
        <v>292</v>
      </c>
      <c r="T1768" s="1" t="s">
        <v>422</v>
      </c>
      <c r="U1768" s="1"/>
    </row>
    <row r="1769">
      <c r="A1769" s="218">
        <v>45257.455505335645</v>
      </c>
      <c r="B1769" s="1" t="s">
        <v>57</v>
      </c>
      <c r="C1769" s="1" t="s">
        <v>214</v>
      </c>
      <c r="D1769" s="1">
        <v>9.0</v>
      </c>
      <c r="E1769" s="1">
        <v>3.0</v>
      </c>
      <c r="F1769" s="1"/>
      <c r="G1769" s="1"/>
      <c r="H1769" s="1"/>
      <c r="I1769" s="1"/>
      <c r="J1769" s="219"/>
      <c r="K1769" s="219"/>
      <c r="L1769" s="219"/>
      <c r="M1769" s="219"/>
      <c r="N1769" s="1">
        <v>275.0</v>
      </c>
      <c r="O1769" s="1">
        <v>185.0</v>
      </c>
      <c r="P1769" s="1">
        <v>3.0</v>
      </c>
      <c r="Q1769" s="1" t="b">
        <v>1</v>
      </c>
      <c r="R1769" s="1">
        <v>100.0</v>
      </c>
      <c r="S1769" s="1" t="s">
        <v>352</v>
      </c>
      <c r="T1769" s="1" t="s">
        <v>423</v>
      </c>
      <c r="U1769" s="1"/>
    </row>
    <row r="1770">
      <c r="A1770" s="218">
        <v>45257.455505335645</v>
      </c>
      <c r="B1770" s="1"/>
      <c r="C1770" s="1"/>
      <c r="D1770" s="1"/>
      <c r="E1770" s="1"/>
      <c r="F1770" s="1"/>
      <c r="G1770" s="1"/>
      <c r="H1770" s="1"/>
      <c r="I1770" s="1"/>
      <c r="J1770" s="219"/>
      <c r="K1770" s="219"/>
      <c r="L1770" s="219"/>
      <c r="M1770" s="219"/>
      <c r="N1770" s="1"/>
      <c r="O1770" s="1"/>
      <c r="P1770" s="1"/>
      <c r="Q1770" s="1"/>
      <c r="R1770" s="1"/>
      <c r="S1770" s="1" t="e">
        <v>#N/A</v>
      </c>
      <c r="T1770" s="1" t="e">
        <v>#N/A</v>
      </c>
      <c r="U1770" s="1"/>
    </row>
    <row r="1771">
      <c r="A1771" s="218">
        <v>45257.455505335645</v>
      </c>
      <c r="B1771" s="1" t="s">
        <v>67</v>
      </c>
      <c r="C1771" s="1" t="s">
        <v>216</v>
      </c>
      <c r="D1771" s="1">
        <v>8.0</v>
      </c>
      <c r="E1771" s="1">
        <v>4.0</v>
      </c>
      <c r="F1771" s="1"/>
      <c r="G1771" s="1"/>
      <c r="H1771" s="1"/>
      <c r="I1771" s="1"/>
      <c r="J1771" s="219"/>
      <c r="K1771" s="219"/>
      <c r="L1771" s="219"/>
      <c r="M1771" s="219"/>
      <c r="N1771" s="1">
        <v>439.0</v>
      </c>
      <c r="O1771" s="1">
        <v>325.0</v>
      </c>
      <c r="P1771" s="1">
        <v>3.0</v>
      </c>
      <c r="Q1771" s="1" t="b">
        <v>1</v>
      </c>
      <c r="R1771" s="1">
        <v>100.0</v>
      </c>
      <c r="S1771" s="1" t="s">
        <v>301</v>
      </c>
      <c r="T1771" s="1" t="s">
        <v>422</v>
      </c>
      <c r="U1771" s="1"/>
    </row>
    <row r="1772">
      <c r="A1772" s="218">
        <v>45257.455505335645</v>
      </c>
      <c r="B1772" s="1" t="s">
        <v>67</v>
      </c>
      <c r="C1772" s="1" t="s">
        <v>205</v>
      </c>
      <c r="D1772" s="1">
        <v>6.0</v>
      </c>
      <c r="E1772" s="1">
        <v>6.0</v>
      </c>
      <c r="F1772" s="1"/>
      <c r="G1772" s="1"/>
      <c r="H1772" s="1"/>
      <c r="I1772" s="1"/>
      <c r="J1772" s="219"/>
      <c r="K1772" s="219"/>
      <c r="L1772" s="219"/>
      <c r="M1772" s="219"/>
      <c r="N1772" s="1">
        <v>371.0</v>
      </c>
      <c r="O1772" s="1">
        <v>263.0</v>
      </c>
      <c r="P1772" s="1">
        <v>3.0</v>
      </c>
      <c r="Q1772" s="1" t="b">
        <v>1</v>
      </c>
      <c r="R1772" s="1">
        <v>100.0</v>
      </c>
      <c r="S1772" s="1" t="s">
        <v>355</v>
      </c>
      <c r="T1772" s="1" t="s">
        <v>423</v>
      </c>
      <c r="U1772" s="1"/>
    </row>
    <row r="1773">
      <c r="A1773" s="218">
        <v>45257.455505335645</v>
      </c>
      <c r="B1773" s="1" t="s">
        <v>67</v>
      </c>
      <c r="C1773" s="1" t="s">
        <v>217</v>
      </c>
      <c r="D1773" s="1">
        <v>9.0</v>
      </c>
      <c r="E1773" s="1">
        <v>3.0</v>
      </c>
      <c r="F1773" s="1"/>
      <c r="G1773" s="1"/>
      <c r="H1773" s="1"/>
      <c r="I1773" s="1"/>
      <c r="J1773" s="219"/>
      <c r="K1773" s="219"/>
      <c r="L1773" s="219"/>
      <c r="M1773" s="219"/>
      <c r="N1773" s="1">
        <v>412.0</v>
      </c>
      <c r="O1773" s="1">
        <v>250.0</v>
      </c>
      <c r="P1773" s="1">
        <v>3.0</v>
      </c>
      <c r="Q1773" s="1" t="b">
        <v>1</v>
      </c>
      <c r="R1773" s="1">
        <v>100.0</v>
      </c>
      <c r="S1773" s="1" t="s">
        <v>354</v>
      </c>
      <c r="T1773" s="1" t="s">
        <v>422</v>
      </c>
      <c r="U1773" s="1"/>
    </row>
    <row r="1774">
      <c r="A1774" s="218">
        <v>45257.455505335645</v>
      </c>
      <c r="B1774" s="1" t="s">
        <v>67</v>
      </c>
      <c r="C1774" s="1" t="s">
        <v>218</v>
      </c>
      <c r="D1774" s="1">
        <v>2.0</v>
      </c>
      <c r="E1774" s="1">
        <v>10.0</v>
      </c>
      <c r="F1774" s="1"/>
      <c r="G1774" s="1"/>
      <c r="H1774" s="1"/>
      <c r="I1774" s="1"/>
      <c r="J1774" s="219"/>
      <c r="K1774" s="219"/>
      <c r="L1774" s="219"/>
      <c r="M1774" s="219"/>
      <c r="N1774" s="1">
        <v>208.0</v>
      </c>
      <c r="O1774" s="1">
        <v>419.0</v>
      </c>
      <c r="P1774" s="1">
        <v>3.0</v>
      </c>
      <c r="Q1774" s="1" t="b">
        <v>1</v>
      </c>
      <c r="R1774" s="1">
        <v>100.0</v>
      </c>
      <c r="S1774" s="1" t="s">
        <v>353</v>
      </c>
      <c r="T1774" s="1" t="s">
        <v>423</v>
      </c>
      <c r="U1774" s="1"/>
    </row>
    <row r="1775">
      <c r="A1775" s="218">
        <v>45257.455505335645</v>
      </c>
      <c r="B1775" s="1" t="s">
        <v>67</v>
      </c>
      <c r="C1775" s="1" t="s">
        <v>220</v>
      </c>
      <c r="D1775" s="1">
        <v>4.0</v>
      </c>
      <c r="E1775" s="1">
        <v>8.0</v>
      </c>
      <c r="F1775" s="1"/>
      <c r="G1775" s="1"/>
      <c r="H1775" s="1"/>
      <c r="I1775" s="1"/>
      <c r="J1775" s="219"/>
      <c r="K1775" s="219"/>
      <c r="L1775" s="219"/>
      <c r="M1775" s="219"/>
      <c r="N1775" s="1">
        <v>241.0</v>
      </c>
      <c r="O1775" s="1">
        <v>382.0</v>
      </c>
      <c r="P1775" s="1">
        <v>3.0</v>
      </c>
      <c r="Q1775" s="1" t="b">
        <v>1</v>
      </c>
      <c r="R1775" s="1">
        <v>100.0</v>
      </c>
      <c r="S1775" s="1" t="s">
        <v>351</v>
      </c>
      <c r="T1775" s="1" t="s">
        <v>423</v>
      </c>
      <c r="U1775" s="1"/>
    </row>
    <row r="1776">
      <c r="A1776" s="218">
        <v>45257.455505335645</v>
      </c>
      <c r="B1776" s="1" t="s">
        <v>67</v>
      </c>
      <c r="C1776" s="1" t="s">
        <v>221</v>
      </c>
      <c r="D1776" s="1">
        <v>5.0</v>
      </c>
      <c r="E1776" s="1">
        <v>7.0</v>
      </c>
      <c r="F1776" s="1"/>
      <c r="G1776" s="1"/>
      <c r="H1776" s="1"/>
      <c r="I1776" s="1"/>
      <c r="J1776" s="219"/>
      <c r="K1776" s="219"/>
      <c r="L1776" s="219"/>
      <c r="M1776" s="219"/>
      <c r="N1776" s="1">
        <v>414.0</v>
      </c>
      <c r="O1776" s="1">
        <v>445.0</v>
      </c>
      <c r="P1776" s="1">
        <v>3.0</v>
      </c>
      <c r="Q1776" s="1" t="b">
        <v>1</v>
      </c>
      <c r="R1776" s="1">
        <v>100.0</v>
      </c>
      <c r="S1776" s="1" t="s">
        <v>407</v>
      </c>
      <c r="T1776" s="1" t="s">
        <v>423</v>
      </c>
      <c r="U1776" s="1"/>
    </row>
    <row r="1777">
      <c r="A1777" s="218">
        <v>45257.455505335645</v>
      </c>
      <c r="B1777" s="1" t="s">
        <v>67</v>
      </c>
      <c r="C1777" s="1" t="s">
        <v>222</v>
      </c>
      <c r="D1777" s="1">
        <v>4.0</v>
      </c>
      <c r="E1777" s="1">
        <v>8.0</v>
      </c>
      <c r="F1777" s="1"/>
      <c r="G1777" s="1"/>
      <c r="H1777" s="1"/>
      <c r="I1777" s="1"/>
      <c r="J1777" s="219"/>
      <c r="K1777" s="219"/>
      <c r="L1777" s="219"/>
      <c r="M1777" s="219"/>
      <c r="N1777" s="1">
        <v>287.0</v>
      </c>
      <c r="O1777" s="1">
        <v>365.0</v>
      </c>
      <c r="P1777" s="1">
        <v>3.0</v>
      </c>
      <c r="Q1777" s="1" t="b">
        <v>1</v>
      </c>
      <c r="R1777" s="1">
        <v>100.0</v>
      </c>
      <c r="S1777" s="1" t="s">
        <v>282</v>
      </c>
      <c r="T1777" s="1" t="s">
        <v>422</v>
      </c>
      <c r="U1777" s="1"/>
    </row>
    <row r="1778">
      <c r="A1778" s="218">
        <v>45257.455505335645</v>
      </c>
      <c r="B1778" s="1" t="s">
        <v>67</v>
      </c>
      <c r="C1778" s="1" t="s">
        <v>223</v>
      </c>
      <c r="D1778" s="1">
        <v>5.0</v>
      </c>
      <c r="E1778" s="1">
        <v>7.0</v>
      </c>
      <c r="F1778" s="1"/>
      <c r="G1778" s="1"/>
      <c r="H1778" s="1"/>
      <c r="I1778" s="1"/>
      <c r="J1778" s="219"/>
      <c r="K1778" s="219"/>
      <c r="L1778" s="219"/>
      <c r="M1778" s="219"/>
      <c r="N1778" s="1">
        <v>376.0</v>
      </c>
      <c r="O1778" s="1">
        <v>334.0</v>
      </c>
      <c r="P1778" s="1">
        <v>3.0</v>
      </c>
      <c r="Q1778" s="1" t="b">
        <v>1</v>
      </c>
      <c r="R1778" s="1">
        <v>100.0</v>
      </c>
      <c r="S1778" s="1" t="s">
        <v>296</v>
      </c>
      <c r="T1778" s="1" t="s">
        <v>422</v>
      </c>
      <c r="U1778" s="1"/>
    </row>
    <row r="1779">
      <c r="A1779" s="218">
        <v>45257.455505335645</v>
      </c>
      <c r="B1779" s="1" t="s">
        <v>67</v>
      </c>
      <c r="C1779" s="1" t="s">
        <v>225</v>
      </c>
      <c r="D1779" s="1">
        <v>10.0</v>
      </c>
      <c r="E1779" s="1">
        <v>2.0</v>
      </c>
      <c r="F1779" s="1"/>
      <c r="G1779" s="1"/>
      <c r="H1779" s="1"/>
      <c r="I1779" s="1"/>
      <c r="J1779" s="219"/>
      <c r="K1779" s="219"/>
      <c r="L1779" s="219"/>
      <c r="M1779" s="219"/>
      <c r="N1779" s="1">
        <v>418.0</v>
      </c>
      <c r="O1779" s="1">
        <v>268.0</v>
      </c>
      <c r="P1779" s="1">
        <v>3.0</v>
      </c>
      <c r="Q1779" s="1" t="b">
        <v>1</v>
      </c>
      <c r="R1779" s="1">
        <v>100.0</v>
      </c>
      <c r="S1779" s="1" t="s">
        <v>292</v>
      </c>
      <c r="T1779" s="1" t="s">
        <v>422</v>
      </c>
      <c r="U1779" s="1"/>
    </row>
    <row r="1780">
      <c r="A1780" s="218">
        <v>45257.455505335645</v>
      </c>
      <c r="B1780" s="1" t="s">
        <v>67</v>
      </c>
      <c r="C1780" s="1" t="s">
        <v>226</v>
      </c>
      <c r="D1780" s="1">
        <v>7.0</v>
      </c>
      <c r="E1780" s="1">
        <v>5.0</v>
      </c>
      <c r="F1780" s="1"/>
      <c r="G1780" s="1"/>
      <c r="H1780" s="1"/>
      <c r="I1780" s="1"/>
      <c r="J1780" s="219"/>
      <c r="K1780" s="219"/>
      <c r="L1780" s="219"/>
      <c r="M1780" s="219"/>
      <c r="N1780" s="1">
        <v>316.0</v>
      </c>
      <c r="O1780" s="1">
        <v>282.0</v>
      </c>
      <c r="P1780" s="1">
        <v>3.0</v>
      </c>
      <c r="Q1780" s="1" t="b">
        <v>1</v>
      </c>
      <c r="R1780" s="1">
        <v>100.0</v>
      </c>
      <c r="S1780" s="1" t="s">
        <v>352</v>
      </c>
      <c r="T1780" s="1" t="s">
        <v>423</v>
      </c>
      <c r="U1780" s="1"/>
    </row>
    <row r="1781">
      <c r="A1781" s="218">
        <v>45257.455505335645</v>
      </c>
      <c r="B1781" s="1"/>
      <c r="C1781" s="1"/>
      <c r="D1781" s="1"/>
      <c r="E1781" s="1"/>
      <c r="F1781" s="1"/>
      <c r="G1781" s="1"/>
      <c r="H1781" s="1"/>
      <c r="I1781" s="1"/>
      <c r="J1781" s="219"/>
      <c r="K1781" s="219"/>
      <c r="L1781" s="219"/>
      <c r="M1781" s="219"/>
      <c r="N1781" s="1"/>
      <c r="O1781" s="1"/>
      <c r="P1781" s="1"/>
      <c r="Q1781" s="1"/>
      <c r="R1781" s="1"/>
      <c r="S1781" s="1" t="e">
        <v>#N/A</v>
      </c>
      <c r="T1781" s="1" t="e">
        <v>#N/A</v>
      </c>
      <c r="U1781" s="1"/>
    </row>
    <row r="1782">
      <c r="A1782" s="218">
        <v>45257.455505335645</v>
      </c>
      <c r="B1782" s="1" t="s">
        <v>59</v>
      </c>
      <c r="C1782" s="1" t="s">
        <v>227</v>
      </c>
      <c r="D1782" s="1">
        <v>7.0</v>
      </c>
      <c r="E1782" s="1">
        <v>5.0</v>
      </c>
      <c r="F1782" s="1" t="s">
        <v>110</v>
      </c>
      <c r="G1782" s="218">
        <v>45262.625</v>
      </c>
      <c r="H1782" s="1" t="s">
        <v>57</v>
      </c>
      <c r="I1782" s="1"/>
      <c r="J1782" s="219">
        <v>-3.5</v>
      </c>
      <c r="K1782" s="219">
        <v>-3.5</v>
      </c>
      <c r="L1782" s="219">
        <v>-152.0</v>
      </c>
      <c r="M1782" s="219" t="s">
        <v>203</v>
      </c>
      <c r="N1782" s="1">
        <v>384.0</v>
      </c>
      <c r="O1782" s="1">
        <v>303.0</v>
      </c>
      <c r="P1782" s="1">
        <v>1.0</v>
      </c>
      <c r="Q1782" s="1" t="b">
        <v>0</v>
      </c>
      <c r="R1782" s="1">
        <v>100.0</v>
      </c>
      <c r="S1782" s="1" t="s">
        <v>353</v>
      </c>
      <c r="T1782" s="1" t="s">
        <v>423</v>
      </c>
      <c r="U1782" s="1"/>
    </row>
    <row r="1783">
      <c r="A1783" s="218">
        <v>45257.455505335645</v>
      </c>
      <c r="B1783" s="1" t="s">
        <v>59</v>
      </c>
      <c r="C1783" s="1" t="s">
        <v>209</v>
      </c>
      <c r="D1783" s="1">
        <v>12.0</v>
      </c>
      <c r="E1783" s="1">
        <v>0.0</v>
      </c>
      <c r="F1783" s="1" t="s">
        <v>211</v>
      </c>
      <c r="G1783" s="218">
        <v>45262.83333333333</v>
      </c>
      <c r="H1783" s="1" t="s">
        <v>61</v>
      </c>
      <c r="I1783" s="1" t="s">
        <v>92</v>
      </c>
      <c r="J1783" s="219">
        <v>-21.5</v>
      </c>
      <c r="K1783" s="219">
        <v>-22.5</v>
      </c>
      <c r="L1783" s="219">
        <v>-4500.0</v>
      </c>
      <c r="M1783" s="219" t="s">
        <v>1437</v>
      </c>
      <c r="N1783" s="1">
        <v>451.0</v>
      </c>
      <c r="O1783" s="1">
        <v>123.0</v>
      </c>
      <c r="P1783" s="1">
        <v>1.0</v>
      </c>
      <c r="Q1783" s="1" t="b">
        <v>1</v>
      </c>
      <c r="R1783" s="1">
        <v>100.0</v>
      </c>
      <c r="S1783" s="1" t="s">
        <v>282</v>
      </c>
      <c r="T1783" s="1" t="s">
        <v>422</v>
      </c>
      <c r="U1783" s="1"/>
    </row>
    <row r="1784">
      <c r="A1784" s="218">
        <v>45257.455505335645</v>
      </c>
      <c r="B1784" s="1" t="s">
        <v>59</v>
      </c>
      <c r="C1784" s="1" t="s">
        <v>229</v>
      </c>
      <c r="D1784" s="1">
        <v>6.0</v>
      </c>
      <c r="E1784" s="1">
        <v>6.0</v>
      </c>
      <c r="F1784" s="1"/>
      <c r="G1784" s="1"/>
      <c r="H1784" s="1"/>
      <c r="I1784" s="1"/>
      <c r="J1784" s="219"/>
      <c r="K1784" s="219"/>
      <c r="L1784" s="219"/>
      <c r="M1784" s="219"/>
      <c r="N1784" s="1">
        <v>374.0</v>
      </c>
      <c r="O1784" s="1">
        <v>366.0</v>
      </c>
      <c r="P1784" s="1">
        <v>3.0</v>
      </c>
      <c r="Q1784" s="1" t="b">
        <v>1</v>
      </c>
      <c r="R1784" s="1">
        <v>100.0</v>
      </c>
      <c r="S1784" s="1" t="s">
        <v>301</v>
      </c>
      <c r="T1784" s="1" t="s">
        <v>422</v>
      </c>
      <c r="U1784" s="1"/>
    </row>
    <row r="1785">
      <c r="A1785" s="218">
        <v>45257.455505335645</v>
      </c>
      <c r="B1785" s="1" t="s">
        <v>59</v>
      </c>
      <c r="C1785" s="1" t="s">
        <v>230</v>
      </c>
      <c r="D1785" s="1">
        <v>3.0</v>
      </c>
      <c r="E1785" s="1">
        <v>9.0</v>
      </c>
      <c r="F1785" s="1"/>
      <c r="G1785" s="1"/>
      <c r="H1785" s="1"/>
      <c r="I1785" s="1"/>
      <c r="J1785" s="219">
        <v>7.0</v>
      </c>
      <c r="K1785" s="219">
        <v>11.5</v>
      </c>
      <c r="L1785" s="219">
        <v>-430.0</v>
      </c>
      <c r="M1785" s="219" t="s">
        <v>68</v>
      </c>
      <c r="N1785" s="1">
        <v>277.0</v>
      </c>
      <c r="O1785" s="1">
        <v>400.0</v>
      </c>
      <c r="P1785" s="1">
        <v>3.0</v>
      </c>
      <c r="Q1785" s="1" t="b">
        <v>1</v>
      </c>
      <c r="R1785" s="1">
        <v>100.0</v>
      </c>
      <c r="S1785" s="1" t="s">
        <v>296</v>
      </c>
      <c r="T1785" s="1" t="s">
        <v>422</v>
      </c>
      <c r="U1785" s="1"/>
    </row>
    <row r="1786">
      <c r="A1786" s="218">
        <v>45257.455505335645</v>
      </c>
      <c r="B1786" s="1" t="s">
        <v>59</v>
      </c>
      <c r="C1786" s="1" t="s">
        <v>231</v>
      </c>
      <c r="D1786" s="1">
        <v>8.0</v>
      </c>
      <c r="E1786" s="1">
        <v>4.0</v>
      </c>
      <c r="F1786" s="1"/>
      <c r="G1786" s="1"/>
      <c r="H1786" s="1"/>
      <c r="I1786" s="1"/>
      <c r="J1786" s="219"/>
      <c r="K1786" s="219"/>
      <c r="L1786" s="219"/>
      <c r="M1786" s="219"/>
      <c r="N1786" s="1">
        <v>294.0</v>
      </c>
      <c r="O1786" s="1">
        <v>237.0</v>
      </c>
      <c r="P1786" s="1">
        <v>3.0</v>
      </c>
      <c r="Q1786" s="1" t="b">
        <v>1</v>
      </c>
      <c r="R1786" s="1">
        <v>100.0</v>
      </c>
      <c r="S1786" s="1" t="s">
        <v>354</v>
      </c>
      <c r="T1786" s="1" t="s">
        <v>422</v>
      </c>
      <c r="U1786" s="1"/>
    </row>
    <row r="1787">
      <c r="A1787" s="218">
        <v>45257.455505335645</v>
      </c>
      <c r="B1787" s="1" t="s">
        <v>59</v>
      </c>
      <c r="C1787" s="1" t="s">
        <v>232</v>
      </c>
      <c r="D1787" s="1">
        <v>6.0</v>
      </c>
      <c r="E1787" s="1">
        <v>6.0</v>
      </c>
      <c r="F1787" s="1"/>
      <c r="G1787" s="1"/>
      <c r="H1787" s="1"/>
      <c r="I1787" s="1"/>
      <c r="J1787" s="219"/>
      <c r="K1787" s="219"/>
      <c r="L1787" s="219"/>
      <c r="M1787" s="219"/>
      <c r="N1787" s="1">
        <v>309.0</v>
      </c>
      <c r="O1787" s="1">
        <v>369.0</v>
      </c>
      <c r="P1787" s="1">
        <v>3.0</v>
      </c>
      <c r="Q1787" s="1" t="b">
        <v>1</v>
      </c>
      <c r="R1787" s="1">
        <v>100.0</v>
      </c>
      <c r="S1787" s="1" t="s">
        <v>355</v>
      </c>
      <c r="T1787" s="1" t="s">
        <v>423</v>
      </c>
      <c r="U1787" s="1"/>
    </row>
    <row r="1788">
      <c r="A1788" s="218">
        <v>45257.455505335645</v>
      </c>
      <c r="B1788" s="1" t="s">
        <v>59</v>
      </c>
      <c r="C1788" s="1" t="s">
        <v>234</v>
      </c>
      <c r="D1788" s="1">
        <v>5.0</v>
      </c>
      <c r="E1788" s="1">
        <v>6.0</v>
      </c>
      <c r="F1788" s="1"/>
      <c r="G1788" s="1"/>
      <c r="H1788" s="1"/>
      <c r="I1788" s="1"/>
      <c r="J1788" s="219"/>
      <c r="K1788" s="219"/>
      <c r="L1788" s="219"/>
      <c r="M1788" s="219"/>
      <c r="N1788" s="1">
        <v>201.0</v>
      </c>
      <c r="O1788" s="1">
        <v>252.0</v>
      </c>
      <c r="P1788" s="1">
        <v>3.0</v>
      </c>
      <c r="Q1788" s="1" t="b">
        <v>1</v>
      </c>
      <c r="R1788" s="1">
        <v>100.0</v>
      </c>
      <c r="S1788" s="1" t="s">
        <v>407</v>
      </c>
      <c r="T1788" s="1" t="s">
        <v>423</v>
      </c>
      <c r="U1788" s="1"/>
    </row>
    <row r="1789">
      <c r="A1789" s="218">
        <v>45257.455505335645</v>
      </c>
      <c r="B1789" s="1" t="s">
        <v>59</v>
      </c>
      <c r="C1789" s="1" t="s">
        <v>236</v>
      </c>
      <c r="D1789" s="1">
        <v>3.0</v>
      </c>
      <c r="E1789" s="1">
        <v>9.0</v>
      </c>
      <c r="F1789" s="1"/>
      <c r="G1789" s="1"/>
      <c r="H1789" s="1"/>
      <c r="I1789" s="1"/>
      <c r="J1789" s="219"/>
      <c r="K1789" s="219"/>
      <c r="L1789" s="219"/>
      <c r="M1789" s="219"/>
      <c r="N1789" s="1">
        <v>229.0</v>
      </c>
      <c r="O1789" s="1">
        <v>358.0</v>
      </c>
      <c r="P1789" s="1">
        <v>3.0</v>
      </c>
      <c r="Q1789" s="1" t="b">
        <v>1</v>
      </c>
      <c r="R1789" s="1">
        <v>100.0</v>
      </c>
      <c r="S1789" s="1" t="s">
        <v>351</v>
      </c>
      <c r="T1789" s="1" t="s">
        <v>423</v>
      </c>
      <c r="U1789" s="1"/>
    </row>
    <row r="1790">
      <c r="A1790" s="218">
        <v>45257.455505335645</v>
      </c>
      <c r="B1790" s="1" t="s">
        <v>59</v>
      </c>
      <c r="C1790" s="1" t="s">
        <v>237</v>
      </c>
      <c r="D1790" s="1">
        <v>10.0</v>
      </c>
      <c r="E1790" s="1">
        <v>2.0</v>
      </c>
      <c r="F1790" s="1"/>
      <c r="G1790" s="1"/>
      <c r="H1790" s="1"/>
      <c r="I1790" s="1"/>
      <c r="J1790" s="219"/>
      <c r="K1790" s="219"/>
      <c r="L1790" s="219"/>
      <c r="M1790" s="219"/>
      <c r="N1790" s="1">
        <v>409.0</v>
      </c>
      <c r="O1790" s="1">
        <v>268.0</v>
      </c>
      <c r="P1790" s="1">
        <v>3.0</v>
      </c>
      <c r="Q1790" s="1" t="b">
        <v>1</v>
      </c>
      <c r="R1790" s="1">
        <v>100.0</v>
      </c>
      <c r="S1790" s="1" t="s">
        <v>292</v>
      </c>
      <c r="T1790" s="1" t="s">
        <v>422</v>
      </c>
      <c r="U1790" s="1"/>
    </row>
    <row r="1791">
      <c r="A1791" s="218">
        <v>45257.455505335645</v>
      </c>
      <c r="B1791" s="1" t="s">
        <v>59</v>
      </c>
      <c r="C1791" s="1" t="s">
        <v>238</v>
      </c>
      <c r="D1791" s="1">
        <v>6.0</v>
      </c>
      <c r="E1791" s="1">
        <v>6.0</v>
      </c>
      <c r="F1791" s="1"/>
      <c r="G1791" s="1"/>
      <c r="H1791" s="1"/>
      <c r="I1791" s="1"/>
      <c r="J1791" s="219"/>
      <c r="K1791" s="219"/>
      <c r="L1791" s="219"/>
      <c r="M1791" s="219"/>
      <c r="N1791" s="1">
        <v>244.0</v>
      </c>
      <c r="O1791" s="1">
        <v>288.0</v>
      </c>
      <c r="P1791" s="1">
        <v>3.0</v>
      </c>
      <c r="Q1791" s="1" t="b">
        <v>1</v>
      </c>
      <c r="R1791" s="1">
        <v>100.0</v>
      </c>
      <c r="S1791" s="1" t="s">
        <v>352</v>
      </c>
      <c r="T1791" s="1" t="s">
        <v>423</v>
      </c>
      <c r="U1791" s="1"/>
    </row>
    <row r="1792">
      <c r="A1792" s="218">
        <v>45257.455505335645</v>
      </c>
      <c r="B1792" s="1"/>
      <c r="C1792" s="1"/>
      <c r="D1792" s="1"/>
      <c r="E1792" s="1"/>
      <c r="F1792" s="1"/>
      <c r="G1792" s="1"/>
      <c r="H1792" s="1"/>
      <c r="I1792" s="1"/>
      <c r="J1792" s="219"/>
      <c r="K1792" s="219"/>
      <c r="L1792" s="219"/>
      <c r="M1792" s="219"/>
      <c r="N1792" s="1"/>
      <c r="O1792" s="1"/>
      <c r="P1792" s="1"/>
      <c r="Q1792" s="1"/>
      <c r="R1792" s="1"/>
      <c r="S1792" s="1" t="e">
        <v>#N/A</v>
      </c>
      <c r="T1792" s="1" t="e">
        <v>#N/A</v>
      </c>
      <c r="U1792" s="1"/>
    </row>
    <row r="1793">
      <c r="A1793" s="218">
        <v>45257.455505335645</v>
      </c>
      <c r="B1793" s="1" t="s">
        <v>62</v>
      </c>
      <c r="C1793" s="1" t="s">
        <v>240</v>
      </c>
      <c r="D1793" s="1">
        <v>10.0</v>
      </c>
      <c r="E1793" s="1">
        <v>2.0</v>
      </c>
      <c r="F1793" s="1" t="s">
        <v>121</v>
      </c>
      <c r="G1793" s="218">
        <v>45262.5</v>
      </c>
      <c r="H1793" s="1" t="s">
        <v>56</v>
      </c>
      <c r="I1793" s="1"/>
      <c r="J1793" s="219"/>
      <c r="K1793" s="219"/>
      <c r="L1793" s="219"/>
      <c r="M1793" s="219"/>
      <c r="N1793" s="1">
        <v>327.0</v>
      </c>
      <c r="O1793" s="1">
        <v>196.0</v>
      </c>
      <c r="P1793" s="1">
        <v>1.0</v>
      </c>
      <c r="Q1793" s="1" t="b">
        <v>0</v>
      </c>
      <c r="R1793" s="1">
        <v>100.0</v>
      </c>
      <c r="S1793" s="1" t="s">
        <v>352</v>
      </c>
      <c r="T1793" s="1" t="s">
        <v>423</v>
      </c>
      <c r="U1793" s="1"/>
    </row>
    <row r="1794">
      <c r="A1794" s="218">
        <v>45257.455505335645</v>
      </c>
      <c r="B1794" s="1" t="s">
        <v>62</v>
      </c>
      <c r="C1794" s="1" t="s">
        <v>241</v>
      </c>
      <c r="D1794" s="1">
        <v>8.0</v>
      </c>
      <c r="E1794" s="1">
        <v>4.0</v>
      </c>
      <c r="F1794" s="1"/>
      <c r="G1794" s="1"/>
      <c r="H1794" s="1"/>
      <c r="I1794" s="1"/>
      <c r="J1794" s="219"/>
      <c r="K1794" s="219"/>
      <c r="L1794" s="219"/>
      <c r="M1794" s="219"/>
      <c r="N1794" s="1">
        <v>359.0</v>
      </c>
      <c r="O1794" s="1">
        <v>295.0</v>
      </c>
      <c r="P1794" s="1">
        <v>3.0</v>
      </c>
      <c r="Q1794" s="1" t="b">
        <v>1</v>
      </c>
      <c r="R1794" s="1">
        <v>100.0</v>
      </c>
      <c r="S1794" s="1" t="s">
        <v>353</v>
      </c>
      <c r="T1794" s="1" t="s">
        <v>423</v>
      </c>
      <c r="U1794" s="1"/>
    </row>
    <row r="1795">
      <c r="A1795" s="218">
        <v>45257.455505335645</v>
      </c>
      <c r="B1795" s="1" t="s">
        <v>62</v>
      </c>
      <c r="C1795" s="1" t="s">
        <v>242</v>
      </c>
      <c r="D1795" s="1">
        <v>3.0</v>
      </c>
      <c r="E1795" s="1">
        <v>9.0</v>
      </c>
      <c r="F1795" s="1"/>
      <c r="G1795" s="1"/>
      <c r="H1795" s="1"/>
      <c r="I1795" s="1"/>
      <c r="J1795" s="219"/>
      <c r="K1795" s="219"/>
      <c r="L1795" s="219"/>
      <c r="M1795" s="219"/>
      <c r="N1795" s="1">
        <v>289.0</v>
      </c>
      <c r="O1795" s="1">
        <v>360.0</v>
      </c>
      <c r="P1795" s="1">
        <v>3.0</v>
      </c>
      <c r="Q1795" s="1" t="b">
        <v>1</v>
      </c>
      <c r="R1795" s="1">
        <v>100.0</v>
      </c>
      <c r="S1795" s="1" t="s">
        <v>296</v>
      </c>
      <c r="T1795" s="1" t="s">
        <v>422</v>
      </c>
      <c r="U1795" s="1"/>
    </row>
    <row r="1796">
      <c r="A1796" s="218">
        <v>45257.455505335645</v>
      </c>
      <c r="B1796" s="1" t="s">
        <v>62</v>
      </c>
      <c r="C1796" s="1" t="s">
        <v>244</v>
      </c>
      <c r="D1796" s="1">
        <v>7.0</v>
      </c>
      <c r="E1796" s="1">
        <v>5.0</v>
      </c>
      <c r="F1796" s="1"/>
      <c r="G1796" s="1"/>
      <c r="H1796" s="1"/>
      <c r="I1796" s="1"/>
      <c r="J1796" s="219"/>
      <c r="K1796" s="219"/>
      <c r="L1796" s="219"/>
      <c r="M1796" s="219"/>
      <c r="N1796" s="1">
        <v>355.0</v>
      </c>
      <c r="O1796" s="1">
        <v>279.0</v>
      </c>
      <c r="P1796" s="1">
        <v>3.0</v>
      </c>
      <c r="Q1796" s="1" t="b">
        <v>1</v>
      </c>
      <c r="R1796" s="1">
        <v>100.0</v>
      </c>
      <c r="S1796" s="1" t="s">
        <v>282</v>
      </c>
      <c r="T1796" s="1" t="s">
        <v>422</v>
      </c>
      <c r="U1796" s="1"/>
    </row>
    <row r="1797">
      <c r="A1797" s="218">
        <v>45257.455505335645</v>
      </c>
      <c r="B1797" s="1" t="s">
        <v>62</v>
      </c>
      <c r="C1797" s="1" t="s">
        <v>245</v>
      </c>
      <c r="D1797" s="1">
        <v>6.0</v>
      </c>
      <c r="E1797" s="1">
        <v>6.0</v>
      </c>
      <c r="F1797" s="1"/>
      <c r="G1797" s="1"/>
      <c r="H1797" s="1"/>
      <c r="I1797" s="1"/>
      <c r="J1797" s="219"/>
      <c r="K1797" s="219"/>
      <c r="L1797" s="219"/>
      <c r="M1797" s="219"/>
      <c r="N1797" s="1">
        <v>371.0</v>
      </c>
      <c r="O1797" s="1">
        <v>355.0</v>
      </c>
      <c r="P1797" s="1">
        <v>3.0</v>
      </c>
      <c r="Q1797" s="1" t="b">
        <v>1</v>
      </c>
      <c r="R1797" s="1">
        <v>100.0</v>
      </c>
      <c r="S1797" s="1" t="s">
        <v>355</v>
      </c>
      <c r="T1797" s="1" t="s">
        <v>423</v>
      </c>
      <c r="U1797" s="1"/>
    </row>
    <row r="1798">
      <c r="A1798" s="218">
        <v>45257.455505335645</v>
      </c>
      <c r="B1798" s="1" t="s">
        <v>62</v>
      </c>
      <c r="C1798" s="1" t="s">
        <v>215</v>
      </c>
      <c r="D1798" s="1">
        <v>7.0</v>
      </c>
      <c r="E1798" s="1">
        <v>5.0</v>
      </c>
      <c r="F1798" s="1"/>
      <c r="G1798" s="1"/>
      <c r="H1798" s="1"/>
      <c r="I1798" s="1"/>
      <c r="J1798" s="219"/>
      <c r="K1798" s="219"/>
      <c r="L1798" s="219"/>
      <c r="M1798" s="219"/>
      <c r="N1798" s="1">
        <v>358.0</v>
      </c>
      <c r="O1798" s="1">
        <v>338.0</v>
      </c>
      <c r="P1798" s="1">
        <v>3.0</v>
      </c>
      <c r="Q1798" s="1" t="b">
        <v>1</v>
      </c>
      <c r="R1798" s="1">
        <v>100.0</v>
      </c>
      <c r="S1798" s="1" t="s">
        <v>351</v>
      </c>
      <c r="T1798" s="1" t="s">
        <v>423</v>
      </c>
      <c r="U1798" s="1"/>
    </row>
    <row r="1799">
      <c r="A1799" s="218">
        <v>45257.455505335645</v>
      </c>
      <c r="B1799" s="1" t="s">
        <v>62</v>
      </c>
      <c r="C1799" s="1" t="s">
        <v>246</v>
      </c>
      <c r="D1799" s="1">
        <v>2.0</v>
      </c>
      <c r="E1799" s="1">
        <v>10.0</v>
      </c>
      <c r="F1799" s="1"/>
      <c r="G1799" s="1"/>
      <c r="H1799" s="1"/>
      <c r="I1799" s="1"/>
      <c r="J1799" s="219"/>
      <c r="K1799" s="219"/>
      <c r="L1799" s="219"/>
      <c r="M1799" s="219"/>
      <c r="N1799" s="1">
        <v>208.0</v>
      </c>
      <c r="O1799" s="1">
        <v>269.0</v>
      </c>
      <c r="P1799" s="1">
        <v>3.0</v>
      </c>
      <c r="Q1799" s="1" t="b">
        <v>1</v>
      </c>
      <c r="R1799" s="1">
        <v>100.0</v>
      </c>
      <c r="S1799" s="1" t="s">
        <v>407</v>
      </c>
      <c r="T1799" s="1" t="s">
        <v>423</v>
      </c>
      <c r="U1799" s="1"/>
    </row>
    <row r="1800">
      <c r="A1800" s="218">
        <v>45257.455505335645</v>
      </c>
      <c r="B1800" s="1" t="s">
        <v>62</v>
      </c>
      <c r="C1800" s="1" t="s">
        <v>247</v>
      </c>
      <c r="D1800" s="1">
        <v>8.0</v>
      </c>
      <c r="E1800" s="1">
        <v>4.0</v>
      </c>
      <c r="F1800" s="1"/>
      <c r="G1800" s="1"/>
      <c r="H1800" s="1"/>
      <c r="I1800" s="1"/>
      <c r="J1800" s="219"/>
      <c r="K1800" s="219"/>
      <c r="L1800" s="219"/>
      <c r="M1800" s="219"/>
      <c r="N1800" s="1">
        <v>406.0</v>
      </c>
      <c r="O1800" s="1">
        <v>258.0</v>
      </c>
      <c r="P1800" s="1">
        <v>3.0</v>
      </c>
      <c r="Q1800" s="1" t="b">
        <v>0</v>
      </c>
      <c r="R1800" s="1">
        <v>100.0</v>
      </c>
      <c r="S1800" s="1" t="s">
        <v>354</v>
      </c>
      <c r="T1800" s="1" t="s">
        <v>422</v>
      </c>
      <c r="U1800" s="1"/>
    </row>
    <row r="1801">
      <c r="A1801" s="218">
        <v>45257.455505335645</v>
      </c>
      <c r="B1801" s="1" t="s">
        <v>62</v>
      </c>
      <c r="C1801" s="1" t="s">
        <v>248</v>
      </c>
      <c r="D1801" s="1">
        <v>6.0</v>
      </c>
      <c r="E1801" s="1">
        <v>6.0</v>
      </c>
      <c r="F1801" s="1"/>
      <c r="G1801" s="1"/>
      <c r="H1801" s="1"/>
      <c r="I1801" s="1"/>
      <c r="J1801" s="219"/>
      <c r="K1801" s="219"/>
      <c r="L1801" s="219"/>
      <c r="M1801" s="219"/>
      <c r="N1801" s="1">
        <v>300.0</v>
      </c>
      <c r="O1801" s="1">
        <v>354.0</v>
      </c>
      <c r="P1801" s="1">
        <v>3.0</v>
      </c>
      <c r="Q1801" s="1" t="b">
        <v>1</v>
      </c>
      <c r="R1801" s="1">
        <v>100.0</v>
      </c>
      <c r="S1801" s="1" t="s">
        <v>301</v>
      </c>
      <c r="T1801" s="1" t="s">
        <v>422</v>
      </c>
      <c r="U1801" s="1"/>
    </row>
    <row r="1802">
      <c r="A1802" s="218">
        <v>45257.455505335645</v>
      </c>
      <c r="B1802" s="1" t="s">
        <v>62</v>
      </c>
      <c r="C1802" s="1" t="s">
        <v>249</v>
      </c>
      <c r="D1802" s="1">
        <v>5.0</v>
      </c>
      <c r="E1802" s="1">
        <v>7.0</v>
      </c>
      <c r="F1802" s="1"/>
      <c r="G1802" s="1"/>
      <c r="H1802" s="1"/>
      <c r="I1802" s="1"/>
      <c r="J1802" s="219"/>
      <c r="K1802" s="219"/>
      <c r="L1802" s="219"/>
      <c r="M1802" s="219"/>
      <c r="N1802" s="1">
        <v>262.0</v>
      </c>
      <c r="O1802" s="1">
        <v>319.0</v>
      </c>
      <c r="P1802" s="1">
        <v>3.0</v>
      </c>
      <c r="Q1802" s="1" t="b">
        <v>1</v>
      </c>
      <c r="R1802" s="1">
        <v>100.0</v>
      </c>
      <c r="S1802" s="1" t="s">
        <v>292</v>
      </c>
      <c r="T1802" s="1" t="s">
        <v>422</v>
      </c>
      <c r="U1802" s="1"/>
    </row>
    <row r="1803">
      <c r="A1803" s="218">
        <v>45257.455505335645</v>
      </c>
      <c r="B1803" s="1"/>
      <c r="C1803" s="1"/>
      <c r="D1803" s="1"/>
      <c r="E1803" s="1"/>
      <c r="F1803" s="1"/>
      <c r="G1803" s="1"/>
      <c r="H1803" s="1"/>
      <c r="I1803" s="1"/>
      <c r="J1803" s="219"/>
      <c r="K1803" s="219"/>
      <c r="L1803" s="219"/>
      <c r="M1803" s="219"/>
      <c r="N1803" s="1"/>
      <c r="O1803" s="1"/>
      <c r="P1803" s="1"/>
      <c r="Q1803" s="1"/>
      <c r="R1803" s="1"/>
      <c r="S1803" s="1" t="e">
        <v>#N/A</v>
      </c>
      <c r="T1803" s="1" t="e">
        <v>#N/A</v>
      </c>
      <c r="U1803" s="1"/>
    </row>
    <row r="1804">
      <c r="A1804" s="218">
        <v>45257.455505335645</v>
      </c>
      <c r="B1804" s="1" t="s">
        <v>69</v>
      </c>
      <c r="C1804" s="1" t="s">
        <v>250</v>
      </c>
      <c r="D1804" s="1">
        <v>3.0</v>
      </c>
      <c r="E1804" s="1">
        <v>9.0</v>
      </c>
      <c r="F1804" s="1"/>
      <c r="G1804" s="1"/>
      <c r="H1804" s="1"/>
      <c r="I1804" s="1"/>
      <c r="J1804" s="219"/>
      <c r="K1804" s="219"/>
      <c r="L1804" s="219"/>
      <c r="M1804" s="219"/>
      <c r="N1804" s="1">
        <v>311.0</v>
      </c>
      <c r="O1804" s="1">
        <v>401.0</v>
      </c>
      <c r="P1804" s="1">
        <v>3.0</v>
      </c>
      <c r="Q1804" s="1" t="b">
        <v>1</v>
      </c>
      <c r="R1804" s="1">
        <v>100.0</v>
      </c>
      <c r="S1804" s="1" t="s">
        <v>351</v>
      </c>
      <c r="T1804" s="1" t="s">
        <v>423</v>
      </c>
      <c r="U1804" s="1"/>
    </row>
    <row r="1805">
      <c r="A1805" s="218">
        <v>45257.455505335645</v>
      </c>
      <c r="B1805" s="1" t="s">
        <v>69</v>
      </c>
      <c r="C1805" s="1" t="s">
        <v>251</v>
      </c>
      <c r="D1805" s="1">
        <v>6.0</v>
      </c>
      <c r="E1805" s="1">
        <v>6.0</v>
      </c>
      <c r="F1805" s="1"/>
      <c r="G1805" s="1"/>
      <c r="H1805" s="1"/>
      <c r="I1805" s="1"/>
      <c r="J1805" s="219"/>
      <c r="K1805" s="219"/>
      <c r="L1805" s="219"/>
      <c r="M1805" s="219"/>
      <c r="N1805" s="1">
        <v>379.0</v>
      </c>
      <c r="O1805" s="1">
        <v>392.0</v>
      </c>
      <c r="P1805" s="1">
        <v>3.0</v>
      </c>
      <c r="Q1805" s="1" t="b">
        <v>1</v>
      </c>
      <c r="R1805" s="1">
        <v>100.0</v>
      </c>
      <c r="S1805" s="1" t="s">
        <v>354</v>
      </c>
      <c r="T1805" s="1" t="s">
        <v>422</v>
      </c>
      <c r="U1805" s="1"/>
    </row>
    <row r="1806">
      <c r="A1806" s="218">
        <v>45257.455505335645</v>
      </c>
      <c r="B1806" s="1" t="s">
        <v>69</v>
      </c>
      <c r="C1806" s="1" t="s">
        <v>252</v>
      </c>
      <c r="D1806" s="1">
        <v>3.0</v>
      </c>
      <c r="E1806" s="1">
        <v>9.0</v>
      </c>
      <c r="F1806" s="1"/>
      <c r="G1806" s="1"/>
      <c r="H1806" s="1"/>
      <c r="I1806" s="1"/>
      <c r="J1806" s="219"/>
      <c r="K1806" s="219"/>
      <c r="L1806" s="219"/>
      <c r="M1806" s="219"/>
      <c r="N1806" s="1">
        <v>210.0</v>
      </c>
      <c r="O1806" s="1">
        <v>343.0</v>
      </c>
      <c r="P1806" s="1">
        <v>3.0</v>
      </c>
      <c r="Q1806" s="1" t="b">
        <v>1</v>
      </c>
      <c r="R1806" s="1">
        <v>100.0</v>
      </c>
      <c r="S1806" s="1" t="s">
        <v>352</v>
      </c>
      <c r="T1806" s="1" t="s">
        <v>423</v>
      </c>
      <c r="U1806" s="1"/>
    </row>
    <row r="1807">
      <c r="A1807" s="218">
        <v>45257.455505335645</v>
      </c>
      <c r="B1807" s="1" t="s">
        <v>69</v>
      </c>
      <c r="C1807" s="1" t="s">
        <v>253</v>
      </c>
      <c r="D1807" s="1">
        <v>6.0</v>
      </c>
      <c r="E1807" s="1">
        <v>6.0</v>
      </c>
      <c r="F1807" s="1"/>
      <c r="G1807" s="1"/>
      <c r="H1807" s="1"/>
      <c r="I1807" s="1"/>
      <c r="J1807" s="219"/>
      <c r="K1807" s="219"/>
      <c r="L1807" s="219"/>
      <c r="M1807" s="219"/>
      <c r="N1807" s="1">
        <v>370.0</v>
      </c>
      <c r="O1807" s="1">
        <v>419.0</v>
      </c>
      <c r="P1807" s="1">
        <v>3.0</v>
      </c>
      <c r="Q1807" s="1" t="b">
        <v>1</v>
      </c>
      <c r="R1807" s="1">
        <v>100.0</v>
      </c>
      <c r="S1807" s="1" t="s">
        <v>407</v>
      </c>
      <c r="T1807" s="1" t="s">
        <v>423</v>
      </c>
      <c r="U1807" s="1"/>
    </row>
    <row r="1808">
      <c r="A1808" s="218">
        <v>45257.455505335645</v>
      </c>
      <c r="B1808" s="1" t="s">
        <v>69</v>
      </c>
      <c r="C1808" s="1" t="s">
        <v>254</v>
      </c>
      <c r="D1808" s="1">
        <v>6.0</v>
      </c>
      <c r="E1808" s="1">
        <v>6.0</v>
      </c>
      <c r="F1808" s="1"/>
      <c r="G1808" s="1"/>
      <c r="H1808" s="1"/>
      <c r="I1808" s="1"/>
      <c r="J1808" s="219"/>
      <c r="K1808" s="219"/>
      <c r="L1808" s="219"/>
      <c r="M1808" s="219"/>
      <c r="N1808" s="1">
        <v>333.0</v>
      </c>
      <c r="O1808" s="1">
        <v>374.0</v>
      </c>
      <c r="P1808" s="1">
        <v>3.0</v>
      </c>
      <c r="Q1808" s="1" t="b">
        <v>1</v>
      </c>
      <c r="R1808" s="1">
        <v>100.0</v>
      </c>
      <c r="S1808" s="1" t="s">
        <v>355</v>
      </c>
      <c r="T1808" s="1" t="s">
        <v>423</v>
      </c>
      <c r="U1808" s="1"/>
    </row>
    <row r="1809">
      <c r="A1809" s="218">
        <v>45257.455505335645</v>
      </c>
      <c r="B1809" s="1" t="s">
        <v>69</v>
      </c>
      <c r="C1809" s="1" t="s">
        <v>255</v>
      </c>
      <c r="D1809" s="1">
        <v>7.0</v>
      </c>
      <c r="E1809" s="1">
        <v>5.0</v>
      </c>
      <c r="F1809" s="1"/>
      <c r="G1809" s="1"/>
      <c r="H1809" s="1"/>
      <c r="I1809" s="1"/>
      <c r="J1809" s="219"/>
      <c r="K1809" s="219"/>
      <c r="L1809" s="219"/>
      <c r="M1809" s="219"/>
      <c r="N1809" s="1">
        <v>274.0</v>
      </c>
      <c r="O1809" s="1">
        <v>227.0</v>
      </c>
      <c r="P1809" s="1">
        <v>3.0</v>
      </c>
      <c r="Q1809" s="1" t="b">
        <v>1</v>
      </c>
      <c r="R1809" s="1">
        <v>100.0</v>
      </c>
      <c r="S1809" s="1" t="s">
        <v>282</v>
      </c>
      <c r="T1809" s="1" t="s">
        <v>422</v>
      </c>
      <c r="U1809" s="1"/>
    </row>
    <row r="1810">
      <c r="A1810" s="218">
        <v>45257.455505335645</v>
      </c>
      <c r="B1810" s="1" t="s">
        <v>69</v>
      </c>
      <c r="C1810" s="1" t="s">
        <v>256</v>
      </c>
      <c r="D1810" s="1">
        <v>3.0</v>
      </c>
      <c r="E1810" s="1">
        <v>9.0</v>
      </c>
      <c r="F1810" s="1"/>
      <c r="G1810" s="1"/>
      <c r="H1810" s="1"/>
      <c r="I1810" s="1"/>
      <c r="J1810" s="219"/>
      <c r="K1810" s="219"/>
      <c r="L1810" s="219"/>
      <c r="M1810" s="219"/>
      <c r="N1810" s="1">
        <v>242.0</v>
      </c>
      <c r="O1810" s="1">
        <v>328.0</v>
      </c>
      <c r="P1810" s="1">
        <v>3.0</v>
      </c>
      <c r="Q1810" s="1" t="b">
        <v>1</v>
      </c>
      <c r="R1810" s="1">
        <v>100.0</v>
      </c>
      <c r="S1810" s="1" t="s">
        <v>301</v>
      </c>
      <c r="T1810" s="1" t="s">
        <v>422</v>
      </c>
      <c r="U1810" s="1"/>
    </row>
    <row r="1811">
      <c r="A1811" s="218">
        <v>45257.455505335645</v>
      </c>
      <c r="B1811" s="1" t="s">
        <v>69</v>
      </c>
      <c r="C1811" s="1" t="s">
        <v>219</v>
      </c>
      <c r="D1811" s="1">
        <v>9.0</v>
      </c>
      <c r="E1811" s="1">
        <v>3.0</v>
      </c>
      <c r="F1811" s="1"/>
      <c r="G1811" s="1"/>
      <c r="H1811" s="1"/>
      <c r="I1811" s="1"/>
      <c r="J1811" s="219"/>
      <c r="K1811" s="219"/>
      <c r="L1811" s="219"/>
      <c r="M1811" s="219"/>
      <c r="N1811" s="1">
        <v>557.0</v>
      </c>
      <c r="O1811" s="1">
        <v>333.0</v>
      </c>
      <c r="P1811" s="1">
        <v>3.0</v>
      </c>
      <c r="Q1811" s="1" t="b">
        <v>1</v>
      </c>
      <c r="R1811" s="1">
        <v>100.0</v>
      </c>
      <c r="S1811" s="1" t="s">
        <v>292</v>
      </c>
      <c r="T1811" s="1" t="s">
        <v>422</v>
      </c>
      <c r="U1811" s="1"/>
    </row>
    <row r="1812">
      <c r="A1812" s="218">
        <v>45257.455505335645</v>
      </c>
      <c r="B1812" s="1" t="s">
        <v>69</v>
      </c>
      <c r="C1812" s="1" t="s">
        <v>257</v>
      </c>
      <c r="D1812" s="1">
        <v>6.0</v>
      </c>
      <c r="E1812" s="1">
        <v>6.0</v>
      </c>
      <c r="F1812" s="1"/>
      <c r="G1812" s="1"/>
      <c r="H1812" s="1"/>
      <c r="I1812" s="1"/>
      <c r="J1812" s="219"/>
      <c r="K1812" s="219"/>
      <c r="L1812" s="219"/>
      <c r="M1812" s="219"/>
      <c r="N1812" s="1">
        <v>390.0</v>
      </c>
      <c r="O1812" s="1">
        <v>305.0</v>
      </c>
      <c r="P1812" s="1">
        <v>3.0</v>
      </c>
      <c r="Q1812" s="1" t="b">
        <v>1</v>
      </c>
      <c r="R1812" s="1">
        <v>100.0</v>
      </c>
      <c r="S1812" s="1" t="s">
        <v>296</v>
      </c>
      <c r="T1812" s="1" t="s">
        <v>422</v>
      </c>
      <c r="U1812" s="1"/>
    </row>
    <row r="1813">
      <c r="A1813" s="218">
        <v>45257.455505335645</v>
      </c>
      <c r="B1813" s="1" t="s">
        <v>69</v>
      </c>
      <c r="C1813" s="1" t="s">
        <v>243</v>
      </c>
      <c r="D1813" s="1">
        <v>8.0</v>
      </c>
      <c r="E1813" s="1">
        <v>4.0</v>
      </c>
      <c r="F1813" s="1"/>
      <c r="G1813" s="1"/>
      <c r="H1813" s="1"/>
      <c r="I1813" s="1"/>
      <c r="J1813" s="219"/>
      <c r="K1813" s="219"/>
      <c r="L1813" s="219"/>
      <c r="M1813" s="219"/>
      <c r="N1813" s="1">
        <v>331.0</v>
      </c>
      <c r="O1813" s="1">
        <v>215.0</v>
      </c>
      <c r="P1813" s="1">
        <v>3.0</v>
      </c>
      <c r="Q1813" s="1" t="b">
        <v>1</v>
      </c>
      <c r="R1813" s="1">
        <v>100.0</v>
      </c>
      <c r="S1813" s="1" t="s">
        <v>353</v>
      </c>
      <c r="T1813" s="1" t="s">
        <v>423</v>
      </c>
      <c r="U1813" s="1"/>
    </row>
    <row r="1814">
      <c r="A1814" s="218">
        <v>45257.455505335645</v>
      </c>
      <c r="B1814" s="1"/>
      <c r="C1814" s="1"/>
      <c r="D1814" s="1"/>
      <c r="E1814" s="1"/>
      <c r="F1814" s="1"/>
      <c r="G1814" s="1"/>
      <c r="H1814" s="1"/>
      <c r="I1814" s="1"/>
      <c r="J1814" s="219"/>
      <c r="K1814" s="219"/>
      <c r="L1814" s="219"/>
      <c r="M1814" s="219"/>
      <c r="N1814" s="1"/>
      <c r="O1814" s="1"/>
      <c r="P1814" s="1"/>
      <c r="Q1814" s="1"/>
      <c r="R1814" s="1"/>
      <c r="S1814" s="1" t="e">
        <v>#N/A</v>
      </c>
      <c r="T1814" s="1" t="e">
        <v>#N/A</v>
      </c>
      <c r="U1814" s="1"/>
    </row>
    <row r="1815">
      <c r="A1815" s="218">
        <v>45257.455505335645</v>
      </c>
      <c r="B1815" s="1" t="s">
        <v>125</v>
      </c>
      <c r="C1815" s="1" t="s">
        <v>224</v>
      </c>
      <c r="D1815" s="1">
        <v>12.0</v>
      </c>
      <c r="E1815" s="1">
        <v>0.0</v>
      </c>
      <c r="F1815" s="1" t="s">
        <v>108</v>
      </c>
      <c r="G1815" s="218">
        <v>45262.83333333333</v>
      </c>
      <c r="H1815" s="1" t="s">
        <v>60</v>
      </c>
      <c r="I1815" s="1"/>
      <c r="J1815" s="219">
        <v>-6.5</v>
      </c>
      <c r="K1815" s="219">
        <v>-3.5</v>
      </c>
      <c r="L1815" s="219">
        <v>134.0</v>
      </c>
      <c r="M1815" s="219" t="s">
        <v>937</v>
      </c>
      <c r="N1815" s="1">
        <v>465.0</v>
      </c>
      <c r="O1815" s="1">
        <v>201.0</v>
      </c>
      <c r="P1815" s="1">
        <v>1.0</v>
      </c>
      <c r="Q1815" s="1" t="b">
        <v>0</v>
      </c>
      <c r="R1815" s="1">
        <v>100.0</v>
      </c>
      <c r="S1815" s="1" t="s">
        <v>301</v>
      </c>
      <c r="T1815" s="1" t="s">
        <v>422</v>
      </c>
      <c r="U1815" s="1"/>
    </row>
    <row r="1816">
      <c r="A1816" s="218">
        <v>45257.455505335645</v>
      </c>
      <c r="B1816" s="1" t="s">
        <v>125</v>
      </c>
      <c r="C1816" s="1" t="s">
        <v>239</v>
      </c>
      <c r="D1816" s="1">
        <v>11.0</v>
      </c>
      <c r="E1816" s="1">
        <v>1.0</v>
      </c>
      <c r="F1816" s="1" t="s">
        <v>106</v>
      </c>
      <c r="G1816" s="218">
        <v>45262.5</v>
      </c>
      <c r="H1816" s="1" t="s">
        <v>61</v>
      </c>
      <c r="I1816" s="1" t="s">
        <v>82</v>
      </c>
      <c r="J1816" s="219">
        <v>-10.5</v>
      </c>
      <c r="K1816" s="219">
        <v>-13.5</v>
      </c>
      <c r="L1816" s="219">
        <v>440.0</v>
      </c>
      <c r="M1816" s="219" t="s">
        <v>68</v>
      </c>
      <c r="N1816" s="1">
        <v>421.0</v>
      </c>
      <c r="O1816" s="1">
        <v>207.0</v>
      </c>
      <c r="P1816" s="1">
        <v>1.0</v>
      </c>
      <c r="Q1816" s="1" t="b">
        <v>1</v>
      </c>
      <c r="R1816" s="1">
        <v>100.0</v>
      </c>
      <c r="S1816" s="1" t="s">
        <v>296</v>
      </c>
      <c r="T1816" s="1" t="s">
        <v>422</v>
      </c>
      <c r="U1816" s="1"/>
    </row>
    <row r="1817">
      <c r="A1817" s="218">
        <v>45257.455505335645</v>
      </c>
      <c r="B1817" s="1" t="s">
        <v>125</v>
      </c>
      <c r="C1817" s="1" t="s">
        <v>258</v>
      </c>
      <c r="D1817" s="1">
        <v>2.0</v>
      </c>
      <c r="E1817" s="1">
        <v>10.0</v>
      </c>
      <c r="F1817" s="1"/>
      <c r="G1817" s="1"/>
      <c r="H1817" s="1"/>
      <c r="I1817" s="1"/>
      <c r="J1817" s="219"/>
      <c r="K1817" s="219"/>
      <c r="L1817" s="219"/>
      <c r="M1817" s="219"/>
      <c r="N1817" s="1">
        <v>208.0</v>
      </c>
      <c r="O1817" s="1">
        <v>401.0</v>
      </c>
      <c r="P1817" s="1">
        <v>3.0</v>
      </c>
      <c r="Q1817" s="1" t="b">
        <v>1</v>
      </c>
      <c r="R1817" s="1">
        <v>100.0</v>
      </c>
      <c r="S1817" s="1" t="s">
        <v>353</v>
      </c>
      <c r="T1817" s="1" t="s">
        <v>423</v>
      </c>
      <c r="U1817" s="1"/>
    </row>
    <row r="1818">
      <c r="A1818" s="218">
        <v>45257.455505335645</v>
      </c>
      <c r="B1818" s="1" t="s">
        <v>125</v>
      </c>
      <c r="C1818" s="1" t="s">
        <v>259</v>
      </c>
      <c r="D1818" s="1">
        <v>5.0</v>
      </c>
      <c r="E1818" s="1">
        <v>7.0</v>
      </c>
      <c r="F1818" s="1"/>
      <c r="G1818" s="1"/>
      <c r="H1818" s="1"/>
      <c r="I1818" s="1"/>
      <c r="J1818" s="219"/>
      <c r="K1818" s="219"/>
      <c r="L1818" s="219"/>
      <c r="M1818" s="219"/>
      <c r="N1818" s="1">
        <v>380.0</v>
      </c>
      <c r="O1818" s="1">
        <v>337.0</v>
      </c>
      <c r="P1818" s="1">
        <v>3.0</v>
      </c>
      <c r="Q1818" s="1" t="b">
        <v>1</v>
      </c>
      <c r="R1818" s="1">
        <v>100.0</v>
      </c>
      <c r="S1818" s="1" t="s">
        <v>354</v>
      </c>
      <c r="T1818" s="1" t="s">
        <v>422</v>
      </c>
      <c r="U1818" s="1"/>
    </row>
    <row r="1819">
      <c r="A1819" s="218">
        <v>45257.455505335645</v>
      </c>
      <c r="B1819" s="1" t="s">
        <v>125</v>
      </c>
      <c r="C1819" s="1" t="s">
        <v>260</v>
      </c>
      <c r="D1819" s="1">
        <v>8.0</v>
      </c>
      <c r="E1819" s="1">
        <v>4.0</v>
      </c>
      <c r="F1819" s="1"/>
      <c r="G1819" s="1"/>
      <c r="H1819" s="1"/>
      <c r="I1819" s="1"/>
      <c r="J1819" s="219"/>
      <c r="K1819" s="219"/>
      <c r="L1819" s="219"/>
      <c r="M1819" s="219"/>
      <c r="N1819" s="1">
        <v>358.0</v>
      </c>
      <c r="O1819" s="1">
        <v>244.0</v>
      </c>
      <c r="P1819" s="1">
        <v>3.0</v>
      </c>
      <c r="Q1819" s="1" t="b">
        <v>1</v>
      </c>
      <c r="R1819" s="1">
        <v>100.0</v>
      </c>
      <c r="S1819" s="1" t="s">
        <v>351</v>
      </c>
      <c r="T1819" s="1" t="s">
        <v>423</v>
      </c>
      <c r="U1819" s="1"/>
    </row>
    <row r="1820">
      <c r="A1820" s="218">
        <v>45257.455505335645</v>
      </c>
      <c r="B1820" s="1" t="s">
        <v>125</v>
      </c>
      <c r="C1820" s="1" t="s">
        <v>261</v>
      </c>
      <c r="D1820" s="1">
        <v>7.0</v>
      </c>
      <c r="E1820" s="1">
        <v>5.0</v>
      </c>
      <c r="F1820" s="1"/>
      <c r="G1820" s="1"/>
      <c r="H1820" s="1"/>
      <c r="I1820" s="1"/>
      <c r="J1820" s="219"/>
      <c r="K1820" s="219"/>
      <c r="L1820" s="219"/>
      <c r="M1820" s="219"/>
      <c r="N1820" s="1">
        <v>273.0</v>
      </c>
      <c r="O1820" s="1">
        <v>286.0</v>
      </c>
      <c r="P1820" s="1">
        <v>3.0</v>
      </c>
      <c r="Q1820" s="1" t="b">
        <v>1</v>
      </c>
      <c r="R1820" s="1">
        <v>100.0</v>
      </c>
      <c r="S1820" s="1" t="s">
        <v>282</v>
      </c>
      <c r="T1820" s="1" t="s">
        <v>422</v>
      </c>
      <c r="U1820" s="1"/>
    </row>
    <row r="1821">
      <c r="A1821" s="218">
        <v>45257.455505335645</v>
      </c>
      <c r="B1821" s="1" t="s">
        <v>125</v>
      </c>
      <c r="C1821" s="1" t="s">
        <v>262</v>
      </c>
      <c r="D1821" s="1">
        <v>11.0</v>
      </c>
      <c r="E1821" s="1">
        <v>1.0</v>
      </c>
      <c r="F1821" s="1"/>
      <c r="G1821" s="1"/>
      <c r="H1821" s="1"/>
      <c r="I1821" s="1"/>
      <c r="J1821" s="219"/>
      <c r="K1821" s="219"/>
      <c r="L1821" s="219"/>
      <c r="M1821" s="219"/>
      <c r="N1821" s="1">
        <v>422.0</v>
      </c>
      <c r="O1821" s="1">
        <v>222.0</v>
      </c>
      <c r="P1821" s="1">
        <v>3.0</v>
      </c>
      <c r="Q1821" s="1" t="b">
        <v>1</v>
      </c>
      <c r="R1821" s="1">
        <v>100.0</v>
      </c>
      <c r="S1821" s="1" t="s">
        <v>355</v>
      </c>
      <c r="T1821" s="1" t="s">
        <v>423</v>
      </c>
      <c r="U1821" s="1"/>
    </row>
    <row r="1822">
      <c r="A1822" s="218">
        <v>45257.455505335645</v>
      </c>
      <c r="B1822" s="1" t="s">
        <v>125</v>
      </c>
      <c r="C1822" s="1" t="s">
        <v>263</v>
      </c>
      <c r="D1822" s="1">
        <v>6.0</v>
      </c>
      <c r="E1822" s="1">
        <v>6.0</v>
      </c>
      <c r="F1822" s="1"/>
      <c r="G1822" s="1"/>
      <c r="H1822" s="1"/>
      <c r="I1822" s="1"/>
      <c r="J1822" s="219"/>
      <c r="K1822" s="219"/>
      <c r="L1822" s="219"/>
      <c r="M1822" s="219"/>
      <c r="N1822" s="1">
        <v>363.0</v>
      </c>
      <c r="O1822" s="1">
        <v>320.0</v>
      </c>
      <c r="P1822" s="1">
        <v>3.0</v>
      </c>
      <c r="Q1822" s="1" t="b">
        <v>1</v>
      </c>
      <c r="R1822" s="1">
        <v>100.0</v>
      </c>
      <c r="S1822" s="1" t="s">
        <v>407</v>
      </c>
      <c r="T1822" s="1" t="s">
        <v>423</v>
      </c>
      <c r="U1822" s="1"/>
    </row>
    <row r="1823">
      <c r="A1823" s="218">
        <v>45257.455505335645</v>
      </c>
      <c r="B1823" s="1" t="s">
        <v>125</v>
      </c>
      <c r="C1823" s="1" t="s">
        <v>264</v>
      </c>
      <c r="D1823" s="1">
        <v>7.0</v>
      </c>
      <c r="E1823" s="1">
        <v>5.0</v>
      </c>
      <c r="F1823" s="1"/>
      <c r="G1823" s="1"/>
      <c r="H1823" s="1"/>
      <c r="I1823" s="1"/>
      <c r="J1823" s="219"/>
      <c r="K1823" s="219"/>
      <c r="L1823" s="219"/>
      <c r="M1823" s="219"/>
      <c r="N1823" s="1">
        <v>410.0</v>
      </c>
      <c r="O1823" s="1">
        <v>256.0</v>
      </c>
      <c r="P1823" s="1">
        <v>3.0</v>
      </c>
      <c r="Q1823" s="1" t="b">
        <v>1</v>
      </c>
      <c r="R1823" s="1">
        <v>100.0</v>
      </c>
      <c r="S1823" s="1" t="s">
        <v>292</v>
      </c>
      <c r="T1823" s="1" t="s">
        <v>422</v>
      </c>
      <c r="U1823" s="1"/>
    </row>
    <row r="1824">
      <c r="A1824" s="218">
        <v>45257.455505335645</v>
      </c>
      <c r="B1824" s="1" t="s">
        <v>125</v>
      </c>
      <c r="C1824" s="1" t="s">
        <v>265</v>
      </c>
      <c r="D1824" s="1">
        <v>5.0</v>
      </c>
      <c r="E1824" s="1">
        <v>7.0</v>
      </c>
      <c r="F1824" s="1"/>
      <c r="G1824" s="1"/>
      <c r="H1824" s="1"/>
      <c r="I1824" s="1"/>
      <c r="J1824" s="219"/>
      <c r="K1824" s="219"/>
      <c r="L1824" s="219"/>
      <c r="M1824" s="219"/>
      <c r="N1824" s="1">
        <v>278.0</v>
      </c>
      <c r="O1824" s="1">
        <v>373.0</v>
      </c>
      <c r="P1824" s="1">
        <v>3.0</v>
      </c>
      <c r="Q1824" s="1" t="b">
        <v>1</v>
      </c>
      <c r="R1824" s="1">
        <v>100.0</v>
      </c>
      <c r="S1824" s="1" t="s">
        <v>352</v>
      </c>
      <c r="T1824" s="1" t="s">
        <v>423</v>
      </c>
      <c r="U1824" s="1"/>
    </row>
    <row r="1825">
      <c r="A1825" s="218">
        <v>45257.455505335645</v>
      </c>
      <c r="B1825" s="1"/>
      <c r="C1825" s="1"/>
      <c r="D1825" s="1"/>
      <c r="E1825" s="1"/>
      <c r="F1825" s="1"/>
      <c r="G1825" s="1"/>
      <c r="H1825" s="1"/>
      <c r="I1825" s="1"/>
      <c r="J1825" s="219"/>
      <c r="K1825" s="219"/>
      <c r="L1825" s="219"/>
      <c r="M1825" s="219"/>
      <c r="N1825" s="1"/>
      <c r="O1825" s="1"/>
      <c r="P1825" s="1"/>
      <c r="Q1825" s="1"/>
      <c r="R1825" s="1"/>
      <c r="S1825" s="1" t="e">
        <v>#N/A</v>
      </c>
      <c r="T1825" s="1" t="e">
        <v>#N/A</v>
      </c>
      <c r="U1825" s="1"/>
    </row>
    <row r="1826">
      <c r="A1826" s="218">
        <v>45257.455505335645</v>
      </c>
      <c r="B1826" s="1" t="s">
        <v>61</v>
      </c>
      <c r="C1826" s="1" t="s">
        <v>266</v>
      </c>
      <c r="D1826" s="1">
        <v>10.0</v>
      </c>
      <c r="E1826" s="1">
        <v>2.0</v>
      </c>
      <c r="F1826" s="1" t="s">
        <v>211</v>
      </c>
      <c r="G1826" s="218">
        <v>45262.83333333333</v>
      </c>
      <c r="H1826" s="1" t="s">
        <v>59</v>
      </c>
      <c r="I1826" s="1"/>
      <c r="J1826" s="219">
        <v>21.5</v>
      </c>
      <c r="K1826" s="219">
        <v>22.5</v>
      </c>
      <c r="L1826" s="219">
        <v>-4500.0</v>
      </c>
      <c r="M1826" s="219" t="s">
        <v>1437</v>
      </c>
      <c r="N1826" s="1">
        <v>216.0</v>
      </c>
      <c r="O1826" s="1">
        <v>146.0</v>
      </c>
      <c r="P1826" s="1">
        <v>1.0</v>
      </c>
      <c r="Q1826" s="1" t="b">
        <v>0</v>
      </c>
      <c r="R1826" s="1">
        <v>100.0</v>
      </c>
      <c r="S1826" s="1" t="s">
        <v>282</v>
      </c>
      <c r="T1826" s="1" t="s">
        <v>422</v>
      </c>
      <c r="U1826" s="1"/>
    </row>
    <row r="1827">
      <c r="A1827" s="218">
        <v>45257.455505335645</v>
      </c>
      <c r="B1827" s="1" t="s">
        <v>61</v>
      </c>
      <c r="C1827" s="1" t="s">
        <v>267</v>
      </c>
      <c r="D1827" s="1">
        <v>9.0</v>
      </c>
      <c r="E1827" s="1">
        <v>3.0</v>
      </c>
      <c r="F1827" s="1" t="s">
        <v>106</v>
      </c>
      <c r="G1827" s="218">
        <v>45262.5</v>
      </c>
      <c r="H1827" s="1" t="s">
        <v>125</v>
      </c>
      <c r="I1827" s="1"/>
      <c r="J1827" s="219">
        <v>10.5</v>
      </c>
      <c r="K1827" s="219">
        <v>13.5</v>
      </c>
      <c r="L1827" s="219">
        <v>440.0</v>
      </c>
      <c r="M1827" s="219" t="s">
        <v>68</v>
      </c>
      <c r="N1827" s="1">
        <v>362.0</v>
      </c>
      <c r="O1827" s="1">
        <v>328.0</v>
      </c>
      <c r="P1827" s="1">
        <v>1.0</v>
      </c>
      <c r="Q1827" s="1" t="b">
        <v>0</v>
      </c>
      <c r="R1827" s="1">
        <v>100.0</v>
      </c>
      <c r="S1827" s="1" t="s">
        <v>296</v>
      </c>
      <c r="T1827" s="1" t="s">
        <v>422</v>
      </c>
      <c r="U1827" s="1"/>
    </row>
    <row r="1828">
      <c r="A1828" s="218">
        <v>45257.455505335645</v>
      </c>
      <c r="B1828" s="1" t="s">
        <v>61</v>
      </c>
      <c r="C1828" s="1" t="s">
        <v>268</v>
      </c>
      <c r="D1828" s="1">
        <v>9.0</v>
      </c>
      <c r="E1828" s="1">
        <v>3.0</v>
      </c>
      <c r="F1828" s="1"/>
      <c r="G1828" s="1"/>
      <c r="H1828" s="1"/>
      <c r="I1828" s="1"/>
      <c r="J1828" s="219"/>
      <c r="K1828" s="219"/>
      <c r="L1828" s="219"/>
      <c r="M1828" s="219"/>
      <c r="N1828" s="1">
        <v>322.0</v>
      </c>
      <c r="O1828" s="1">
        <v>242.0</v>
      </c>
      <c r="P1828" s="1">
        <v>3.0</v>
      </c>
      <c r="Q1828" s="1" t="b">
        <v>1</v>
      </c>
      <c r="R1828" s="1">
        <v>100.0</v>
      </c>
      <c r="S1828" s="1" t="s">
        <v>301</v>
      </c>
      <c r="T1828" s="1" t="s">
        <v>422</v>
      </c>
      <c r="U1828" s="1"/>
    </row>
    <row r="1829">
      <c r="A1829" s="218">
        <v>45257.455505335645</v>
      </c>
      <c r="B1829" s="1" t="s">
        <v>61</v>
      </c>
      <c r="C1829" s="1" t="s">
        <v>233</v>
      </c>
      <c r="D1829" s="1">
        <v>8.0</v>
      </c>
      <c r="E1829" s="1">
        <v>4.0</v>
      </c>
      <c r="F1829" s="1"/>
      <c r="G1829" s="1"/>
      <c r="H1829" s="1"/>
      <c r="I1829" s="1"/>
      <c r="J1829" s="219">
        <v>-25.5</v>
      </c>
      <c r="K1829" s="219">
        <v>-27.5</v>
      </c>
      <c r="L1829" s="219">
        <v>1400.0</v>
      </c>
      <c r="M1829" s="219" t="s">
        <v>235</v>
      </c>
      <c r="N1829" s="1">
        <v>378.0</v>
      </c>
      <c r="O1829" s="1">
        <v>264.0</v>
      </c>
      <c r="P1829" s="1">
        <v>3.0</v>
      </c>
      <c r="Q1829" s="1" t="b">
        <v>1</v>
      </c>
      <c r="R1829" s="1">
        <v>100.0</v>
      </c>
      <c r="S1829" s="1" t="s">
        <v>292</v>
      </c>
      <c r="T1829" s="1" t="s">
        <v>422</v>
      </c>
      <c r="U1829" s="1"/>
    </row>
    <row r="1830">
      <c r="A1830" s="218">
        <v>45257.455505335645</v>
      </c>
      <c r="B1830" s="1" t="s">
        <v>61</v>
      </c>
      <c r="C1830" s="1" t="s">
        <v>269</v>
      </c>
      <c r="D1830" s="1">
        <v>4.0</v>
      </c>
      <c r="E1830" s="1">
        <v>8.0</v>
      </c>
      <c r="F1830" s="1"/>
      <c r="G1830" s="1"/>
      <c r="H1830" s="1"/>
      <c r="I1830" s="1"/>
      <c r="J1830" s="219"/>
      <c r="K1830" s="219"/>
      <c r="L1830" s="219"/>
      <c r="M1830" s="219"/>
      <c r="N1830" s="1">
        <v>338.0</v>
      </c>
      <c r="O1830" s="1">
        <v>418.0</v>
      </c>
      <c r="P1830" s="1">
        <v>3.0</v>
      </c>
      <c r="Q1830" s="1" t="b">
        <v>1</v>
      </c>
      <c r="R1830" s="1">
        <v>100.0</v>
      </c>
      <c r="S1830" s="1" t="s">
        <v>354</v>
      </c>
      <c r="T1830" s="1" t="s">
        <v>422</v>
      </c>
      <c r="U1830" s="1"/>
    </row>
    <row r="1831">
      <c r="A1831" s="218">
        <v>45257.455505335645</v>
      </c>
      <c r="B1831" s="1" t="s">
        <v>61</v>
      </c>
      <c r="C1831" s="1" t="s">
        <v>270</v>
      </c>
      <c r="D1831" s="1">
        <v>6.0</v>
      </c>
      <c r="E1831" s="1">
        <v>6.0</v>
      </c>
      <c r="F1831" s="1"/>
      <c r="G1831" s="1"/>
      <c r="H1831" s="1"/>
      <c r="I1831" s="1"/>
      <c r="J1831" s="219"/>
      <c r="K1831" s="219"/>
      <c r="L1831" s="219"/>
      <c r="M1831" s="219"/>
      <c r="N1831" s="1">
        <v>275.0</v>
      </c>
      <c r="O1831" s="1">
        <v>315.0</v>
      </c>
      <c r="P1831" s="1">
        <v>3.0</v>
      </c>
      <c r="Q1831" s="1" t="b">
        <v>1</v>
      </c>
      <c r="R1831" s="1">
        <v>100.0</v>
      </c>
      <c r="S1831" s="1" t="s">
        <v>355</v>
      </c>
      <c r="T1831" s="1" t="s">
        <v>423</v>
      </c>
      <c r="U1831" s="1"/>
    </row>
    <row r="1832">
      <c r="A1832" s="218">
        <v>45257.455505335645</v>
      </c>
      <c r="B1832" s="1" t="s">
        <v>61</v>
      </c>
      <c r="C1832" s="1" t="s">
        <v>271</v>
      </c>
      <c r="D1832" s="1">
        <v>4.0</v>
      </c>
      <c r="E1832" s="1">
        <v>8.0</v>
      </c>
      <c r="F1832" s="1"/>
      <c r="G1832" s="1"/>
      <c r="H1832" s="1"/>
      <c r="I1832" s="1"/>
      <c r="J1832" s="219"/>
      <c r="K1832" s="219"/>
      <c r="L1832" s="219"/>
      <c r="M1832" s="219"/>
      <c r="N1832" s="1">
        <v>359.0</v>
      </c>
      <c r="O1832" s="1">
        <v>443.0</v>
      </c>
      <c r="P1832" s="1">
        <v>3.0</v>
      </c>
      <c r="Q1832" s="1" t="b">
        <v>1</v>
      </c>
      <c r="R1832" s="1">
        <v>100.0</v>
      </c>
      <c r="S1832" s="1" t="s">
        <v>407</v>
      </c>
      <c r="T1832" s="1" t="s">
        <v>423</v>
      </c>
      <c r="U1832" s="1"/>
    </row>
    <row r="1833">
      <c r="A1833" s="218">
        <v>45257.455505335645</v>
      </c>
      <c r="B1833" s="1" t="s">
        <v>61</v>
      </c>
      <c r="C1833" s="1" t="s">
        <v>228</v>
      </c>
      <c r="D1833" s="1">
        <v>4.0</v>
      </c>
      <c r="E1833" s="1">
        <v>8.0</v>
      </c>
      <c r="F1833" s="1"/>
      <c r="G1833" s="1"/>
      <c r="H1833" s="1"/>
      <c r="I1833" s="1"/>
      <c r="J1833" s="219"/>
      <c r="K1833" s="219"/>
      <c r="L1833" s="219"/>
      <c r="M1833" s="219"/>
      <c r="N1833" s="1">
        <v>291.0</v>
      </c>
      <c r="O1833" s="1">
        <v>337.0</v>
      </c>
      <c r="P1833" s="1">
        <v>3.0</v>
      </c>
      <c r="Q1833" s="1" t="b">
        <v>1</v>
      </c>
      <c r="R1833" s="1">
        <v>100.0</v>
      </c>
      <c r="S1833" s="1" t="s">
        <v>351</v>
      </c>
      <c r="T1833" s="1" t="s">
        <v>423</v>
      </c>
      <c r="U1833" s="1"/>
    </row>
    <row r="1834">
      <c r="A1834" s="218">
        <v>45257.455505335645</v>
      </c>
      <c r="B1834" s="1" t="s">
        <v>61</v>
      </c>
      <c r="C1834" s="1" t="s">
        <v>272</v>
      </c>
      <c r="D1834" s="1">
        <v>4.0</v>
      </c>
      <c r="E1834" s="1">
        <v>8.0</v>
      </c>
      <c r="F1834" s="1"/>
      <c r="G1834" s="1"/>
      <c r="H1834" s="1"/>
      <c r="I1834" s="1"/>
      <c r="J1834" s="219"/>
      <c r="K1834" s="219"/>
      <c r="L1834" s="219"/>
      <c r="M1834" s="219"/>
      <c r="N1834" s="1">
        <v>284.0</v>
      </c>
      <c r="O1834" s="1">
        <v>381.0</v>
      </c>
      <c r="P1834" s="1">
        <v>3.0</v>
      </c>
      <c r="Q1834" s="1" t="b">
        <v>1</v>
      </c>
      <c r="R1834" s="1">
        <v>100.0</v>
      </c>
      <c r="S1834" s="1" t="s">
        <v>352</v>
      </c>
      <c r="T1834" s="1" t="s">
        <v>423</v>
      </c>
      <c r="U1834" s="1"/>
    </row>
    <row r="1835">
      <c r="A1835" s="218">
        <v>45272.0</v>
      </c>
      <c r="B1835" s="1" t="s">
        <v>35</v>
      </c>
      <c r="C1835" s="1" t="s">
        <v>38</v>
      </c>
      <c r="D1835" s="1">
        <v>11.0</v>
      </c>
      <c r="E1835" s="1">
        <v>1.0</v>
      </c>
      <c r="F1835" s="1"/>
      <c r="G1835" s="218"/>
      <c r="H1835" s="1"/>
      <c r="I1835" s="1"/>
      <c r="J1835" s="219"/>
      <c r="K1835" s="219"/>
      <c r="L1835" s="219"/>
      <c r="M1835" s="219"/>
      <c r="N1835" s="1"/>
      <c r="O1835" s="1"/>
      <c r="P1835" s="1"/>
      <c r="Q1835" s="1"/>
      <c r="R1835" s="1"/>
      <c r="S1835" s="1" t="s">
        <v>354</v>
      </c>
      <c r="T1835" s="1" t="s">
        <v>422</v>
      </c>
      <c r="U1835" s="1"/>
    </row>
    <row r="1836">
      <c r="A1836" s="218">
        <v>45272.0</v>
      </c>
      <c r="B1836" s="1" t="s">
        <v>35</v>
      </c>
      <c r="C1836" s="1" t="s">
        <v>63</v>
      </c>
      <c r="D1836" s="1">
        <v>12.0</v>
      </c>
      <c r="E1836" s="1">
        <v>0.0</v>
      </c>
      <c r="F1836" s="1"/>
      <c r="G1836" s="218"/>
      <c r="H1836" s="1"/>
      <c r="I1836" s="1"/>
      <c r="J1836" s="219"/>
      <c r="K1836" s="219"/>
      <c r="L1836" s="219"/>
      <c r="M1836" s="219"/>
      <c r="N1836" s="1"/>
      <c r="O1836" s="1"/>
      <c r="P1836" s="1"/>
      <c r="Q1836" s="1"/>
      <c r="R1836" s="1"/>
      <c r="S1836" s="1" t="s">
        <v>292</v>
      </c>
      <c r="T1836" s="1" t="s">
        <v>422</v>
      </c>
      <c r="U1836" s="1"/>
    </row>
    <row r="1837">
      <c r="A1837" s="218">
        <v>45272.0</v>
      </c>
      <c r="B1837" s="1" t="s">
        <v>35</v>
      </c>
      <c r="C1837" s="1" t="s">
        <v>71</v>
      </c>
      <c r="D1837" s="1">
        <v>8.0</v>
      </c>
      <c r="E1837" s="1">
        <v>4.0</v>
      </c>
      <c r="F1837" s="1"/>
      <c r="G1837" s="218"/>
      <c r="H1837" s="1"/>
      <c r="I1837" s="1"/>
      <c r="J1837" s="219"/>
      <c r="K1837" s="219"/>
      <c r="L1837" s="219"/>
      <c r="M1837" s="219"/>
      <c r="N1837" s="1"/>
      <c r="O1837" s="1"/>
      <c r="P1837" s="1"/>
      <c r="Q1837" s="1"/>
      <c r="R1837" s="1"/>
      <c r="S1837" s="1" t="s">
        <v>355</v>
      </c>
      <c r="T1837" s="1" t="s">
        <v>423</v>
      </c>
      <c r="U1837" s="1"/>
    </row>
    <row r="1838">
      <c r="A1838" s="218">
        <v>45272.0</v>
      </c>
      <c r="B1838" s="1" t="s">
        <v>35</v>
      </c>
      <c r="C1838" s="1" t="s">
        <v>74</v>
      </c>
      <c r="D1838" s="1">
        <v>8.0</v>
      </c>
      <c r="E1838" s="1">
        <v>4.0</v>
      </c>
      <c r="F1838" s="1"/>
      <c r="G1838" s="1"/>
      <c r="H1838" s="1"/>
      <c r="I1838" s="1"/>
      <c r="J1838" s="219"/>
      <c r="K1838" s="219"/>
      <c r="L1838" s="219"/>
      <c r="M1838" s="219"/>
      <c r="N1838" s="1"/>
      <c r="O1838" s="1"/>
      <c r="P1838" s="1"/>
      <c r="Q1838" s="1"/>
      <c r="R1838" s="1"/>
      <c r="S1838" s="1" t="s">
        <v>296</v>
      </c>
      <c r="T1838" s="1" t="s">
        <v>422</v>
      </c>
      <c r="U1838" s="1"/>
    </row>
    <row r="1839">
      <c r="A1839" s="218">
        <v>45272.0</v>
      </c>
      <c r="B1839" s="1" t="s">
        <v>35</v>
      </c>
      <c r="C1839" s="1" t="s">
        <v>75</v>
      </c>
      <c r="D1839" s="1">
        <v>1.0</v>
      </c>
      <c r="E1839" s="1">
        <v>11.0</v>
      </c>
      <c r="F1839" s="1"/>
      <c r="G1839" s="1"/>
      <c r="H1839" s="1"/>
      <c r="I1839" s="1"/>
      <c r="J1839" s="219"/>
      <c r="K1839" s="219"/>
      <c r="L1839" s="219"/>
      <c r="M1839" s="219"/>
      <c r="N1839" s="1"/>
      <c r="O1839" s="1"/>
      <c r="P1839" s="1"/>
      <c r="Q1839" s="1"/>
      <c r="R1839" s="1"/>
      <c r="S1839" s="1" t="s">
        <v>352</v>
      </c>
      <c r="T1839" s="1" t="s">
        <v>423</v>
      </c>
      <c r="U1839" s="1"/>
    </row>
    <row r="1840">
      <c r="A1840" s="218">
        <v>45272.0</v>
      </c>
      <c r="B1840" s="1" t="s">
        <v>35</v>
      </c>
      <c r="C1840" s="1" t="s">
        <v>78</v>
      </c>
      <c r="D1840" s="1">
        <v>3.0</v>
      </c>
      <c r="E1840" s="1">
        <v>9.0</v>
      </c>
      <c r="F1840" s="1"/>
      <c r="G1840" s="1"/>
      <c r="H1840" s="1"/>
      <c r="I1840" s="1"/>
      <c r="J1840" s="219"/>
      <c r="K1840" s="219"/>
      <c r="L1840" s="219"/>
      <c r="M1840" s="219"/>
      <c r="N1840" s="1"/>
      <c r="O1840" s="1"/>
      <c r="P1840" s="1"/>
      <c r="Q1840" s="1"/>
      <c r="R1840" s="1"/>
      <c r="S1840" s="1" t="s">
        <v>351</v>
      </c>
      <c r="T1840" s="1" t="s">
        <v>423</v>
      </c>
      <c r="U1840" s="1"/>
    </row>
    <row r="1841">
      <c r="A1841" s="218">
        <v>45272.0</v>
      </c>
      <c r="B1841" s="1" t="s">
        <v>35</v>
      </c>
      <c r="C1841" s="1" t="s">
        <v>79</v>
      </c>
      <c r="D1841" s="1">
        <v>7.0</v>
      </c>
      <c r="E1841" s="1">
        <v>5.0</v>
      </c>
      <c r="F1841" s="1"/>
      <c r="G1841" s="1"/>
      <c r="H1841" s="1"/>
      <c r="I1841" s="1"/>
      <c r="J1841" s="219"/>
      <c r="K1841" s="219"/>
      <c r="L1841" s="219"/>
      <c r="M1841" s="219"/>
      <c r="N1841" s="1"/>
      <c r="O1841" s="1"/>
      <c r="P1841" s="1"/>
      <c r="Q1841" s="1"/>
      <c r="R1841" s="1"/>
      <c r="S1841" s="1" t="s">
        <v>301</v>
      </c>
      <c r="T1841" s="1" t="s">
        <v>422</v>
      </c>
      <c r="U1841" s="1"/>
    </row>
    <row r="1842">
      <c r="A1842" s="218">
        <v>45272.0</v>
      </c>
      <c r="B1842" s="1" t="s">
        <v>35</v>
      </c>
      <c r="C1842" s="1" t="s">
        <v>80</v>
      </c>
      <c r="D1842" s="1">
        <v>5.0</v>
      </c>
      <c r="E1842" s="1">
        <v>7.0</v>
      </c>
      <c r="F1842" s="1"/>
      <c r="G1842" s="1"/>
      <c r="H1842" s="1"/>
      <c r="I1842" s="1"/>
      <c r="J1842" s="219"/>
      <c r="K1842" s="219"/>
      <c r="L1842" s="219"/>
      <c r="M1842" s="219"/>
      <c r="N1842" s="1"/>
      <c r="O1842" s="1"/>
      <c r="P1842" s="1"/>
      <c r="Q1842" s="1"/>
      <c r="R1842" s="1"/>
      <c r="S1842" s="1" t="s">
        <v>282</v>
      </c>
      <c r="T1842" s="1" t="s">
        <v>422</v>
      </c>
      <c r="U1842" s="1"/>
    </row>
    <row r="1843">
      <c r="A1843" s="218">
        <v>45272.0</v>
      </c>
      <c r="B1843" s="1" t="s">
        <v>35</v>
      </c>
      <c r="C1843" s="1" t="s">
        <v>81</v>
      </c>
      <c r="D1843" s="1">
        <v>3.0</v>
      </c>
      <c r="E1843" s="1">
        <v>9.0</v>
      </c>
      <c r="F1843" s="1"/>
      <c r="G1843" s="1"/>
      <c r="H1843" s="1"/>
      <c r="I1843" s="1"/>
      <c r="J1843" s="219"/>
      <c r="K1843" s="219"/>
      <c r="L1843" s="219"/>
      <c r="M1843" s="219"/>
      <c r="N1843" s="1"/>
      <c r="O1843" s="1"/>
      <c r="P1843" s="1"/>
      <c r="Q1843" s="1"/>
      <c r="R1843" s="1"/>
      <c r="S1843" s="1" t="s">
        <v>407</v>
      </c>
      <c r="T1843" s="1" t="s">
        <v>423</v>
      </c>
      <c r="U1843" s="1"/>
    </row>
    <row r="1844">
      <c r="A1844" s="218">
        <v>45272.0</v>
      </c>
      <c r="B1844" s="1" t="s">
        <v>35</v>
      </c>
      <c r="C1844" s="1" t="s">
        <v>88</v>
      </c>
      <c r="D1844" s="1">
        <v>4.0</v>
      </c>
      <c r="E1844" s="1">
        <v>8.0</v>
      </c>
      <c r="F1844" s="1"/>
      <c r="G1844" s="1"/>
      <c r="H1844" s="1"/>
      <c r="I1844" s="1"/>
      <c r="J1844" s="219"/>
      <c r="K1844" s="219"/>
      <c r="L1844" s="219"/>
      <c r="M1844" s="219"/>
      <c r="N1844" s="1"/>
      <c r="O1844" s="1"/>
      <c r="P1844" s="1"/>
      <c r="Q1844" s="1"/>
      <c r="R1844" s="1"/>
      <c r="S1844" s="1" t="s">
        <v>353</v>
      </c>
      <c r="T1844" s="1" t="s">
        <v>423</v>
      </c>
      <c r="U1844" s="1"/>
    </row>
    <row r="1845">
      <c r="A1845" s="218">
        <v>45272.0</v>
      </c>
      <c r="B1845" s="1"/>
      <c r="C1845" s="1"/>
      <c r="D1845" s="1"/>
      <c r="E1845" s="1"/>
      <c r="F1845" s="1"/>
      <c r="G1845" s="1"/>
      <c r="H1845" s="1"/>
      <c r="I1845" s="1"/>
      <c r="J1845" s="219"/>
      <c r="K1845" s="219"/>
      <c r="L1845" s="219"/>
      <c r="M1845" s="219"/>
      <c r="N1845" s="1"/>
      <c r="O1845" s="1"/>
      <c r="P1845" s="1"/>
      <c r="Q1845" s="1"/>
      <c r="R1845" s="1"/>
      <c r="S1845" s="1" t="e">
        <v>#N/A</v>
      </c>
      <c r="T1845" s="1" t="e">
        <v>#N/A</v>
      </c>
      <c r="U1845" s="1"/>
    </row>
    <row r="1846">
      <c r="A1846" s="218">
        <v>45272.0</v>
      </c>
      <c r="B1846" s="1" t="s">
        <v>58</v>
      </c>
      <c r="C1846" s="1" t="s">
        <v>102</v>
      </c>
      <c r="D1846" s="1">
        <v>12.0</v>
      </c>
      <c r="E1846" s="1">
        <v>0.0</v>
      </c>
      <c r="F1846" s="1"/>
      <c r="G1846" s="218"/>
      <c r="H1846" s="1"/>
      <c r="I1846" s="1"/>
      <c r="J1846" s="219"/>
      <c r="K1846" s="219"/>
      <c r="L1846" s="219"/>
      <c r="M1846" s="219"/>
      <c r="N1846" s="1"/>
      <c r="O1846" s="1"/>
      <c r="P1846" s="1"/>
      <c r="Q1846" s="1"/>
      <c r="R1846" s="1"/>
      <c r="S1846" s="1" t="s">
        <v>351</v>
      </c>
      <c r="T1846" s="1" t="s">
        <v>423</v>
      </c>
      <c r="U1846" s="1"/>
    </row>
    <row r="1847">
      <c r="A1847" s="218">
        <v>45272.0</v>
      </c>
      <c r="B1847" s="1" t="s">
        <v>58</v>
      </c>
      <c r="C1847" s="1" t="s">
        <v>105</v>
      </c>
      <c r="D1847" s="1">
        <v>5.0</v>
      </c>
      <c r="E1847" s="1">
        <v>7.0</v>
      </c>
      <c r="F1847" s="1"/>
      <c r="G1847" s="1"/>
      <c r="H1847" s="1"/>
      <c r="I1847" s="1"/>
      <c r="J1847" s="219"/>
      <c r="K1847" s="219"/>
      <c r="L1847" s="219"/>
      <c r="M1847" s="219"/>
      <c r="N1847" s="1"/>
      <c r="O1847" s="1"/>
      <c r="P1847" s="1"/>
      <c r="Q1847" s="1"/>
      <c r="R1847" s="1"/>
      <c r="S1847" s="1" t="s">
        <v>353</v>
      </c>
      <c r="T1847" s="1" t="s">
        <v>423</v>
      </c>
      <c r="U1847" s="1"/>
    </row>
    <row r="1848">
      <c r="A1848" s="218">
        <v>45272.0</v>
      </c>
      <c r="B1848" s="1" t="s">
        <v>58</v>
      </c>
      <c r="C1848" s="1" t="s">
        <v>109</v>
      </c>
      <c r="D1848" s="1">
        <v>7.0</v>
      </c>
      <c r="E1848" s="1">
        <v>5.0</v>
      </c>
      <c r="F1848" s="1"/>
      <c r="G1848" s="1"/>
      <c r="H1848" s="1"/>
      <c r="I1848" s="1"/>
      <c r="J1848" s="219"/>
      <c r="K1848" s="219"/>
      <c r="L1848" s="219"/>
      <c r="M1848" s="219"/>
      <c r="N1848" s="1"/>
      <c r="O1848" s="1"/>
      <c r="P1848" s="1"/>
      <c r="Q1848" s="1"/>
      <c r="R1848" s="1"/>
      <c r="S1848" s="1" t="s">
        <v>354</v>
      </c>
      <c r="T1848" s="1" t="s">
        <v>422</v>
      </c>
      <c r="U1848" s="1"/>
    </row>
    <row r="1849">
      <c r="A1849" s="218">
        <v>45272.0</v>
      </c>
      <c r="B1849" s="1" t="s">
        <v>58</v>
      </c>
      <c r="C1849" s="1" t="s">
        <v>111</v>
      </c>
      <c r="D1849" s="1">
        <v>6.0</v>
      </c>
      <c r="E1849" s="1">
        <v>6.0</v>
      </c>
      <c r="F1849" s="1"/>
      <c r="G1849" s="1"/>
      <c r="H1849" s="1"/>
      <c r="I1849" s="1"/>
      <c r="J1849" s="219"/>
      <c r="K1849" s="219"/>
      <c r="L1849" s="219"/>
      <c r="M1849" s="219"/>
      <c r="N1849" s="1"/>
      <c r="O1849" s="1"/>
      <c r="P1849" s="1"/>
      <c r="Q1849" s="1"/>
      <c r="R1849" s="1"/>
      <c r="S1849" s="1" t="s">
        <v>355</v>
      </c>
      <c r="T1849" s="1" t="s">
        <v>423</v>
      </c>
      <c r="U1849" s="1"/>
    </row>
    <row r="1850">
      <c r="A1850" s="218">
        <v>45272.0</v>
      </c>
      <c r="B1850" s="1" t="s">
        <v>58</v>
      </c>
      <c r="C1850" s="1" t="s">
        <v>112</v>
      </c>
      <c r="D1850" s="1">
        <v>6.0</v>
      </c>
      <c r="E1850" s="1">
        <v>6.0</v>
      </c>
      <c r="F1850" s="1"/>
      <c r="G1850" s="1"/>
      <c r="H1850" s="1"/>
      <c r="I1850" s="1"/>
      <c r="J1850" s="219"/>
      <c r="K1850" s="219"/>
      <c r="L1850" s="219"/>
      <c r="M1850" s="219"/>
      <c r="N1850" s="1"/>
      <c r="O1850" s="1"/>
      <c r="P1850" s="1"/>
      <c r="Q1850" s="1"/>
      <c r="R1850" s="1"/>
      <c r="S1850" s="1" t="s">
        <v>292</v>
      </c>
      <c r="T1850" s="1" t="s">
        <v>422</v>
      </c>
      <c r="U1850" s="1"/>
    </row>
    <row r="1851">
      <c r="A1851" s="218">
        <v>45272.0</v>
      </c>
      <c r="B1851" s="1" t="s">
        <v>58</v>
      </c>
      <c r="C1851" s="1" t="s">
        <v>113</v>
      </c>
      <c r="D1851" s="1">
        <v>6.0</v>
      </c>
      <c r="E1851" s="1">
        <v>6.0</v>
      </c>
      <c r="F1851" s="1"/>
      <c r="G1851" s="1"/>
      <c r="H1851" s="1"/>
      <c r="I1851" s="1"/>
      <c r="J1851" s="219"/>
      <c r="K1851" s="219"/>
      <c r="L1851" s="219"/>
      <c r="M1851" s="219"/>
      <c r="N1851" s="1"/>
      <c r="O1851" s="1"/>
      <c r="P1851" s="1"/>
      <c r="Q1851" s="1"/>
      <c r="R1851" s="1"/>
      <c r="S1851" s="1" t="s">
        <v>301</v>
      </c>
      <c r="T1851" s="1" t="s">
        <v>422</v>
      </c>
      <c r="U1851" s="1"/>
    </row>
    <row r="1852">
      <c r="A1852" s="218">
        <v>45272.0</v>
      </c>
      <c r="B1852" s="1" t="s">
        <v>58</v>
      </c>
      <c r="C1852" s="1" t="s">
        <v>116</v>
      </c>
      <c r="D1852" s="1">
        <v>5.0</v>
      </c>
      <c r="E1852" s="1">
        <v>7.0</v>
      </c>
      <c r="F1852" s="1"/>
      <c r="G1852" s="1"/>
      <c r="H1852" s="1"/>
      <c r="I1852" s="1"/>
      <c r="J1852" s="219"/>
      <c r="K1852" s="219"/>
      <c r="L1852" s="219"/>
      <c r="M1852" s="219"/>
      <c r="N1852" s="1"/>
      <c r="O1852" s="1"/>
      <c r="P1852" s="1"/>
      <c r="Q1852" s="1"/>
      <c r="R1852" s="1"/>
      <c r="S1852" s="1" t="s">
        <v>282</v>
      </c>
      <c r="T1852" s="1" t="s">
        <v>422</v>
      </c>
      <c r="U1852" s="1"/>
    </row>
    <row r="1853">
      <c r="A1853" s="218">
        <v>45272.0</v>
      </c>
      <c r="B1853" s="1" t="s">
        <v>58</v>
      </c>
      <c r="C1853" s="1" t="s">
        <v>117</v>
      </c>
      <c r="D1853" s="1">
        <v>6.0</v>
      </c>
      <c r="E1853" s="1">
        <v>6.0</v>
      </c>
      <c r="F1853" s="1"/>
      <c r="G1853" s="1"/>
      <c r="H1853" s="1"/>
      <c r="I1853" s="1"/>
      <c r="J1853" s="219"/>
      <c r="K1853" s="219"/>
      <c r="L1853" s="219"/>
      <c r="M1853" s="219"/>
      <c r="N1853" s="1"/>
      <c r="O1853" s="1"/>
      <c r="P1853" s="1"/>
      <c r="Q1853" s="1"/>
      <c r="R1853" s="1"/>
      <c r="S1853" s="1" t="s">
        <v>352</v>
      </c>
      <c r="T1853" s="1" t="s">
        <v>423</v>
      </c>
      <c r="U1853" s="1"/>
    </row>
    <row r="1854">
      <c r="A1854" s="218">
        <v>45272.0</v>
      </c>
      <c r="B1854" s="1" t="s">
        <v>58</v>
      </c>
      <c r="C1854" s="1" t="s">
        <v>118</v>
      </c>
      <c r="D1854" s="1">
        <v>9.0</v>
      </c>
      <c r="E1854" s="1">
        <v>3.0</v>
      </c>
      <c r="F1854" s="1"/>
      <c r="G1854" s="1"/>
      <c r="H1854" s="1"/>
      <c r="I1854" s="1"/>
      <c r="J1854" s="219"/>
      <c r="K1854" s="219"/>
      <c r="L1854" s="219"/>
      <c r="M1854" s="219"/>
      <c r="N1854" s="1"/>
      <c r="O1854" s="1"/>
      <c r="P1854" s="1"/>
      <c r="Q1854" s="1"/>
      <c r="R1854" s="1"/>
      <c r="S1854" s="1" t="s">
        <v>407</v>
      </c>
      <c r="T1854" s="1" t="s">
        <v>423</v>
      </c>
      <c r="U1854" s="1"/>
    </row>
    <row r="1855">
      <c r="A1855" s="218">
        <v>45272.0</v>
      </c>
      <c r="B1855" s="1" t="s">
        <v>58</v>
      </c>
      <c r="C1855" s="1" t="s">
        <v>119</v>
      </c>
      <c r="D1855" s="1">
        <v>5.0</v>
      </c>
      <c r="E1855" s="1">
        <v>7.0</v>
      </c>
      <c r="F1855" s="1"/>
      <c r="G1855" s="1"/>
      <c r="H1855" s="1"/>
      <c r="I1855" s="1"/>
      <c r="J1855" s="219"/>
      <c r="K1855" s="219"/>
      <c r="L1855" s="219"/>
      <c r="M1855" s="219"/>
      <c r="N1855" s="1"/>
      <c r="O1855" s="1"/>
      <c r="P1855" s="1"/>
      <c r="Q1855" s="1"/>
      <c r="R1855" s="1"/>
      <c r="S1855" s="1" t="s">
        <v>296</v>
      </c>
      <c r="T1855" s="1" t="s">
        <v>422</v>
      </c>
      <c r="U1855" s="1"/>
    </row>
    <row r="1856">
      <c r="A1856" s="218">
        <v>45272.0</v>
      </c>
      <c r="B1856" s="1"/>
      <c r="C1856" s="1"/>
      <c r="D1856" s="1"/>
      <c r="E1856" s="1"/>
      <c r="F1856" s="1"/>
      <c r="G1856" s="1"/>
      <c r="H1856" s="1"/>
      <c r="I1856" s="1"/>
      <c r="J1856" s="219"/>
      <c r="K1856" s="219"/>
      <c r="L1856" s="219"/>
      <c r="M1856" s="219"/>
      <c r="N1856" s="1"/>
      <c r="O1856" s="1"/>
      <c r="P1856" s="1"/>
      <c r="Q1856" s="1"/>
      <c r="R1856" s="1"/>
      <c r="S1856" s="1" t="e">
        <v>#N/A</v>
      </c>
      <c r="T1856" s="1" t="e">
        <v>#N/A</v>
      </c>
      <c r="U1856" s="1"/>
    </row>
    <row r="1857">
      <c r="A1857" s="218">
        <v>45272.0</v>
      </c>
      <c r="B1857" s="1" t="s">
        <v>56</v>
      </c>
      <c r="C1857" s="1" t="s">
        <v>120</v>
      </c>
      <c r="D1857" s="1">
        <v>11.0</v>
      </c>
      <c r="E1857" s="1">
        <v>1.0</v>
      </c>
      <c r="F1857" s="1"/>
      <c r="G1857" s="218"/>
      <c r="H1857" s="1"/>
      <c r="I1857" s="1"/>
      <c r="J1857" s="219"/>
      <c r="K1857" s="219"/>
      <c r="L1857" s="219"/>
      <c r="M1857" s="219"/>
      <c r="N1857" s="1"/>
      <c r="O1857" s="1"/>
      <c r="P1857" s="1"/>
      <c r="Q1857" s="1"/>
      <c r="R1857" s="1"/>
      <c r="S1857" s="1" t="s">
        <v>352</v>
      </c>
      <c r="T1857" s="1" t="s">
        <v>423</v>
      </c>
      <c r="U1857" s="1"/>
    </row>
    <row r="1858">
      <c r="A1858" s="218">
        <v>45272.0</v>
      </c>
      <c r="B1858" s="1" t="s">
        <v>56</v>
      </c>
      <c r="C1858" s="1" t="s">
        <v>123</v>
      </c>
      <c r="D1858" s="1">
        <v>6.0</v>
      </c>
      <c r="E1858" s="1">
        <v>6.0</v>
      </c>
      <c r="F1858" s="1"/>
      <c r="G1858" s="1"/>
      <c r="H1858" s="1"/>
      <c r="I1858" s="1"/>
      <c r="J1858" s="219"/>
      <c r="K1858" s="219"/>
      <c r="L1858" s="219"/>
      <c r="M1858" s="219"/>
      <c r="N1858" s="1"/>
      <c r="O1858" s="1"/>
      <c r="P1858" s="1"/>
      <c r="Q1858" s="1"/>
      <c r="R1858" s="1"/>
      <c r="S1858" s="1" t="s">
        <v>351</v>
      </c>
      <c r="T1858" s="1" t="s">
        <v>423</v>
      </c>
      <c r="U1858" s="1"/>
    </row>
    <row r="1859">
      <c r="A1859" s="218">
        <v>45272.0</v>
      </c>
      <c r="B1859" s="1" t="s">
        <v>56</v>
      </c>
      <c r="C1859" s="1" t="s">
        <v>124</v>
      </c>
      <c r="D1859" s="1">
        <v>7.0</v>
      </c>
      <c r="E1859" s="1">
        <v>5.0</v>
      </c>
      <c r="F1859" s="1"/>
      <c r="G1859" s="1"/>
      <c r="H1859" s="1"/>
      <c r="I1859" s="1"/>
      <c r="J1859" s="219"/>
      <c r="K1859" s="219"/>
      <c r="L1859" s="219"/>
      <c r="M1859" s="219"/>
      <c r="N1859" s="1"/>
      <c r="O1859" s="1"/>
      <c r="P1859" s="1"/>
      <c r="Q1859" s="1"/>
      <c r="R1859" s="1"/>
      <c r="S1859" s="1" t="s">
        <v>296</v>
      </c>
      <c r="T1859" s="1" t="s">
        <v>422</v>
      </c>
      <c r="U1859" s="1"/>
    </row>
    <row r="1860">
      <c r="A1860" s="218">
        <v>45272.0</v>
      </c>
      <c r="B1860" s="1" t="s">
        <v>56</v>
      </c>
      <c r="C1860" s="1" t="s">
        <v>126</v>
      </c>
      <c r="D1860" s="1">
        <v>7.0</v>
      </c>
      <c r="E1860" s="1">
        <v>5.0</v>
      </c>
      <c r="F1860" s="1"/>
      <c r="G1860" s="1"/>
      <c r="H1860" s="1"/>
      <c r="I1860" s="1"/>
      <c r="J1860" s="219"/>
      <c r="K1860" s="219"/>
      <c r="L1860" s="219"/>
      <c r="M1860" s="219"/>
      <c r="N1860" s="1"/>
      <c r="O1860" s="1"/>
      <c r="P1860" s="1"/>
      <c r="Q1860" s="1"/>
      <c r="R1860" s="1"/>
      <c r="S1860" s="1" t="s">
        <v>355</v>
      </c>
      <c r="T1860" s="1" t="s">
        <v>423</v>
      </c>
      <c r="U1860" s="1"/>
    </row>
    <row r="1861">
      <c r="A1861" s="218">
        <v>45272.0</v>
      </c>
      <c r="B1861" s="1" t="s">
        <v>56</v>
      </c>
      <c r="C1861" s="1" t="s">
        <v>127</v>
      </c>
      <c r="D1861" s="1">
        <v>5.0</v>
      </c>
      <c r="E1861" s="1">
        <v>7.0</v>
      </c>
      <c r="F1861" s="1"/>
      <c r="G1861" s="1"/>
      <c r="H1861" s="1"/>
      <c r="I1861" s="1"/>
      <c r="J1861" s="219"/>
      <c r="K1861" s="219"/>
      <c r="L1861" s="219"/>
      <c r="M1861" s="219"/>
      <c r="N1861" s="1"/>
      <c r="O1861" s="1"/>
      <c r="P1861" s="1"/>
      <c r="Q1861" s="1"/>
      <c r="R1861" s="1"/>
      <c r="S1861" s="1" t="s">
        <v>292</v>
      </c>
      <c r="T1861" s="1" t="s">
        <v>422</v>
      </c>
      <c r="U1861" s="1"/>
    </row>
    <row r="1862">
      <c r="A1862" s="218">
        <v>45272.0</v>
      </c>
      <c r="B1862" s="1" t="s">
        <v>56</v>
      </c>
      <c r="C1862" s="1" t="s">
        <v>128</v>
      </c>
      <c r="D1862" s="1">
        <v>9.0</v>
      </c>
      <c r="E1862" s="1">
        <v>3.0</v>
      </c>
      <c r="F1862" s="1"/>
      <c r="G1862" s="1"/>
      <c r="H1862" s="1"/>
      <c r="I1862" s="1"/>
      <c r="J1862" s="219"/>
      <c r="K1862" s="219"/>
      <c r="L1862" s="219"/>
      <c r="M1862" s="219"/>
      <c r="N1862" s="1"/>
      <c r="O1862" s="1"/>
      <c r="P1862" s="1"/>
      <c r="Q1862" s="1"/>
      <c r="R1862" s="1"/>
      <c r="S1862" s="1" t="s">
        <v>354</v>
      </c>
      <c r="T1862" s="1" t="s">
        <v>422</v>
      </c>
      <c r="U1862" s="1"/>
    </row>
    <row r="1863">
      <c r="A1863" s="218">
        <v>45272.0</v>
      </c>
      <c r="B1863" s="1" t="s">
        <v>56</v>
      </c>
      <c r="C1863" s="1" t="s">
        <v>129</v>
      </c>
      <c r="D1863" s="1">
        <v>7.0</v>
      </c>
      <c r="E1863" s="1">
        <v>5.0</v>
      </c>
      <c r="F1863" s="1"/>
      <c r="G1863" s="1"/>
      <c r="H1863" s="1"/>
      <c r="I1863" s="1"/>
      <c r="J1863" s="219"/>
      <c r="K1863" s="219"/>
      <c r="L1863" s="219"/>
      <c r="M1863" s="219"/>
      <c r="N1863" s="1"/>
      <c r="O1863" s="1"/>
      <c r="P1863" s="1"/>
      <c r="Q1863" s="1"/>
      <c r="R1863" s="1"/>
      <c r="S1863" s="1" t="s">
        <v>353</v>
      </c>
      <c r="T1863" s="1" t="s">
        <v>423</v>
      </c>
      <c r="U1863" s="1"/>
    </row>
    <row r="1864">
      <c r="A1864" s="218">
        <v>45272.0</v>
      </c>
      <c r="B1864" s="1" t="s">
        <v>56</v>
      </c>
      <c r="C1864" s="1" t="s">
        <v>130</v>
      </c>
      <c r="D1864" s="1">
        <v>6.0</v>
      </c>
      <c r="E1864" s="1">
        <v>6.0</v>
      </c>
      <c r="F1864" s="1"/>
      <c r="G1864" s="1"/>
      <c r="H1864" s="1"/>
      <c r="I1864" s="1"/>
      <c r="J1864" s="219"/>
      <c r="K1864" s="219"/>
      <c r="L1864" s="219"/>
      <c r="M1864" s="219"/>
      <c r="N1864" s="1"/>
      <c r="O1864" s="1"/>
      <c r="P1864" s="1"/>
      <c r="Q1864" s="1"/>
      <c r="R1864" s="1"/>
      <c r="S1864" s="1" t="s">
        <v>301</v>
      </c>
      <c r="T1864" s="1" t="s">
        <v>422</v>
      </c>
      <c r="U1864" s="1"/>
    </row>
    <row r="1865">
      <c r="A1865" s="218">
        <v>45272.0</v>
      </c>
      <c r="B1865" s="1" t="s">
        <v>56</v>
      </c>
      <c r="C1865" s="1" t="s">
        <v>133</v>
      </c>
      <c r="D1865" s="1">
        <v>4.0</v>
      </c>
      <c r="E1865" s="1">
        <v>8.0</v>
      </c>
      <c r="F1865" s="1"/>
      <c r="G1865" s="1"/>
      <c r="H1865" s="1"/>
      <c r="I1865" s="1"/>
      <c r="J1865" s="219"/>
      <c r="K1865" s="219"/>
      <c r="L1865" s="219"/>
      <c r="M1865" s="219"/>
      <c r="N1865" s="1"/>
      <c r="O1865" s="1"/>
      <c r="P1865" s="1"/>
      <c r="Q1865" s="1"/>
      <c r="R1865" s="1"/>
      <c r="S1865" s="1" t="s">
        <v>407</v>
      </c>
      <c r="T1865" s="1" t="s">
        <v>423</v>
      </c>
      <c r="U1865" s="1"/>
    </row>
    <row r="1866">
      <c r="A1866" s="218">
        <v>45272.0</v>
      </c>
      <c r="B1866" s="1" t="s">
        <v>56</v>
      </c>
      <c r="C1866" s="1" t="s">
        <v>135</v>
      </c>
      <c r="D1866" s="1">
        <v>10.0</v>
      </c>
      <c r="E1866" s="1">
        <v>2.0</v>
      </c>
      <c r="F1866" s="1"/>
      <c r="G1866" s="1"/>
      <c r="H1866" s="1"/>
      <c r="I1866" s="1"/>
      <c r="J1866" s="219"/>
      <c r="K1866" s="219"/>
      <c r="L1866" s="219"/>
      <c r="M1866" s="219"/>
      <c r="N1866" s="1"/>
      <c r="O1866" s="1"/>
      <c r="P1866" s="1"/>
      <c r="Q1866" s="1"/>
      <c r="R1866" s="1"/>
      <c r="S1866" s="1" t="s">
        <v>282</v>
      </c>
      <c r="T1866" s="1" t="s">
        <v>422</v>
      </c>
      <c r="U1866" s="1"/>
    </row>
    <row r="1867">
      <c r="A1867" s="218">
        <v>45272.0</v>
      </c>
      <c r="B1867" s="1"/>
      <c r="C1867" s="1"/>
      <c r="D1867" s="1"/>
      <c r="E1867" s="1"/>
      <c r="F1867" s="1"/>
      <c r="G1867" s="1"/>
      <c r="H1867" s="1"/>
      <c r="I1867" s="1"/>
      <c r="J1867" s="219"/>
      <c r="K1867" s="219"/>
      <c r="L1867" s="219"/>
      <c r="M1867" s="219"/>
      <c r="N1867" s="1"/>
      <c r="O1867" s="1"/>
      <c r="P1867" s="1"/>
      <c r="Q1867" s="1"/>
      <c r="R1867" s="1"/>
      <c r="S1867" s="1" t="e">
        <v>#N/A</v>
      </c>
      <c r="T1867" s="1" t="e">
        <v>#N/A</v>
      </c>
      <c r="U1867" s="1"/>
    </row>
    <row r="1868">
      <c r="A1868" s="218">
        <v>45272.0</v>
      </c>
      <c r="B1868" s="1" t="s">
        <v>60</v>
      </c>
      <c r="C1868" s="1" t="s">
        <v>137</v>
      </c>
      <c r="D1868" s="1">
        <v>11.0</v>
      </c>
      <c r="E1868" s="1">
        <v>1.0</v>
      </c>
      <c r="F1868" s="1"/>
      <c r="G1868" s="218"/>
      <c r="H1868" s="1"/>
      <c r="I1868" s="1"/>
      <c r="J1868" s="219"/>
      <c r="K1868" s="219"/>
      <c r="L1868" s="219"/>
      <c r="M1868" s="219"/>
      <c r="N1868" s="1"/>
      <c r="O1868" s="1"/>
      <c r="P1868" s="1"/>
      <c r="Q1868" s="1"/>
      <c r="R1868" s="1"/>
      <c r="S1868" s="1" t="s">
        <v>292</v>
      </c>
      <c r="T1868" s="1" t="s">
        <v>422</v>
      </c>
      <c r="U1868" s="1"/>
    </row>
    <row r="1869">
      <c r="A1869" s="218">
        <v>45272.0</v>
      </c>
      <c r="B1869" s="1" t="s">
        <v>60</v>
      </c>
      <c r="C1869" s="1" t="s">
        <v>139</v>
      </c>
      <c r="D1869" s="1">
        <v>10.0</v>
      </c>
      <c r="E1869" s="1">
        <v>2.0</v>
      </c>
      <c r="F1869" s="1"/>
      <c r="G1869" s="218"/>
      <c r="H1869" s="1"/>
      <c r="I1869" s="1"/>
      <c r="J1869" s="219"/>
      <c r="K1869" s="219"/>
      <c r="L1869" s="219"/>
      <c r="M1869" s="219"/>
      <c r="N1869" s="1"/>
      <c r="O1869" s="1"/>
      <c r="P1869" s="1"/>
      <c r="Q1869" s="1"/>
      <c r="R1869" s="1"/>
      <c r="S1869" s="1" t="s">
        <v>407</v>
      </c>
      <c r="T1869" s="1" t="s">
        <v>423</v>
      </c>
      <c r="U1869" s="1"/>
    </row>
    <row r="1870">
      <c r="A1870" s="218">
        <v>45272.0</v>
      </c>
      <c r="B1870" s="1" t="s">
        <v>60</v>
      </c>
      <c r="C1870" s="1" t="s">
        <v>164</v>
      </c>
      <c r="D1870" s="1">
        <v>10.0</v>
      </c>
      <c r="E1870" s="1">
        <v>2.0</v>
      </c>
      <c r="F1870" s="1"/>
      <c r="G1870" s="218"/>
      <c r="H1870" s="1"/>
      <c r="I1870" s="1"/>
      <c r="J1870" s="219"/>
      <c r="K1870" s="219"/>
      <c r="L1870" s="219"/>
      <c r="M1870" s="219"/>
      <c r="N1870" s="1"/>
      <c r="O1870" s="1"/>
      <c r="P1870" s="1"/>
      <c r="Q1870" s="1"/>
      <c r="R1870" s="1"/>
      <c r="S1870" s="1" t="s">
        <v>301</v>
      </c>
      <c r="T1870" s="1" t="s">
        <v>422</v>
      </c>
      <c r="U1870" s="1"/>
    </row>
    <row r="1871">
      <c r="A1871" s="218">
        <v>45272.0</v>
      </c>
      <c r="B1871" s="1" t="s">
        <v>60</v>
      </c>
      <c r="C1871" s="1" t="s">
        <v>173</v>
      </c>
      <c r="D1871" s="1">
        <v>5.0</v>
      </c>
      <c r="E1871" s="1">
        <v>8.0</v>
      </c>
      <c r="F1871" s="1"/>
      <c r="G1871" s="1"/>
      <c r="H1871" s="1"/>
      <c r="I1871" s="1"/>
      <c r="J1871" s="219"/>
      <c r="K1871" s="219"/>
      <c r="L1871" s="219"/>
      <c r="M1871" s="219"/>
      <c r="N1871" s="1"/>
      <c r="O1871" s="1"/>
      <c r="P1871" s="1"/>
      <c r="Q1871" s="1"/>
      <c r="R1871" s="1"/>
      <c r="S1871" s="1" t="s">
        <v>353</v>
      </c>
      <c r="T1871" s="1" t="s">
        <v>423</v>
      </c>
      <c r="U1871" s="1"/>
    </row>
    <row r="1872">
      <c r="A1872" s="218">
        <v>45272.0</v>
      </c>
      <c r="B1872" s="1" t="s">
        <v>60</v>
      </c>
      <c r="C1872" s="1" t="s">
        <v>174</v>
      </c>
      <c r="D1872" s="1">
        <v>3.0</v>
      </c>
      <c r="E1872" s="1">
        <v>9.0</v>
      </c>
      <c r="F1872" s="1"/>
      <c r="G1872" s="1"/>
      <c r="H1872" s="1"/>
      <c r="I1872" s="1"/>
      <c r="J1872" s="219"/>
      <c r="K1872" s="219"/>
      <c r="L1872" s="219"/>
      <c r="M1872" s="219"/>
      <c r="N1872" s="1"/>
      <c r="O1872" s="1"/>
      <c r="P1872" s="1"/>
      <c r="Q1872" s="1"/>
      <c r="R1872" s="1"/>
      <c r="S1872" s="1" t="s">
        <v>354</v>
      </c>
      <c r="T1872" s="1" t="s">
        <v>422</v>
      </c>
      <c r="U1872" s="1"/>
    </row>
    <row r="1873">
      <c r="A1873" s="218">
        <v>45272.0</v>
      </c>
      <c r="B1873" s="1" t="s">
        <v>60</v>
      </c>
      <c r="C1873" s="1" t="s">
        <v>175</v>
      </c>
      <c r="D1873" s="1">
        <v>6.0</v>
      </c>
      <c r="E1873" s="1">
        <v>6.0</v>
      </c>
      <c r="F1873" s="1"/>
      <c r="G1873" s="1"/>
      <c r="H1873" s="1"/>
      <c r="I1873" s="1"/>
      <c r="J1873" s="219"/>
      <c r="K1873" s="219"/>
      <c r="L1873" s="219"/>
      <c r="M1873" s="219"/>
      <c r="N1873" s="1"/>
      <c r="O1873" s="1"/>
      <c r="P1873" s="1"/>
      <c r="Q1873" s="1"/>
      <c r="R1873" s="1"/>
      <c r="S1873" s="1" t="s">
        <v>355</v>
      </c>
      <c r="T1873" s="1" t="s">
        <v>423</v>
      </c>
      <c r="U1873" s="1"/>
    </row>
    <row r="1874">
      <c r="A1874" s="218">
        <v>45272.0</v>
      </c>
      <c r="B1874" s="1" t="s">
        <v>60</v>
      </c>
      <c r="C1874" s="1" t="s">
        <v>176</v>
      </c>
      <c r="D1874" s="1">
        <v>3.0</v>
      </c>
      <c r="E1874" s="1">
        <v>9.0</v>
      </c>
      <c r="F1874" s="1"/>
      <c r="G1874" s="1"/>
      <c r="H1874" s="1"/>
      <c r="I1874" s="1"/>
      <c r="J1874" s="219"/>
      <c r="K1874" s="219"/>
      <c r="L1874" s="219"/>
      <c r="M1874" s="219"/>
      <c r="N1874" s="1"/>
      <c r="O1874" s="1"/>
      <c r="P1874" s="1"/>
      <c r="Q1874" s="1"/>
      <c r="R1874" s="1"/>
      <c r="S1874" s="1" t="s">
        <v>351</v>
      </c>
      <c r="T1874" s="1" t="s">
        <v>423</v>
      </c>
      <c r="U1874" s="1"/>
    </row>
    <row r="1875">
      <c r="A1875" s="218">
        <v>45272.0</v>
      </c>
      <c r="B1875" s="1" t="s">
        <v>60</v>
      </c>
      <c r="C1875" s="1" t="s">
        <v>177</v>
      </c>
      <c r="D1875" s="1">
        <v>4.0</v>
      </c>
      <c r="E1875" s="1">
        <v>8.0</v>
      </c>
      <c r="F1875" s="1"/>
      <c r="G1875" s="1"/>
      <c r="H1875" s="1"/>
      <c r="I1875" s="1"/>
      <c r="J1875" s="219"/>
      <c r="K1875" s="219"/>
      <c r="L1875" s="219"/>
      <c r="M1875" s="219"/>
      <c r="N1875" s="1"/>
      <c r="O1875" s="1"/>
      <c r="P1875" s="1"/>
      <c r="Q1875" s="1"/>
      <c r="R1875" s="1"/>
      <c r="S1875" s="1" t="s">
        <v>352</v>
      </c>
      <c r="T1875" s="1" t="s">
        <v>423</v>
      </c>
      <c r="U1875" s="1"/>
    </row>
    <row r="1876">
      <c r="A1876" s="218">
        <v>45272.0</v>
      </c>
      <c r="B1876" s="1" t="s">
        <v>60</v>
      </c>
      <c r="C1876" s="1" t="s">
        <v>178</v>
      </c>
      <c r="D1876" s="1">
        <v>4.0</v>
      </c>
      <c r="E1876" s="1">
        <v>8.0</v>
      </c>
      <c r="F1876" s="1"/>
      <c r="G1876" s="1"/>
      <c r="H1876" s="1"/>
      <c r="I1876" s="1"/>
      <c r="J1876" s="219"/>
      <c r="K1876" s="219"/>
      <c r="L1876" s="219"/>
      <c r="M1876" s="219"/>
      <c r="N1876" s="1"/>
      <c r="O1876" s="1"/>
      <c r="P1876" s="1"/>
      <c r="Q1876" s="1"/>
      <c r="R1876" s="1"/>
      <c r="S1876" s="1" t="s">
        <v>282</v>
      </c>
      <c r="T1876" s="1" t="s">
        <v>422</v>
      </c>
      <c r="U1876" s="1"/>
    </row>
    <row r="1877">
      <c r="A1877" s="218">
        <v>45272.0</v>
      </c>
      <c r="B1877" s="1" t="s">
        <v>60</v>
      </c>
      <c r="C1877" s="1" t="s">
        <v>179</v>
      </c>
      <c r="D1877" s="1">
        <v>10.0</v>
      </c>
      <c r="E1877" s="1">
        <v>2.0</v>
      </c>
      <c r="F1877" s="1"/>
      <c r="G1877" s="1"/>
      <c r="H1877" s="1"/>
      <c r="I1877" s="1"/>
      <c r="J1877" s="219"/>
      <c r="K1877" s="219"/>
      <c r="L1877" s="219"/>
      <c r="M1877" s="219"/>
      <c r="N1877" s="1"/>
      <c r="O1877" s="1"/>
      <c r="P1877" s="1"/>
      <c r="Q1877" s="1"/>
      <c r="R1877" s="1"/>
      <c r="S1877" s="1" t="s">
        <v>296</v>
      </c>
      <c r="T1877" s="1" t="s">
        <v>422</v>
      </c>
      <c r="U1877" s="1"/>
    </row>
    <row r="1878">
      <c r="A1878" s="218">
        <v>45272.0</v>
      </c>
      <c r="B1878" s="1"/>
      <c r="C1878" s="1"/>
      <c r="D1878" s="1"/>
      <c r="E1878" s="1"/>
      <c r="F1878" s="1"/>
      <c r="G1878" s="1"/>
      <c r="H1878" s="1"/>
      <c r="I1878" s="1"/>
      <c r="J1878" s="219"/>
      <c r="K1878" s="219"/>
      <c r="L1878" s="219"/>
      <c r="M1878" s="219"/>
      <c r="N1878" s="1"/>
      <c r="O1878" s="1"/>
      <c r="P1878" s="1"/>
      <c r="Q1878" s="1"/>
      <c r="R1878" s="1"/>
      <c r="S1878" s="1" t="e">
        <v>#N/A</v>
      </c>
      <c r="T1878" s="1" t="e">
        <v>#N/A</v>
      </c>
      <c r="U1878" s="1"/>
    </row>
    <row r="1879">
      <c r="A1879" s="218">
        <v>45272.0</v>
      </c>
      <c r="B1879" s="1" t="s">
        <v>46</v>
      </c>
      <c r="C1879" s="1" t="s">
        <v>180</v>
      </c>
      <c r="D1879" s="1">
        <v>12.0</v>
      </c>
      <c r="E1879" s="1">
        <v>0.0</v>
      </c>
      <c r="F1879" s="1"/>
      <c r="G1879" s="218"/>
      <c r="H1879" s="1"/>
      <c r="I1879" s="1"/>
      <c r="J1879" s="219"/>
      <c r="K1879" s="219"/>
      <c r="L1879" s="219"/>
      <c r="M1879" s="219"/>
      <c r="N1879" s="1"/>
      <c r="O1879" s="1"/>
      <c r="P1879" s="1"/>
      <c r="Q1879" s="1"/>
      <c r="R1879" s="1"/>
      <c r="S1879" s="1" t="s">
        <v>354</v>
      </c>
      <c r="T1879" s="1" t="s">
        <v>422</v>
      </c>
      <c r="U1879" s="1"/>
    </row>
    <row r="1880">
      <c r="A1880" s="218">
        <v>45272.0</v>
      </c>
      <c r="B1880" s="1" t="s">
        <v>46</v>
      </c>
      <c r="C1880" s="1" t="s">
        <v>181</v>
      </c>
      <c r="D1880" s="1">
        <v>10.0</v>
      </c>
      <c r="E1880" s="1">
        <v>2.0</v>
      </c>
      <c r="F1880" s="1"/>
      <c r="G1880" s="218"/>
      <c r="H1880" s="1"/>
      <c r="I1880" s="1"/>
      <c r="J1880" s="219"/>
      <c r="K1880" s="219"/>
      <c r="L1880" s="219"/>
      <c r="M1880" s="219"/>
      <c r="N1880" s="1"/>
      <c r="O1880" s="1"/>
      <c r="P1880" s="1"/>
      <c r="Q1880" s="1"/>
      <c r="R1880" s="1"/>
      <c r="S1880" s="1" t="s">
        <v>355</v>
      </c>
      <c r="T1880" s="1" t="s">
        <v>423</v>
      </c>
      <c r="U1880" s="1"/>
    </row>
    <row r="1881">
      <c r="A1881" s="218">
        <v>45272.0</v>
      </c>
      <c r="B1881" s="1" t="s">
        <v>46</v>
      </c>
      <c r="C1881" s="1" t="s">
        <v>182</v>
      </c>
      <c r="D1881" s="1">
        <v>11.0</v>
      </c>
      <c r="E1881" s="1">
        <v>1.0</v>
      </c>
      <c r="F1881" s="1"/>
      <c r="G1881" s="218"/>
      <c r="H1881" s="1"/>
      <c r="I1881" s="1"/>
      <c r="J1881" s="219"/>
      <c r="K1881" s="219"/>
      <c r="L1881" s="219"/>
      <c r="M1881" s="219"/>
      <c r="N1881" s="1"/>
      <c r="O1881" s="1"/>
      <c r="P1881" s="1"/>
      <c r="Q1881" s="1"/>
      <c r="R1881" s="1"/>
      <c r="S1881" s="1" t="s">
        <v>407</v>
      </c>
      <c r="T1881" s="1" t="s">
        <v>423</v>
      </c>
      <c r="U1881" s="1"/>
    </row>
    <row r="1882">
      <c r="A1882" s="218">
        <v>45272.0</v>
      </c>
      <c r="B1882" s="1" t="s">
        <v>46</v>
      </c>
      <c r="C1882" s="1" t="s">
        <v>183</v>
      </c>
      <c r="D1882" s="1">
        <v>8.0</v>
      </c>
      <c r="E1882" s="1">
        <v>4.0</v>
      </c>
      <c r="F1882" s="1"/>
      <c r="G1882" s="1"/>
      <c r="H1882" s="1"/>
      <c r="I1882" s="1"/>
      <c r="J1882" s="219"/>
      <c r="K1882" s="219"/>
      <c r="L1882" s="219"/>
      <c r="M1882" s="219"/>
      <c r="N1882" s="1"/>
      <c r="O1882" s="1"/>
      <c r="P1882" s="1"/>
      <c r="Q1882" s="1"/>
      <c r="R1882" s="1"/>
      <c r="S1882" s="1" t="s">
        <v>353</v>
      </c>
      <c r="T1882" s="1" t="s">
        <v>423</v>
      </c>
      <c r="U1882" s="1"/>
    </row>
    <row r="1883">
      <c r="A1883" s="218">
        <v>45272.0</v>
      </c>
      <c r="B1883" s="1" t="s">
        <v>46</v>
      </c>
      <c r="C1883" s="1" t="s">
        <v>184</v>
      </c>
      <c r="D1883" s="1">
        <v>5.0</v>
      </c>
      <c r="E1883" s="1">
        <v>7.0</v>
      </c>
      <c r="F1883" s="1"/>
      <c r="G1883" s="1"/>
      <c r="H1883" s="1"/>
      <c r="I1883" s="1"/>
      <c r="J1883" s="219"/>
      <c r="K1883" s="219"/>
      <c r="L1883" s="219"/>
      <c r="M1883" s="219"/>
      <c r="N1883" s="1"/>
      <c r="O1883" s="1"/>
      <c r="P1883" s="1"/>
      <c r="Q1883" s="1"/>
      <c r="R1883" s="1"/>
      <c r="S1883" s="1" t="s">
        <v>292</v>
      </c>
      <c r="T1883" s="1" t="s">
        <v>422</v>
      </c>
      <c r="U1883" s="1"/>
    </row>
    <row r="1884">
      <c r="A1884" s="218">
        <v>45272.0</v>
      </c>
      <c r="B1884" s="1" t="s">
        <v>46</v>
      </c>
      <c r="C1884" s="1" t="s">
        <v>185</v>
      </c>
      <c r="D1884" s="1">
        <v>6.0</v>
      </c>
      <c r="E1884" s="1">
        <v>6.0</v>
      </c>
      <c r="F1884" s="1"/>
      <c r="G1884" s="1"/>
      <c r="H1884" s="1"/>
      <c r="I1884" s="1"/>
      <c r="J1884" s="219"/>
      <c r="K1884" s="219"/>
      <c r="L1884" s="219"/>
      <c r="M1884" s="219"/>
      <c r="N1884" s="1"/>
      <c r="O1884" s="1"/>
      <c r="P1884" s="1"/>
      <c r="Q1884" s="1"/>
      <c r="R1884" s="1"/>
      <c r="S1884" s="1" t="s">
        <v>351</v>
      </c>
      <c r="T1884" s="1" t="s">
        <v>423</v>
      </c>
      <c r="U1884" s="1"/>
    </row>
    <row r="1885">
      <c r="A1885" s="218">
        <v>45272.0</v>
      </c>
      <c r="B1885" s="1" t="s">
        <v>46</v>
      </c>
      <c r="C1885" s="1" t="s">
        <v>186</v>
      </c>
      <c r="D1885" s="1">
        <v>5.0</v>
      </c>
      <c r="E1885" s="1">
        <v>7.0</v>
      </c>
      <c r="F1885" s="1"/>
      <c r="G1885" s="1"/>
      <c r="H1885" s="1"/>
      <c r="I1885" s="1"/>
      <c r="J1885" s="219"/>
      <c r="K1885" s="219"/>
      <c r="L1885" s="219"/>
      <c r="M1885" s="219"/>
      <c r="N1885" s="1"/>
      <c r="O1885" s="1"/>
      <c r="P1885" s="1"/>
      <c r="Q1885" s="1"/>
      <c r="R1885" s="1"/>
      <c r="S1885" s="1" t="s">
        <v>282</v>
      </c>
      <c r="T1885" s="1" t="s">
        <v>422</v>
      </c>
      <c r="U1885" s="1"/>
    </row>
    <row r="1886">
      <c r="A1886" s="218">
        <v>45272.0</v>
      </c>
      <c r="B1886" s="1" t="s">
        <v>46</v>
      </c>
      <c r="C1886" s="1" t="s">
        <v>187</v>
      </c>
      <c r="D1886" s="1">
        <v>7.0</v>
      </c>
      <c r="E1886" s="1">
        <v>5.0</v>
      </c>
      <c r="F1886" s="1"/>
      <c r="G1886" s="1"/>
      <c r="H1886" s="1"/>
      <c r="I1886" s="1"/>
      <c r="J1886" s="219"/>
      <c r="K1886" s="219"/>
      <c r="L1886" s="219"/>
      <c r="M1886" s="219"/>
      <c r="N1886" s="1"/>
      <c r="O1886" s="1"/>
      <c r="P1886" s="1"/>
      <c r="Q1886" s="1"/>
      <c r="R1886" s="1"/>
      <c r="S1886" s="1" t="s">
        <v>301</v>
      </c>
      <c r="T1886" s="1" t="s">
        <v>422</v>
      </c>
      <c r="U1886" s="1"/>
    </row>
    <row r="1887">
      <c r="A1887" s="218">
        <v>45272.0</v>
      </c>
      <c r="B1887" s="1" t="s">
        <v>46</v>
      </c>
      <c r="C1887" s="1" t="s">
        <v>188</v>
      </c>
      <c r="D1887" s="1">
        <v>6.0</v>
      </c>
      <c r="E1887" s="1">
        <v>6.0</v>
      </c>
      <c r="F1887" s="1"/>
      <c r="G1887" s="1"/>
      <c r="H1887" s="1"/>
      <c r="I1887" s="1"/>
      <c r="J1887" s="219"/>
      <c r="K1887" s="219"/>
      <c r="L1887" s="219"/>
      <c r="M1887" s="219"/>
      <c r="N1887" s="1"/>
      <c r="O1887" s="1"/>
      <c r="P1887" s="1"/>
      <c r="Q1887" s="1"/>
      <c r="R1887" s="1"/>
      <c r="S1887" s="1" t="s">
        <v>296</v>
      </c>
      <c r="T1887" s="1" t="s">
        <v>422</v>
      </c>
      <c r="U1887" s="1"/>
    </row>
    <row r="1888">
      <c r="A1888" s="218">
        <v>45272.0</v>
      </c>
      <c r="B1888" s="1" t="s">
        <v>46</v>
      </c>
      <c r="C1888" s="1" t="s">
        <v>189</v>
      </c>
      <c r="D1888" s="1">
        <v>2.0</v>
      </c>
      <c r="E1888" s="1">
        <v>10.0</v>
      </c>
      <c r="F1888" s="1"/>
      <c r="G1888" s="1"/>
      <c r="H1888" s="1"/>
      <c r="I1888" s="1"/>
      <c r="J1888" s="219"/>
      <c r="K1888" s="219"/>
      <c r="L1888" s="219"/>
      <c r="M1888" s="219"/>
      <c r="N1888" s="1"/>
      <c r="O1888" s="1"/>
      <c r="P1888" s="1"/>
      <c r="Q1888" s="1"/>
      <c r="R1888" s="1"/>
      <c r="S1888" s="1" t="s">
        <v>352</v>
      </c>
      <c r="T1888" s="1" t="s">
        <v>423</v>
      </c>
      <c r="U1888" s="1"/>
    </row>
    <row r="1889">
      <c r="A1889" s="218">
        <v>45272.0</v>
      </c>
      <c r="B1889" s="1"/>
      <c r="C1889" s="1"/>
      <c r="D1889" s="1"/>
      <c r="E1889" s="1"/>
      <c r="F1889" s="1"/>
      <c r="G1889" s="1"/>
      <c r="H1889" s="1"/>
      <c r="I1889" s="1"/>
      <c r="J1889" s="219"/>
      <c r="K1889" s="219"/>
      <c r="L1889" s="219"/>
      <c r="M1889" s="219"/>
      <c r="N1889" s="1"/>
      <c r="O1889" s="1"/>
      <c r="P1889" s="1"/>
      <c r="Q1889" s="1"/>
      <c r="R1889" s="1"/>
      <c r="S1889" s="1" t="e">
        <v>#N/A</v>
      </c>
      <c r="T1889" s="1" t="e">
        <v>#N/A</v>
      </c>
      <c r="U1889" s="1"/>
    </row>
    <row r="1890">
      <c r="A1890" s="218">
        <v>45272.0</v>
      </c>
      <c r="B1890" s="1" t="s">
        <v>70</v>
      </c>
      <c r="C1890" s="1" t="s">
        <v>190</v>
      </c>
      <c r="D1890" s="1">
        <v>4.0</v>
      </c>
      <c r="E1890" s="1">
        <v>8.0</v>
      </c>
      <c r="F1890" s="1"/>
      <c r="G1890" s="1"/>
      <c r="H1890" s="1"/>
      <c r="I1890" s="1"/>
      <c r="J1890" s="219"/>
      <c r="K1890" s="219"/>
      <c r="L1890" s="219"/>
      <c r="M1890" s="219"/>
      <c r="N1890" s="1"/>
      <c r="O1890" s="1"/>
      <c r="P1890" s="1"/>
      <c r="Q1890" s="1"/>
      <c r="R1890" s="1"/>
      <c r="S1890" s="1" t="s">
        <v>353</v>
      </c>
      <c r="T1890" s="1" t="s">
        <v>423</v>
      </c>
      <c r="U1890" s="1"/>
    </row>
    <row r="1891">
      <c r="A1891" s="218">
        <v>45272.0</v>
      </c>
      <c r="B1891" s="1" t="s">
        <v>70</v>
      </c>
      <c r="C1891" s="1" t="s">
        <v>191</v>
      </c>
      <c r="D1891" s="1">
        <v>8.0</v>
      </c>
      <c r="E1891" s="1">
        <v>4.0</v>
      </c>
      <c r="F1891" s="1"/>
      <c r="G1891" s="1"/>
      <c r="H1891" s="1"/>
      <c r="I1891" s="1"/>
      <c r="J1891" s="219"/>
      <c r="K1891" s="219"/>
      <c r="L1891" s="219"/>
      <c r="M1891" s="219"/>
      <c r="N1891" s="1"/>
      <c r="O1891" s="1"/>
      <c r="P1891" s="1"/>
      <c r="Q1891" s="1"/>
      <c r="R1891" s="1"/>
      <c r="S1891" s="1" t="s">
        <v>301</v>
      </c>
      <c r="T1891" s="1" t="s">
        <v>422</v>
      </c>
      <c r="U1891" s="1"/>
    </row>
    <row r="1892">
      <c r="A1892" s="218">
        <v>45272.0</v>
      </c>
      <c r="B1892" s="1" t="s">
        <v>70</v>
      </c>
      <c r="C1892" s="1" t="s">
        <v>192</v>
      </c>
      <c r="D1892" s="1">
        <v>8.0</v>
      </c>
      <c r="E1892" s="1">
        <v>4.0</v>
      </c>
      <c r="F1892" s="1"/>
      <c r="G1892" s="1"/>
      <c r="H1892" s="1"/>
      <c r="I1892" s="1"/>
      <c r="J1892" s="219"/>
      <c r="K1892" s="219"/>
      <c r="L1892" s="219"/>
      <c r="M1892" s="219"/>
      <c r="N1892" s="1"/>
      <c r="O1892" s="1"/>
      <c r="P1892" s="1"/>
      <c r="Q1892" s="1"/>
      <c r="R1892" s="1"/>
      <c r="S1892" s="1" t="s">
        <v>296</v>
      </c>
      <c r="T1892" s="1" t="s">
        <v>422</v>
      </c>
      <c r="U1892" s="1"/>
    </row>
    <row r="1893">
      <c r="A1893" s="218">
        <v>45272.0</v>
      </c>
      <c r="B1893" s="1" t="s">
        <v>70</v>
      </c>
      <c r="C1893" s="1" t="s">
        <v>193</v>
      </c>
      <c r="D1893" s="1">
        <v>3.0</v>
      </c>
      <c r="E1893" s="1">
        <v>9.0</v>
      </c>
      <c r="F1893" s="1"/>
      <c r="G1893" s="1"/>
      <c r="H1893" s="1"/>
      <c r="I1893" s="1"/>
      <c r="J1893" s="219"/>
      <c r="K1893" s="219"/>
      <c r="L1893" s="219"/>
      <c r="M1893" s="219"/>
      <c r="N1893" s="1"/>
      <c r="O1893" s="1"/>
      <c r="P1893" s="1"/>
      <c r="Q1893" s="1"/>
      <c r="R1893" s="1"/>
      <c r="S1893" s="1" t="s">
        <v>354</v>
      </c>
      <c r="T1893" s="1" t="s">
        <v>422</v>
      </c>
      <c r="U1893" s="1"/>
    </row>
    <row r="1894">
      <c r="A1894" s="218">
        <v>45272.0</v>
      </c>
      <c r="B1894" s="1" t="s">
        <v>70</v>
      </c>
      <c r="C1894" s="1" t="s">
        <v>194</v>
      </c>
      <c r="D1894" s="1">
        <v>3.0</v>
      </c>
      <c r="E1894" s="1">
        <v>9.0</v>
      </c>
      <c r="F1894" s="1"/>
      <c r="G1894" s="1"/>
      <c r="H1894" s="1"/>
      <c r="I1894" s="1"/>
      <c r="J1894" s="219"/>
      <c r="K1894" s="219"/>
      <c r="L1894" s="219"/>
      <c r="M1894" s="219"/>
      <c r="N1894" s="1"/>
      <c r="O1894" s="1"/>
      <c r="P1894" s="1"/>
      <c r="Q1894" s="1"/>
      <c r="R1894" s="1"/>
      <c r="S1894" s="1" t="s">
        <v>351</v>
      </c>
      <c r="T1894" s="1" t="s">
        <v>423</v>
      </c>
      <c r="U1894" s="1"/>
    </row>
    <row r="1895">
      <c r="A1895" s="218">
        <v>45272.0</v>
      </c>
      <c r="B1895" s="1" t="s">
        <v>70</v>
      </c>
      <c r="C1895" s="1" t="s">
        <v>195</v>
      </c>
      <c r="D1895" s="1">
        <v>3.0</v>
      </c>
      <c r="E1895" s="1">
        <v>9.0</v>
      </c>
      <c r="F1895" s="1"/>
      <c r="G1895" s="1"/>
      <c r="H1895" s="1"/>
      <c r="I1895" s="1"/>
      <c r="J1895" s="219"/>
      <c r="K1895" s="219"/>
      <c r="L1895" s="219"/>
      <c r="M1895" s="219"/>
      <c r="N1895" s="1"/>
      <c r="O1895" s="1"/>
      <c r="P1895" s="1"/>
      <c r="Q1895" s="1"/>
      <c r="R1895" s="1"/>
      <c r="S1895" s="1" t="s">
        <v>282</v>
      </c>
      <c r="T1895" s="1" t="s">
        <v>422</v>
      </c>
      <c r="U1895" s="1"/>
    </row>
    <row r="1896">
      <c r="A1896" s="218">
        <v>45272.0</v>
      </c>
      <c r="B1896" s="1" t="s">
        <v>70</v>
      </c>
      <c r="C1896" s="1" t="s">
        <v>196</v>
      </c>
      <c r="D1896" s="1">
        <v>7.0</v>
      </c>
      <c r="E1896" s="1">
        <v>5.0</v>
      </c>
      <c r="F1896" s="1"/>
      <c r="G1896" s="1"/>
      <c r="H1896" s="1"/>
      <c r="I1896" s="1"/>
      <c r="J1896" s="219"/>
      <c r="K1896" s="219"/>
      <c r="L1896" s="219"/>
      <c r="M1896" s="219"/>
      <c r="N1896" s="1"/>
      <c r="O1896" s="1"/>
      <c r="P1896" s="1"/>
      <c r="Q1896" s="1"/>
      <c r="R1896" s="1"/>
      <c r="S1896" s="1" t="s">
        <v>292</v>
      </c>
      <c r="T1896" s="1" t="s">
        <v>422</v>
      </c>
      <c r="U1896" s="1"/>
    </row>
    <row r="1897">
      <c r="A1897" s="218">
        <v>45272.0</v>
      </c>
      <c r="B1897" s="1" t="s">
        <v>70</v>
      </c>
      <c r="C1897" s="1" t="s">
        <v>197</v>
      </c>
      <c r="D1897" s="1">
        <v>3.0</v>
      </c>
      <c r="E1897" s="1">
        <v>9.0</v>
      </c>
      <c r="F1897" s="1"/>
      <c r="G1897" s="1"/>
      <c r="H1897" s="1"/>
      <c r="I1897" s="1"/>
      <c r="J1897" s="219"/>
      <c r="K1897" s="219"/>
      <c r="L1897" s="219"/>
      <c r="M1897" s="219"/>
      <c r="N1897" s="1"/>
      <c r="O1897" s="1"/>
      <c r="P1897" s="1"/>
      <c r="Q1897" s="1"/>
      <c r="R1897" s="1"/>
      <c r="S1897" s="1" t="s">
        <v>355</v>
      </c>
      <c r="T1897" s="1" t="s">
        <v>423</v>
      </c>
      <c r="U1897" s="1"/>
    </row>
    <row r="1898">
      <c r="A1898" s="218">
        <v>45272.0</v>
      </c>
      <c r="B1898" s="1" t="s">
        <v>70</v>
      </c>
      <c r="C1898" s="1" t="s">
        <v>198</v>
      </c>
      <c r="D1898" s="1">
        <v>8.0</v>
      </c>
      <c r="E1898" s="1">
        <v>4.0</v>
      </c>
      <c r="F1898" s="1"/>
      <c r="G1898" s="1"/>
      <c r="H1898" s="1"/>
      <c r="I1898" s="1"/>
      <c r="J1898" s="219"/>
      <c r="K1898" s="219"/>
      <c r="L1898" s="219"/>
      <c r="M1898" s="219"/>
      <c r="N1898" s="1"/>
      <c r="O1898" s="1"/>
      <c r="P1898" s="1"/>
      <c r="Q1898" s="1"/>
      <c r="R1898" s="1"/>
      <c r="S1898" s="1" t="s">
        <v>407</v>
      </c>
      <c r="T1898" s="1" t="s">
        <v>423</v>
      </c>
      <c r="U1898" s="1"/>
    </row>
    <row r="1899">
      <c r="A1899" s="218">
        <v>45272.0</v>
      </c>
      <c r="B1899" s="1" t="s">
        <v>70</v>
      </c>
      <c r="C1899" s="1" t="s">
        <v>199</v>
      </c>
      <c r="D1899" s="1">
        <v>3.0</v>
      </c>
      <c r="E1899" s="1">
        <v>9.0</v>
      </c>
      <c r="F1899" s="1"/>
      <c r="G1899" s="1"/>
      <c r="H1899" s="1"/>
      <c r="I1899" s="1"/>
      <c r="J1899" s="219"/>
      <c r="K1899" s="219"/>
      <c r="L1899" s="219"/>
      <c r="M1899" s="219"/>
      <c r="N1899" s="1"/>
      <c r="O1899" s="1"/>
      <c r="P1899" s="1"/>
      <c r="Q1899" s="1"/>
      <c r="R1899" s="1"/>
      <c r="S1899" s="1" t="s">
        <v>352</v>
      </c>
      <c r="T1899" s="1" t="s">
        <v>423</v>
      </c>
      <c r="U1899" s="1"/>
    </row>
    <row r="1900">
      <c r="A1900" s="218">
        <v>45272.0</v>
      </c>
      <c r="B1900" s="1"/>
      <c r="C1900" s="1"/>
      <c r="D1900" s="1"/>
      <c r="E1900" s="1"/>
      <c r="F1900" s="1"/>
      <c r="G1900" s="1"/>
      <c r="H1900" s="1"/>
      <c r="I1900" s="1"/>
      <c r="J1900" s="219"/>
      <c r="K1900" s="219"/>
      <c r="L1900" s="219"/>
      <c r="M1900" s="219"/>
      <c r="N1900" s="1"/>
      <c r="O1900" s="1"/>
      <c r="P1900" s="1"/>
      <c r="Q1900" s="1"/>
      <c r="R1900" s="1"/>
      <c r="S1900" s="1" t="e">
        <v>#N/A</v>
      </c>
      <c r="T1900" s="1" t="e">
        <v>#N/A</v>
      </c>
      <c r="U1900" s="1"/>
    </row>
    <row r="1901">
      <c r="A1901" s="218">
        <v>45272.0</v>
      </c>
      <c r="B1901" s="1" t="s">
        <v>57</v>
      </c>
      <c r="C1901" s="1" t="s">
        <v>201</v>
      </c>
      <c r="D1901" s="1">
        <v>10.0</v>
      </c>
      <c r="E1901" s="1">
        <v>3.0</v>
      </c>
      <c r="F1901" s="1"/>
      <c r="G1901" s="218"/>
      <c r="H1901" s="1"/>
      <c r="I1901" s="1"/>
      <c r="J1901" s="219"/>
      <c r="K1901" s="219"/>
      <c r="L1901" s="219"/>
      <c r="M1901" s="219"/>
      <c r="N1901" s="1"/>
      <c r="O1901" s="1"/>
      <c r="P1901" s="1"/>
      <c r="Q1901" s="1"/>
      <c r="R1901" s="1"/>
      <c r="S1901" s="1" t="s">
        <v>351</v>
      </c>
      <c r="T1901" s="1" t="s">
        <v>423</v>
      </c>
      <c r="U1901" s="1"/>
    </row>
    <row r="1902">
      <c r="A1902" s="218">
        <v>45272.0</v>
      </c>
      <c r="B1902" s="1" t="s">
        <v>57</v>
      </c>
      <c r="C1902" s="1" t="s">
        <v>202</v>
      </c>
      <c r="D1902" s="1">
        <v>9.0</v>
      </c>
      <c r="E1902" s="1">
        <v>3.0</v>
      </c>
      <c r="F1902" s="1"/>
      <c r="G1902" s="218"/>
      <c r="H1902" s="1"/>
      <c r="I1902" s="1"/>
      <c r="J1902" s="219"/>
      <c r="K1902" s="219"/>
      <c r="L1902" s="219"/>
      <c r="M1902" s="219"/>
      <c r="N1902" s="1"/>
      <c r="O1902" s="1"/>
      <c r="P1902" s="1"/>
      <c r="Q1902" s="1"/>
      <c r="R1902" s="1"/>
      <c r="S1902" s="1" t="s">
        <v>353</v>
      </c>
      <c r="T1902" s="1" t="s">
        <v>423</v>
      </c>
      <c r="U1902" s="1"/>
    </row>
    <row r="1903">
      <c r="A1903" s="218">
        <v>45272.0</v>
      </c>
      <c r="B1903" s="1" t="s">
        <v>57</v>
      </c>
      <c r="C1903" s="1" t="s">
        <v>204</v>
      </c>
      <c r="D1903" s="1">
        <v>7.0</v>
      </c>
      <c r="E1903" s="1">
        <v>5.0</v>
      </c>
      <c r="F1903" s="1"/>
      <c r="G1903" s="1"/>
      <c r="H1903" s="1"/>
      <c r="I1903" s="1"/>
      <c r="J1903" s="219"/>
      <c r="K1903" s="219"/>
      <c r="L1903" s="219"/>
      <c r="M1903" s="219"/>
      <c r="N1903" s="1"/>
      <c r="O1903" s="1"/>
      <c r="P1903" s="1"/>
      <c r="Q1903" s="1"/>
      <c r="R1903" s="1"/>
      <c r="S1903" s="1" t="s">
        <v>354</v>
      </c>
      <c r="T1903" s="1" t="s">
        <v>422</v>
      </c>
      <c r="U1903" s="1"/>
    </row>
    <row r="1904">
      <c r="A1904" s="218">
        <v>45272.0</v>
      </c>
      <c r="B1904" s="1" t="s">
        <v>57</v>
      </c>
      <c r="C1904" s="1" t="s">
        <v>206</v>
      </c>
      <c r="D1904" s="1">
        <v>7.0</v>
      </c>
      <c r="E1904" s="1">
        <v>5.0</v>
      </c>
      <c r="F1904" s="1"/>
      <c r="G1904" s="1"/>
      <c r="H1904" s="1"/>
      <c r="I1904" s="1"/>
      <c r="J1904" s="219"/>
      <c r="K1904" s="219"/>
      <c r="L1904" s="219"/>
      <c r="M1904" s="219"/>
      <c r="N1904" s="1"/>
      <c r="O1904" s="1"/>
      <c r="P1904" s="1"/>
      <c r="Q1904" s="1"/>
      <c r="R1904" s="1"/>
      <c r="S1904" s="1" t="s">
        <v>355</v>
      </c>
      <c r="T1904" s="1" t="s">
        <v>423</v>
      </c>
      <c r="U1904" s="1"/>
    </row>
    <row r="1905">
      <c r="A1905" s="218">
        <v>45272.0</v>
      </c>
      <c r="B1905" s="1" t="s">
        <v>57</v>
      </c>
      <c r="C1905" s="1" t="s">
        <v>207</v>
      </c>
      <c r="D1905" s="1">
        <v>4.0</v>
      </c>
      <c r="E1905" s="1">
        <v>8.0</v>
      </c>
      <c r="F1905" s="1"/>
      <c r="G1905" s="1"/>
      <c r="H1905" s="1"/>
      <c r="I1905" s="1"/>
      <c r="J1905" s="219"/>
      <c r="K1905" s="219"/>
      <c r="L1905" s="219"/>
      <c r="M1905" s="219"/>
      <c r="N1905" s="1"/>
      <c r="O1905" s="1"/>
      <c r="P1905" s="1"/>
      <c r="Q1905" s="1"/>
      <c r="R1905" s="1"/>
      <c r="S1905" s="1" t="s">
        <v>407</v>
      </c>
      <c r="T1905" s="1" t="s">
        <v>423</v>
      </c>
      <c r="U1905" s="1"/>
    </row>
    <row r="1906">
      <c r="A1906" s="218">
        <v>45272.0</v>
      </c>
      <c r="B1906" s="1" t="s">
        <v>57</v>
      </c>
      <c r="C1906" s="1" t="s">
        <v>208</v>
      </c>
      <c r="D1906" s="1">
        <v>4.0</v>
      </c>
      <c r="E1906" s="1">
        <v>8.0</v>
      </c>
      <c r="F1906" s="1"/>
      <c r="G1906" s="1"/>
      <c r="H1906" s="1"/>
      <c r="I1906" s="1"/>
      <c r="J1906" s="219"/>
      <c r="K1906" s="219"/>
      <c r="L1906" s="219"/>
      <c r="M1906" s="219"/>
      <c r="N1906" s="1"/>
      <c r="O1906" s="1"/>
      <c r="P1906" s="1"/>
      <c r="Q1906" s="1"/>
      <c r="R1906" s="1"/>
      <c r="S1906" s="1" t="s">
        <v>301</v>
      </c>
      <c r="T1906" s="1" t="s">
        <v>422</v>
      </c>
      <c r="U1906" s="1"/>
    </row>
    <row r="1907">
      <c r="A1907" s="218">
        <v>45272.0</v>
      </c>
      <c r="B1907" s="1" t="s">
        <v>57</v>
      </c>
      <c r="C1907" s="1" t="s">
        <v>200</v>
      </c>
      <c r="D1907" s="1">
        <v>11.0</v>
      </c>
      <c r="E1907" s="1">
        <v>1.0</v>
      </c>
      <c r="F1907" s="1"/>
      <c r="G1907" s="1"/>
      <c r="H1907" s="1"/>
      <c r="I1907" s="1"/>
      <c r="J1907" s="219"/>
      <c r="K1907" s="219"/>
      <c r="L1907" s="219"/>
      <c r="M1907" s="219"/>
      <c r="N1907" s="1"/>
      <c r="O1907" s="1"/>
      <c r="P1907" s="1"/>
      <c r="Q1907" s="1"/>
      <c r="R1907" s="1"/>
      <c r="S1907" s="1" t="s">
        <v>282</v>
      </c>
      <c r="T1907" s="1" t="s">
        <v>422</v>
      </c>
      <c r="U1907" s="1"/>
    </row>
    <row r="1908">
      <c r="A1908" s="218">
        <v>45272.0</v>
      </c>
      <c r="B1908" s="1" t="s">
        <v>57</v>
      </c>
      <c r="C1908" s="1" t="s">
        <v>210</v>
      </c>
      <c r="D1908" s="1">
        <v>4.0</v>
      </c>
      <c r="E1908" s="1">
        <v>8.0</v>
      </c>
      <c r="F1908" s="1"/>
      <c r="G1908" s="1"/>
      <c r="H1908" s="1"/>
      <c r="I1908" s="1"/>
      <c r="J1908" s="219"/>
      <c r="K1908" s="219"/>
      <c r="L1908" s="219"/>
      <c r="M1908" s="219"/>
      <c r="N1908" s="1"/>
      <c r="O1908" s="1"/>
      <c r="P1908" s="1"/>
      <c r="Q1908" s="1"/>
      <c r="R1908" s="1"/>
      <c r="S1908" s="1" t="s">
        <v>296</v>
      </c>
      <c r="T1908" s="1" t="s">
        <v>422</v>
      </c>
      <c r="U1908" s="1"/>
    </row>
    <row r="1909">
      <c r="A1909" s="218">
        <v>45272.0</v>
      </c>
      <c r="B1909" s="1" t="s">
        <v>57</v>
      </c>
      <c r="C1909" s="1" t="s">
        <v>213</v>
      </c>
      <c r="D1909" s="1">
        <v>4.0</v>
      </c>
      <c r="E1909" s="1">
        <v>8.0</v>
      </c>
      <c r="F1909" s="1"/>
      <c r="G1909" s="1"/>
      <c r="H1909" s="1"/>
      <c r="I1909" s="1"/>
      <c r="J1909" s="219"/>
      <c r="K1909" s="219"/>
      <c r="L1909" s="219"/>
      <c r="M1909" s="219"/>
      <c r="N1909" s="1"/>
      <c r="O1909" s="1"/>
      <c r="P1909" s="1"/>
      <c r="Q1909" s="1"/>
      <c r="R1909" s="1"/>
      <c r="S1909" s="1" t="s">
        <v>292</v>
      </c>
      <c r="T1909" s="1" t="s">
        <v>422</v>
      </c>
      <c r="U1909" s="1"/>
    </row>
    <row r="1910">
      <c r="A1910" s="218">
        <v>45272.0</v>
      </c>
      <c r="B1910" s="1" t="s">
        <v>57</v>
      </c>
      <c r="C1910" s="1" t="s">
        <v>214</v>
      </c>
      <c r="D1910" s="1">
        <v>9.0</v>
      </c>
      <c r="E1910" s="1">
        <v>3.0</v>
      </c>
      <c r="F1910" s="1"/>
      <c r="G1910" s="1"/>
      <c r="H1910" s="1"/>
      <c r="I1910" s="1"/>
      <c r="J1910" s="219"/>
      <c r="K1910" s="219"/>
      <c r="L1910" s="219"/>
      <c r="M1910" s="219"/>
      <c r="N1910" s="1"/>
      <c r="O1910" s="1"/>
      <c r="P1910" s="1"/>
      <c r="Q1910" s="1"/>
      <c r="R1910" s="1"/>
      <c r="S1910" s="1" t="s">
        <v>352</v>
      </c>
      <c r="T1910" s="1" t="s">
        <v>423</v>
      </c>
      <c r="U1910" s="1"/>
    </row>
    <row r="1911">
      <c r="A1911" s="218">
        <v>45272.0</v>
      </c>
      <c r="B1911" s="1"/>
      <c r="C1911" s="1"/>
      <c r="D1911" s="1"/>
      <c r="E1911" s="1"/>
      <c r="F1911" s="1"/>
      <c r="G1911" s="1"/>
      <c r="H1911" s="1"/>
      <c r="I1911" s="1"/>
      <c r="J1911" s="219"/>
      <c r="K1911" s="219"/>
      <c r="L1911" s="219"/>
      <c r="M1911" s="219"/>
      <c r="N1911" s="1"/>
      <c r="O1911" s="1"/>
      <c r="P1911" s="1"/>
      <c r="Q1911" s="1"/>
      <c r="R1911" s="1"/>
      <c r="S1911" s="1" t="e">
        <v>#N/A</v>
      </c>
      <c r="T1911" s="1" t="e">
        <v>#N/A</v>
      </c>
      <c r="U1911" s="1"/>
    </row>
    <row r="1912">
      <c r="A1912" s="218">
        <v>45272.0</v>
      </c>
      <c r="B1912" s="1" t="s">
        <v>67</v>
      </c>
      <c r="C1912" s="1" t="s">
        <v>216</v>
      </c>
      <c r="D1912" s="1">
        <v>8.0</v>
      </c>
      <c r="E1912" s="1">
        <v>4.0</v>
      </c>
      <c r="F1912" s="1"/>
      <c r="G1912" s="1"/>
      <c r="H1912" s="1"/>
      <c r="I1912" s="1"/>
      <c r="J1912" s="219"/>
      <c r="K1912" s="219"/>
      <c r="L1912" s="219"/>
      <c r="M1912" s="219"/>
      <c r="N1912" s="1"/>
      <c r="O1912" s="1"/>
      <c r="P1912" s="1"/>
      <c r="Q1912" s="1"/>
      <c r="R1912" s="1"/>
      <c r="S1912" s="1" t="s">
        <v>301</v>
      </c>
      <c r="T1912" s="1" t="s">
        <v>422</v>
      </c>
      <c r="U1912" s="1"/>
    </row>
    <row r="1913">
      <c r="A1913" s="218">
        <v>45272.0</v>
      </c>
      <c r="B1913" s="1" t="s">
        <v>67</v>
      </c>
      <c r="C1913" s="1" t="s">
        <v>205</v>
      </c>
      <c r="D1913" s="1">
        <v>6.0</v>
      </c>
      <c r="E1913" s="1">
        <v>6.0</v>
      </c>
      <c r="F1913" s="1"/>
      <c r="G1913" s="1"/>
      <c r="H1913" s="1"/>
      <c r="I1913" s="1"/>
      <c r="J1913" s="219"/>
      <c r="K1913" s="219"/>
      <c r="L1913" s="219"/>
      <c r="M1913" s="219"/>
      <c r="N1913" s="1"/>
      <c r="O1913" s="1"/>
      <c r="P1913" s="1"/>
      <c r="Q1913" s="1"/>
      <c r="R1913" s="1"/>
      <c r="S1913" s="1" t="s">
        <v>355</v>
      </c>
      <c r="T1913" s="1" t="s">
        <v>423</v>
      </c>
      <c r="U1913" s="1"/>
    </row>
    <row r="1914">
      <c r="A1914" s="218">
        <v>45272.0</v>
      </c>
      <c r="B1914" s="1" t="s">
        <v>67</v>
      </c>
      <c r="C1914" s="1" t="s">
        <v>217</v>
      </c>
      <c r="D1914" s="1">
        <v>9.0</v>
      </c>
      <c r="E1914" s="1">
        <v>3.0</v>
      </c>
      <c r="F1914" s="1"/>
      <c r="G1914" s="1"/>
      <c r="H1914" s="1"/>
      <c r="I1914" s="1"/>
      <c r="J1914" s="219"/>
      <c r="K1914" s="219"/>
      <c r="L1914" s="219"/>
      <c r="M1914" s="219"/>
      <c r="N1914" s="1"/>
      <c r="O1914" s="1"/>
      <c r="P1914" s="1"/>
      <c r="Q1914" s="1"/>
      <c r="R1914" s="1"/>
      <c r="S1914" s="1" t="s">
        <v>354</v>
      </c>
      <c r="T1914" s="1" t="s">
        <v>422</v>
      </c>
      <c r="U1914" s="1"/>
    </row>
    <row r="1915">
      <c r="A1915" s="218">
        <v>45272.0</v>
      </c>
      <c r="B1915" s="1" t="s">
        <v>67</v>
      </c>
      <c r="C1915" s="1" t="s">
        <v>218</v>
      </c>
      <c r="D1915" s="1">
        <v>2.0</v>
      </c>
      <c r="E1915" s="1">
        <v>10.0</v>
      </c>
      <c r="F1915" s="1"/>
      <c r="G1915" s="1"/>
      <c r="H1915" s="1"/>
      <c r="I1915" s="1"/>
      <c r="J1915" s="219"/>
      <c r="K1915" s="219"/>
      <c r="L1915" s="219"/>
      <c r="M1915" s="219"/>
      <c r="N1915" s="1"/>
      <c r="O1915" s="1"/>
      <c r="P1915" s="1"/>
      <c r="Q1915" s="1"/>
      <c r="R1915" s="1"/>
      <c r="S1915" s="1" t="s">
        <v>353</v>
      </c>
      <c r="T1915" s="1" t="s">
        <v>423</v>
      </c>
      <c r="U1915" s="1"/>
    </row>
    <row r="1916">
      <c r="A1916" s="218">
        <v>45272.0</v>
      </c>
      <c r="B1916" s="1" t="s">
        <v>67</v>
      </c>
      <c r="C1916" s="1" t="s">
        <v>220</v>
      </c>
      <c r="D1916" s="1">
        <v>4.0</v>
      </c>
      <c r="E1916" s="1">
        <v>8.0</v>
      </c>
      <c r="F1916" s="1"/>
      <c r="G1916" s="1"/>
      <c r="H1916" s="1"/>
      <c r="I1916" s="1"/>
      <c r="J1916" s="219"/>
      <c r="K1916" s="219"/>
      <c r="L1916" s="219"/>
      <c r="M1916" s="219"/>
      <c r="N1916" s="1"/>
      <c r="O1916" s="1"/>
      <c r="P1916" s="1"/>
      <c r="Q1916" s="1"/>
      <c r="R1916" s="1"/>
      <c r="S1916" s="1" t="s">
        <v>351</v>
      </c>
      <c r="T1916" s="1" t="s">
        <v>423</v>
      </c>
      <c r="U1916" s="1"/>
    </row>
    <row r="1917">
      <c r="A1917" s="218">
        <v>45272.0</v>
      </c>
      <c r="B1917" s="1" t="s">
        <v>67</v>
      </c>
      <c r="C1917" s="1" t="s">
        <v>221</v>
      </c>
      <c r="D1917" s="1">
        <v>5.0</v>
      </c>
      <c r="E1917" s="1">
        <v>7.0</v>
      </c>
      <c r="F1917" s="1"/>
      <c r="G1917" s="1"/>
      <c r="H1917" s="1"/>
      <c r="I1917" s="1"/>
      <c r="J1917" s="219"/>
      <c r="K1917" s="219"/>
      <c r="L1917" s="219"/>
      <c r="M1917" s="219"/>
      <c r="N1917" s="1"/>
      <c r="O1917" s="1"/>
      <c r="P1917" s="1"/>
      <c r="Q1917" s="1"/>
      <c r="R1917" s="1"/>
      <c r="S1917" s="1" t="s">
        <v>407</v>
      </c>
      <c r="T1917" s="1" t="s">
        <v>423</v>
      </c>
      <c r="U1917" s="1"/>
    </row>
    <row r="1918">
      <c r="A1918" s="218">
        <v>45272.0</v>
      </c>
      <c r="B1918" s="1" t="s">
        <v>67</v>
      </c>
      <c r="C1918" s="1" t="s">
        <v>222</v>
      </c>
      <c r="D1918" s="1">
        <v>4.0</v>
      </c>
      <c r="E1918" s="1">
        <v>8.0</v>
      </c>
      <c r="F1918" s="1"/>
      <c r="G1918" s="1"/>
      <c r="H1918" s="1"/>
      <c r="I1918" s="1"/>
      <c r="J1918" s="219"/>
      <c r="K1918" s="219"/>
      <c r="L1918" s="219"/>
      <c r="M1918" s="219"/>
      <c r="N1918" s="1"/>
      <c r="O1918" s="1"/>
      <c r="P1918" s="1"/>
      <c r="Q1918" s="1"/>
      <c r="R1918" s="1"/>
      <c r="S1918" s="1" t="s">
        <v>282</v>
      </c>
      <c r="T1918" s="1" t="s">
        <v>422</v>
      </c>
      <c r="U1918" s="1"/>
    </row>
    <row r="1919">
      <c r="A1919" s="218">
        <v>45272.0</v>
      </c>
      <c r="B1919" s="1" t="s">
        <v>67</v>
      </c>
      <c r="C1919" s="1" t="s">
        <v>223</v>
      </c>
      <c r="D1919" s="1">
        <v>5.0</v>
      </c>
      <c r="E1919" s="1">
        <v>7.0</v>
      </c>
      <c r="F1919" s="1"/>
      <c r="G1919" s="1"/>
      <c r="H1919" s="1"/>
      <c r="I1919" s="1"/>
      <c r="J1919" s="219"/>
      <c r="K1919" s="219"/>
      <c r="L1919" s="219"/>
      <c r="M1919" s="219"/>
      <c r="N1919" s="1"/>
      <c r="O1919" s="1"/>
      <c r="P1919" s="1"/>
      <c r="Q1919" s="1"/>
      <c r="R1919" s="1"/>
      <c r="S1919" s="1" t="s">
        <v>296</v>
      </c>
      <c r="T1919" s="1" t="s">
        <v>422</v>
      </c>
      <c r="U1919" s="1"/>
    </row>
    <row r="1920">
      <c r="A1920" s="218">
        <v>45272.0</v>
      </c>
      <c r="B1920" s="1" t="s">
        <v>67</v>
      </c>
      <c r="C1920" s="1" t="s">
        <v>225</v>
      </c>
      <c r="D1920" s="1">
        <v>10.0</v>
      </c>
      <c r="E1920" s="1">
        <v>2.0</v>
      </c>
      <c r="F1920" s="1"/>
      <c r="G1920" s="1"/>
      <c r="H1920" s="1"/>
      <c r="I1920" s="1"/>
      <c r="J1920" s="219"/>
      <c r="K1920" s="219"/>
      <c r="L1920" s="219"/>
      <c r="M1920" s="219"/>
      <c r="N1920" s="1"/>
      <c r="O1920" s="1"/>
      <c r="P1920" s="1"/>
      <c r="Q1920" s="1"/>
      <c r="R1920" s="1"/>
      <c r="S1920" s="1" t="s">
        <v>292</v>
      </c>
      <c r="T1920" s="1" t="s">
        <v>422</v>
      </c>
      <c r="U1920" s="1"/>
    </row>
    <row r="1921">
      <c r="A1921" s="218">
        <v>45272.0</v>
      </c>
      <c r="B1921" s="1" t="s">
        <v>67</v>
      </c>
      <c r="C1921" s="1" t="s">
        <v>226</v>
      </c>
      <c r="D1921" s="1">
        <v>7.0</v>
      </c>
      <c r="E1921" s="1">
        <v>5.0</v>
      </c>
      <c r="F1921" s="1"/>
      <c r="G1921" s="1"/>
      <c r="H1921" s="1"/>
      <c r="I1921" s="1"/>
      <c r="J1921" s="219"/>
      <c r="K1921" s="219"/>
      <c r="L1921" s="219"/>
      <c r="M1921" s="219"/>
      <c r="N1921" s="1"/>
      <c r="O1921" s="1"/>
      <c r="P1921" s="1"/>
      <c r="Q1921" s="1"/>
      <c r="R1921" s="1"/>
      <c r="S1921" s="1" t="s">
        <v>352</v>
      </c>
      <c r="T1921" s="1" t="s">
        <v>423</v>
      </c>
      <c r="U1921" s="1"/>
    </row>
    <row r="1922">
      <c r="A1922" s="218">
        <v>45272.0</v>
      </c>
      <c r="B1922" s="1"/>
      <c r="C1922" s="1"/>
      <c r="D1922" s="1"/>
      <c r="E1922" s="1"/>
      <c r="F1922" s="1"/>
      <c r="G1922" s="1"/>
      <c r="H1922" s="1"/>
      <c r="I1922" s="1"/>
      <c r="J1922" s="219"/>
      <c r="K1922" s="219"/>
      <c r="L1922" s="219"/>
      <c r="M1922" s="219"/>
      <c r="N1922" s="1"/>
      <c r="O1922" s="1"/>
      <c r="P1922" s="1"/>
      <c r="Q1922" s="1"/>
      <c r="R1922" s="1"/>
      <c r="S1922" s="1" t="e">
        <v>#N/A</v>
      </c>
      <c r="T1922" s="1" t="e">
        <v>#N/A</v>
      </c>
      <c r="U1922" s="1"/>
    </row>
    <row r="1923">
      <c r="A1923" s="218">
        <v>45272.0</v>
      </c>
      <c r="B1923" s="1" t="s">
        <v>59</v>
      </c>
      <c r="C1923" s="1" t="s">
        <v>227</v>
      </c>
      <c r="D1923" s="1">
        <v>7.0</v>
      </c>
      <c r="E1923" s="1">
        <v>5.0</v>
      </c>
      <c r="F1923" s="1"/>
      <c r="G1923" s="218"/>
      <c r="H1923" s="1"/>
      <c r="I1923" s="1"/>
      <c r="J1923" s="219"/>
      <c r="K1923" s="219"/>
      <c r="L1923" s="219"/>
      <c r="M1923" s="219"/>
      <c r="N1923" s="1"/>
      <c r="O1923" s="1"/>
      <c r="P1923" s="1"/>
      <c r="Q1923" s="1"/>
      <c r="R1923" s="1"/>
      <c r="S1923" s="1" t="s">
        <v>353</v>
      </c>
      <c r="T1923" s="1" t="s">
        <v>423</v>
      </c>
      <c r="U1923" s="1"/>
    </row>
    <row r="1924">
      <c r="A1924" s="218">
        <v>45272.0</v>
      </c>
      <c r="B1924" s="1" t="s">
        <v>59</v>
      </c>
      <c r="C1924" s="1" t="s">
        <v>209</v>
      </c>
      <c r="D1924" s="1">
        <v>12.0</v>
      </c>
      <c r="E1924" s="1">
        <v>0.0</v>
      </c>
      <c r="F1924" s="1"/>
      <c r="G1924" s="218"/>
      <c r="H1924" s="1"/>
      <c r="I1924" s="1"/>
      <c r="J1924" s="219"/>
      <c r="K1924" s="219"/>
      <c r="L1924" s="219"/>
      <c r="M1924" s="219"/>
      <c r="N1924" s="1"/>
      <c r="O1924" s="1"/>
      <c r="P1924" s="1"/>
      <c r="Q1924" s="1"/>
      <c r="R1924" s="1"/>
      <c r="S1924" s="1" t="s">
        <v>282</v>
      </c>
      <c r="T1924" s="1" t="s">
        <v>422</v>
      </c>
      <c r="U1924" s="1"/>
    </row>
    <row r="1925">
      <c r="A1925" s="218">
        <v>45272.0</v>
      </c>
      <c r="B1925" s="1" t="s">
        <v>59</v>
      </c>
      <c r="C1925" s="1" t="s">
        <v>229</v>
      </c>
      <c r="D1925" s="1">
        <v>6.0</v>
      </c>
      <c r="E1925" s="1">
        <v>6.0</v>
      </c>
      <c r="F1925" s="1"/>
      <c r="G1925" s="1"/>
      <c r="H1925" s="1"/>
      <c r="I1925" s="1"/>
      <c r="J1925" s="219"/>
      <c r="K1925" s="219"/>
      <c r="L1925" s="219"/>
      <c r="M1925" s="219"/>
      <c r="N1925" s="1"/>
      <c r="O1925" s="1"/>
      <c r="P1925" s="1"/>
      <c r="Q1925" s="1"/>
      <c r="R1925" s="1"/>
      <c r="S1925" s="1" t="s">
        <v>301</v>
      </c>
      <c r="T1925" s="1" t="s">
        <v>422</v>
      </c>
      <c r="U1925" s="1"/>
    </row>
    <row r="1926">
      <c r="A1926" s="218">
        <v>45272.0</v>
      </c>
      <c r="B1926" s="1" t="s">
        <v>59</v>
      </c>
      <c r="C1926" s="1" t="s">
        <v>230</v>
      </c>
      <c r="D1926" s="1">
        <v>3.0</v>
      </c>
      <c r="E1926" s="1">
        <v>9.0</v>
      </c>
      <c r="F1926" s="1"/>
      <c r="G1926" s="1"/>
      <c r="H1926" s="1"/>
      <c r="I1926" s="1"/>
      <c r="J1926" s="219"/>
      <c r="K1926" s="219"/>
      <c r="L1926" s="219"/>
      <c r="M1926" s="219"/>
      <c r="N1926" s="1"/>
      <c r="O1926" s="1"/>
      <c r="P1926" s="1"/>
      <c r="Q1926" s="1"/>
      <c r="R1926" s="1"/>
      <c r="S1926" s="1" t="s">
        <v>296</v>
      </c>
      <c r="T1926" s="1" t="s">
        <v>422</v>
      </c>
      <c r="U1926" s="1"/>
    </row>
    <row r="1927">
      <c r="A1927" s="218">
        <v>45272.0</v>
      </c>
      <c r="B1927" s="1" t="s">
        <v>59</v>
      </c>
      <c r="C1927" s="1" t="s">
        <v>231</v>
      </c>
      <c r="D1927" s="1">
        <v>8.0</v>
      </c>
      <c r="E1927" s="1">
        <v>4.0</v>
      </c>
      <c r="F1927" s="1"/>
      <c r="G1927" s="1"/>
      <c r="H1927" s="1"/>
      <c r="I1927" s="1"/>
      <c r="J1927" s="219"/>
      <c r="K1927" s="219"/>
      <c r="L1927" s="219"/>
      <c r="M1927" s="219"/>
      <c r="N1927" s="1"/>
      <c r="O1927" s="1"/>
      <c r="P1927" s="1"/>
      <c r="Q1927" s="1"/>
      <c r="R1927" s="1"/>
      <c r="S1927" s="1" t="s">
        <v>354</v>
      </c>
      <c r="T1927" s="1" t="s">
        <v>422</v>
      </c>
      <c r="U1927" s="1"/>
    </row>
    <row r="1928">
      <c r="A1928" s="218">
        <v>45272.0</v>
      </c>
      <c r="B1928" s="1" t="s">
        <v>59</v>
      </c>
      <c r="C1928" s="1" t="s">
        <v>232</v>
      </c>
      <c r="D1928" s="1">
        <v>6.0</v>
      </c>
      <c r="E1928" s="1">
        <v>6.0</v>
      </c>
      <c r="F1928" s="1"/>
      <c r="G1928" s="1"/>
      <c r="H1928" s="1"/>
      <c r="I1928" s="1"/>
      <c r="J1928" s="219"/>
      <c r="K1928" s="219"/>
      <c r="L1928" s="219"/>
      <c r="M1928" s="219"/>
      <c r="N1928" s="1"/>
      <c r="O1928" s="1"/>
      <c r="P1928" s="1"/>
      <c r="Q1928" s="1"/>
      <c r="R1928" s="1"/>
      <c r="S1928" s="1" t="s">
        <v>355</v>
      </c>
      <c r="T1928" s="1" t="s">
        <v>423</v>
      </c>
      <c r="U1928" s="1"/>
    </row>
    <row r="1929">
      <c r="A1929" s="218">
        <v>45272.0</v>
      </c>
      <c r="B1929" s="1" t="s">
        <v>59</v>
      </c>
      <c r="C1929" s="1" t="s">
        <v>234</v>
      </c>
      <c r="D1929" s="1">
        <v>5.0</v>
      </c>
      <c r="E1929" s="1">
        <v>7.0</v>
      </c>
      <c r="F1929" s="1"/>
      <c r="G1929" s="1"/>
      <c r="H1929" s="1"/>
      <c r="I1929" s="1"/>
      <c r="J1929" s="219"/>
      <c r="K1929" s="219"/>
      <c r="L1929" s="219"/>
      <c r="M1929" s="219"/>
      <c r="N1929" s="1"/>
      <c r="O1929" s="1"/>
      <c r="P1929" s="1"/>
      <c r="Q1929" s="1"/>
      <c r="R1929" s="1"/>
      <c r="S1929" s="1" t="s">
        <v>407</v>
      </c>
      <c r="T1929" s="1" t="s">
        <v>423</v>
      </c>
      <c r="U1929" s="1"/>
    </row>
    <row r="1930">
      <c r="A1930" s="218">
        <v>45272.0</v>
      </c>
      <c r="B1930" s="1" t="s">
        <v>59</v>
      </c>
      <c r="C1930" s="1" t="s">
        <v>236</v>
      </c>
      <c r="D1930" s="1">
        <v>3.0</v>
      </c>
      <c r="E1930" s="1">
        <v>9.0</v>
      </c>
      <c r="F1930" s="1"/>
      <c r="G1930" s="1"/>
      <c r="H1930" s="1"/>
      <c r="I1930" s="1"/>
      <c r="J1930" s="219"/>
      <c r="K1930" s="219"/>
      <c r="L1930" s="219"/>
      <c r="M1930" s="219"/>
      <c r="N1930" s="1"/>
      <c r="O1930" s="1"/>
      <c r="P1930" s="1"/>
      <c r="Q1930" s="1"/>
      <c r="R1930" s="1"/>
      <c r="S1930" s="1" t="s">
        <v>351</v>
      </c>
      <c r="T1930" s="1" t="s">
        <v>423</v>
      </c>
      <c r="U1930" s="1"/>
    </row>
    <row r="1931">
      <c r="A1931" s="218">
        <v>45272.0</v>
      </c>
      <c r="B1931" s="1" t="s">
        <v>59</v>
      </c>
      <c r="C1931" s="1" t="s">
        <v>237</v>
      </c>
      <c r="D1931" s="1">
        <v>10.0</v>
      </c>
      <c r="E1931" s="1">
        <v>2.0</v>
      </c>
      <c r="F1931" s="1"/>
      <c r="G1931" s="1"/>
      <c r="H1931" s="1"/>
      <c r="I1931" s="1"/>
      <c r="J1931" s="219"/>
      <c r="K1931" s="219"/>
      <c r="L1931" s="219"/>
      <c r="M1931" s="219"/>
      <c r="N1931" s="1"/>
      <c r="O1931" s="1"/>
      <c r="P1931" s="1"/>
      <c r="Q1931" s="1"/>
      <c r="R1931" s="1"/>
      <c r="S1931" s="1" t="s">
        <v>292</v>
      </c>
      <c r="T1931" s="1" t="s">
        <v>422</v>
      </c>
      <c r="U1931" s="1"/>
    </row>
    <row r="1932">
      <c r="A1932" s="218">
        <v>45272.0</v>
      </c>
      <c r="B1932" s="1" t="s">
        <v>59</v>
      </c>
      <c r="C1932" s="1" t="s">
        <v>238</v>
      </c>
      <c r="D1932" s="1">
        <v>6.0</v>
      </c>
      <c r="E1932" s="1">
        <v>6.0</v>
      </c>
      <c r="F1932" s="1"/>
      <c r="G1932" s="1"/>
      <c r="H1932" s="1"/>
      <c r="I1932" s="1"/>
      <c r="J1932" s="219"/>
      <c r="K1932" s="219"/>
      <c r="L1932" s="219"/>
      <c r="M1932" s="219"/>
      <c r="N1932" s="1"/>
      <c r="O1932" s="1"/>
      <c r="P1932" s="1"/>
      <c r="Q1932" s="1"/>
      <c r="R1932" s="1"/>
      <c r="S1932" s="1" t="s">
        <v>352</v>
      </c>
      <c r="T1932" s="1" t="s">
        <v>423</v>
      </c>
      <c r="U1932" s="1"/>
    </row>
    <row r="1933">
      <c r="A1933" s="218">
        <v>45272.0</v>
      </c>
      <c r="B1933" s="1"/>
      <c r="C1933" s="1"/>
      <c r="D1933" s="1"/>
      <c r="E1933" s="1"/>
      <c r="F1933" s="1"/>
      <c r="G1933" s="1"/>
      <c r="H1933" s="1"/>
      <c r="I1933" s="1"/>
      <c r="J1933" s="219"/>
      <c r="K1933" s="219"/>
      <c r="L1933" s="219"/>
      <c r="M1933" s="219"/>
      <c r="N1933" s="1"/>
      <c r="O1933" s="1"/>
      <c r="P1933" s="1"/>
      <c r="Q1933" s="1"/>
      <c r="R1933" s="1"/>
      <c r="S1933" s="1" t="e">
        <v>#N/A</v>
      </c>
      <c r="T1933" s="1" t="e">
        <v>#N/A</v>
      </c>
      <c r="U1933" s="1"/>
    </row>
    <row r="1934">
      <c r="A1934" s="218">
        <v>45272.0</v>
      </c>
      <c r="B1934" s="1" t="s">
        <v>62</v>
      </c>
      <c r="C1934" s="1" t="s">
        <v>240</v>
      </c>
      <c r="D1934" s="1">
        <v>10.0</v>
      </c>
      <c r="E1934" s="1">
        <v>2.0</v>
      </c>
      <c r="F1934" s="1"/>
      <c r="G1934" s="218"/>
      <c r="H1934" s="1"/>
      <c r="I1934" s="1"/>
      <c r="J1934" s="219"/>
      <c r="K1934" s="219"/>
      <c r="L1934" s="219"/>
      <c r="M1934" s="219"/>
      <c r="N1934" s="1"/>
      <c r="O1934" s="1"/>
      <c r="P1934" s="1"/>
      <c r="Q1934" s="1"/>
      <c r="R1934" s="1"/>
      <c r="S1934" s="1" t="s">
        <v>352</v>
      </c>
      <c r="T1934" s="1" t="s">
        <v>423</v>
      </c>
      <c r="U1934" s="1"/>
    </row>
    <row r="1935">
      <c r="A1935" s="218">
        <v>45272.0</v>
      </c>
      <c r="B1935" s="1" t="s">
        <v>62</v>
      </c>
      <c r="C1935" s="1" t="s">
        <v>241</v>
      </c>
      <c r="D1935" s="1">
        <v>8.0</v>
      </c>
      <c r="E1935" s="1">
        <v>4.0</v>
      </c>
      <c r="F1935" s="1"/>
      <c r="G1935" s="1"/>
      <c r="H1935" s="1"/>
      <c r="I1935" s="1"/>
      <c r="J1935" s="219"/>
      <c r="K1935" s="219"/>
      <c r="L1935" s="219"/>
      <c r="M1935" s="219"/>
      <c r="N1935" s="1"/>
      <c r="O1935" s="1"/>
      <c r="P1935" s="1"/>
      <c r="Q1935" s="1"/>
      <c r="R1935" s="1"/>
      <c r="S1935" s="1" t="s">
        <v>353</v>
      </c>
      <c r="T1935" s="1" t="s">
        <v>423</v>
      </c>
      <c r="U1935" s="1"/>
    </row>
    <row r="1936">
      <c r="A1936" s="218">
        <v>45272.0</v>
      </c>
      <c r="B1936" s="1" t="s">
        <v>62</v>
      </c>
      <c r="C1936" s="1" t="s">
        <v>242</v>
      </c>
      <c r="D1936" s="1">
        <v>3.0</v>
      </c>
      <c r="E1936" s="1">
        <v>9.0</v>
      </c>
      <c r="F1936" s="1"/>
      <c r="G1936" s="1"/>
      <c r="H1936" s="1"/>
      <c r="I1936" s="1"/>
      <c r="J1936" s="219"/>
      <c r="K1936" s="219"/>
      <c r="L1936" s="219"/>
      <c r="M1936" s="219"/>
      <c r="N1936" s="1"/>
      <c r="O1936" s="1"/>
      <c r="P1936" s="1"/>
      <c r="Q1936" s="1"/>
      <c r="R1936" s="1"/>
      <c r="S1936" s="1" t="s">
        <v>296</v>
      </c>
      <c r="T1936" s="1" t="s">
        <v>422</v>
      </c>
      <c r="U1936" s="1"/>
    </row>
    <row r="1937">
      <c r="A1937" s="218">
        <v>45272.0</v>
      </c>
      <c r="B1937" s="1" t="s">
        <v>62</v>
      </c>
      <c r="C1937" s="1" t="s">
        <v>244</v>
      </c>
      <c r="D1937" s="1">
        <v>7.0</v>
      </c>
      <c r="E1937" s="1">
        <v>5.0</v>
      </c>
      <c r="F1937" s="1"/>
      <c r="G1937" s="1"/>
      <c r="H1937" s="1"/>
      <c r="I1937" s="1"/>
      <c r="J1937" s="219"/>
      <c r="K1937" s="219"/>
      <c r="L1937" s="219"/>
      <c r="M1937" s="219"/>
      <c r="N1937" s="1"/>
      <c r="O1937" s="1"/>
      <c r="P1937" s="1"/>
      <c r="Q1937" s="1"/>
      <c r="R1937" s="1"/>
      <c r="S1937" s="1" t="s">
        <v>282</v>
      </c>
      <c r="T1937" s="1" t="s">
        <v>422</v>
      </c>
      <c r="U1937" s="1"/>
    </row>
    <row r="1938">
      <c r="A1938" s="218">
        <v>45272.0</v>
      </c>
      <c r="B1938" s="1" t="s">
        <v>62</v>
      </c>
      <c r="C1938" s="1" t="s">
        <v>245</v>
      </c>
      <c r="D1938" s="1">
        <v>6.0</v>
      </c>
      <c r="E1938" s="1">
        <v>6.0</v>
      </c>
      <c r="F1938" s="1"/>
      <c r="G1938" s="1"/>
      <c r="H1938" s="1"/>
      <c r="I1938" s="1"/>
      <c r="J1938" s="219"/>
      <c r="K1938" s="219"/>
      <c r="L1938" s="219"/>
      <c r="M1938" s="219"/>
      <c r="N1938" s="1"/>
      <c r="O1938" s="1"/>
      <c r="P1938" s="1"/>
      <c r="Q1938" s="1"/>
      <c r="R1938" s="1"/>
      <c r="S1938" s="1" t="s">
        <v>355</v>
      </c>
      <c r="T1938" s="1" t="s">
        <v>423</v>
      </c>
      <c r="U1938" s="1"/>
    </row>
    <row r="1939">
      <c r="A1939" s="218">
        <v>45272.0</v>
      </c>
      <c r="B1939" s="1" t="s">
        <v>62</v>
      </c>
      <c r="C1939" s="1" t="s">
        <v>215</v>
      </c>
      <c r="D1939" s="1">
        <v>7.0</v>
      </c>
      <c r="E1939" s="1">
        <v>5.0</v>
      </c>
      <c r="F1939" s="1"/>
      <c r="G1939" s="1"/>
      <c r="H1939" s="1"/>
      <c r="I1939" s="1"/>
      <c r="J1939" s="219"/>
      <c r="K1939" s="219"/>
      <c r="L1939" s="219"/>
      <c r="M1939" s="219"/>
      <c r="N1939" s="1"/>
      <c r="O1939" s="1"/>
      <c r="P1939" s="1"/>
      <c r="Q1939" s="1"/>
      <c r="R1939" s="1"/>
      <c r="S1939" s="1" t="s">
        <v>351</v>
      </c>
      <c r="T1939" s="1" t="s">
        <v>423</v>
      </c>
      <c r="U1939" s="1"/>
    </row>
    <row r="1940">
      <c r="A1940" s="218">
        <v>45272.0</v>
      </c>
      <c r="B1940" s="1" t="s">
        <v>62</v>
      </c>
      <c r="C1940" s="1" t="s">
        <v>246</v>
      </c>
      <c r="D1940" s="1">
        <v>2.0</v>
      </c>
      <c r="E1940" s="1">
        <v>10.0</v>
      </c>
      <c r="F1940" s="1"/>
      <c r="G1940" s="1"/>
      <c r="H1940" s="1"/>
      <c r="I1940" s="1"/>
      <c r="J1940" s="219"/>
      <c r="K1940" s="219"/>
      <c r="L1940" s="219"/>
      <c r="M1940" s="219"/>
      <c r="N1940" s="1"/>
      <c r="O1940" s="1"/>
      <c r="P1940" s="1"/>
      <c r="Q1940" s="1"/>
      <c r="R1940" s="1"/>
      <c r="S1940" s="1" t="s">
        <v>407</v>
      </c>
      <c r="T1940" s="1" t="s">
        <v>423</v>
      </c>
      <c r="U1940" s="1"/>
    </row>
    <row r="1941">
      <c r="A1941" s="218">
        <v>45272.0</v>
      </c>
      <c r="B1941" s="1" t="s">
        <v>62</v>
      </c>
      <c r="C1941" s="1" t="s">
        <v>247</v>
      </c>
      <c r="D1941" s="1">
        <v>8.0</v>
      </c>
      <c r="E1941" s="1">
        <v>4.0</v>
      </c>
      <c r="F1941" s="1"/>
      <c r="G1941" s="1"/>
      <c r="H1941" s="1"/>
      <c r="I1941" s="1"/>
      <c r="J1941" s="219"/>
      <c r="K1941" s="219"/>
      <c r="L1941" s="219"/>
      <c r="M1941" s="219"/>
      <c r="N1941" s="1"/>
      <c r="O1941" s="1"/>
      <c r="P1941" s="1"/>
      <c r="Q1941" s="1"/>
      <c r="R1941" s="1"/>
      <c r="S1941" s="1" t="s">
        <v>354</v>
      </c>
      <c r="T1941" s="1" t="s">
        <v>422</v>
      </c>
      <c r="U1941" s="1"/>
    </row>
    <row r="1942">
      <c r="A1942" s="218">
        <v>45272.0</v>
      </c>
      <c r="B1942" s="1" t="s">
        <v>62</v>
      </c>
      <c r="C1942" s="1" t="s">
        <v>248</v>
      </c>
      <c r="D1942" s="1">
        <v>6.0</v>
      </c>
      <c r="E1942" s="1">
        <v>6.0</v>
      </c>
      <c r="F1942" s="1"/>
      <c r="G1942" s="1"/>
      <c r="H1942" s="1"/>
      <c r="I1942" s="1"/>
      <c r="J1942" s="219"/>
      <c r="K1942" s="219"/>
      <c r="L1942" s="219"/>
      <c r="M1942" s="219"/>
      <c r="N1942" s="1"/>
      <c r="O1942" s="1"/>
      <c r="P1942" s="1"/>
      <c r="Q1942" s="1"/>
      <c r="R1942" s="1"/>
      <c r="S1942" s="1" t="s">
        <v>301</v>
      </c>
      <c r="T1942" s="1" t="s">
        <v>422</v>
      </c>
      <c r="U1942" s="1"/>
    </row>
    <row r="1943">
      <c r="A1943" s="218">
        <v>45272.0</v>
      </c>
      <c r="B1943" s="1" t="s">
        <v>62</v>
      </c>
      <c r="C1943" s="1" t="s">
        <v>249</v>
      </c>
      <c r="D1943" s="1">
        <v>5.0</v>
      </c>
      <c r="E1943" s="1">
        <v>7.0</v>
      </c>
      <c r="F1943" s="1"/>
      <c r="G1943" s="1"/>
      <c r="H1943" s="1"/>
      <c r="I1943" s="1"/>
      <c r="J1943" s="219"/>
      <c r="K1943" s="219"/>
      <c r="L1943" s="219"/>
      <c r="M1943" s="219"/>
      <c r="N1943" s="1"/>
      <c r="O1943" s="1"/>
      <c r="P1943" s="1"/>
      <c r="Q1943" s="1"/>
      <c r="R1943" s="1"/>
      <c r="S1943" s="1" t="s">
        <v>292</v>
      </c>
      <c r="T1943" s="1" t="s">
        <v>422</v>
      </c>
      <c r="U1943" s="1"/>
    </row>
    <row r="1944">
      <c r="A1944" s="218">
        <v>45272.0</v>
      </c>
      <c r="B1944" s="1"/>
      <c r="C1944" s="1"/>
      <c r="D1944" s="1"/>
      <c r="E1944" s="1"/>
      <c r="F1944" s="1"/>
      <c r="G1944" s="1"/>
      <c r="H1944" s="1"/>
      <c r="I1944" s="1"/>
      <c r="J1944" s="219"/>
      <c r="K1944" s="219"/>
      <c r="L1944" s="219"/>
      <c r="M1944" s="219"/>
      <c r="N1944" s="1"/>
      <c r="O1944" s="1"/>
      <c r="P1944" s="1"/>
      <c r="Q1944" s="1"/>
      <c r="R1944" s="1"/>
      <c r="S1944" s="1" t="e">
        <v>#N/A</v>
      </c>
      <c r="T1944" s="1" t="e">
        <v>#N/A</v>
      </c>
      <c r="U1944" s="1"/>
    </row>
    <row r="1945">
      <c r="A1945" s="218">
        <v>45272.0</v>
      </c>
      <c r="B1945" s="1" t="s">
        <v>69</v>
      </c>
      <c r="C1945" s="1" t="s">
        <v>250</v>
      </c>
      <c r="D1945" s="1">
        <v>3.0</v>
      </c>
      <c r="E1945" s="1">
        <v>9.0</v>
      </c>
      <c r="F1945" s="1"/>
      <c r="G1945" s="1"/>
      <c r="H1945" s="1"/>
      <c r="I1945" s="1"/>
      <c r="J1945" s="219"/>
      <c r="K1945" s="219"/>
      <c r="L1945" s="219"/>
      <c r="M1945" s="219"/>
      <c r="N1945" s="1"/>
      <c r="O1945" s="1"/>
      <c r="P1945" s="1"/>
      <c r="Q1945" s="1"/>
      <c r="R1945" s="1"/>
      <c r="S1945" s="1" t="s">
        <v>351</v>
      </c>
      <c r="T1945" s="1" t="s">
        <v>423</v>
      </c>
      <c r="U1945" s="1"/>
    </row>
    <row r="1946">
      <c r="A1946" s="218">
        <v>45272.0</v>
      </c>
      <c r="B1946" s="1" t="s">
        <v>69</v>
      </c>
      <c r="C1946" s="1" t="s">
        <v>251</v>
      </c>
      <c r="D1946" s="1">
        <v>6.0</v>
      </c>
      <c r="E1946" s="1">
        <v>6.0</v>
      </c>
      <c r="F1946" s="1"/>
      <c r="G1946" s="1"/>
      <c r="H1946" s="1"/>
      <c r="I1946" s="1"/>
      <c r="J1946" s="219"/>
      <c r="K1946" s="219"/>
      <c r="L1946" s="219"/>
      <c r="M1946" s="219"/>
      <c r="N1946" s="1"/>
      <c r="O1946" s="1"/>
      <c r="P1946" s="1"/>
      <c r="Q1946" s="1"/>
      <c r="R1946" s="1"/>
      <c r="S1946" s="1" t="s">
        <v>354</v>
      </c>
      <c r="T1946" s="1" t="s">
        <v>422</v>
      </c>
      <c r="U1946" s="1"/>
    </row>
    <row r="1947">
      <c r="A1947" s="218">
        <v>45272.0</v>
      </c>
      <c r="B1947" s="1" t="s">
        <v>69</v>
      </c>
      <c r="C1947" s="1" t="s">
        <v>252</v>
      </c>
      <c r="D1947" s="1">
        <v>3.0</v>
      </c>
      <c r="E1947" s="1">
        <v>9.0</v>
      </c>
      <c r="F1947" s="1"/>
      <c r="G1947" s="1"/>
      <c r="H1947" s="1"/>
      <c r="I1947" s="1"/>
      <c r="J1947" s="219"/>
      <c r="K1947" s="219"/>
      <c r="L1947" s="219"/>
      <c r="M1947" s="219"/>
      <c r="N1947" s="1"/>
      <c r="O1947" s="1"/>
      <c r="P1947" s="1"/>
      <c r="Q1947" s="1"/>
      <c r="R1947" s="1"/>
      <c r="S1947" s="1" t="s">
        <v>352</v>
      </c>
      <c r="T1947" s="1" t="s">
        <v>423</v>
      </c>
      <c r="U1947" s="1"/>
    </row>
    <row r="1948">
      <c r="A1948" s="218">
        <v>45272.0</v>
      </c>
      <c r="B1948" s="1" t="s">
        <v>69</v>
      </c>
      <c r="C1948" s="1" t="s">
        <v>253</v>
      </c>
      <c r="D1948" s="1">
        <v>6.0</v>
      </c>
      <c r="E1948" s="1">
        <v>6.0</v>
      </c>
      <c r="F1948" s="1"/>
      <c r="G1948" s="1"/>
      <c r="H1948" s="1"/>
      <c r="I1948" s="1"/>
      <c r="J1948" s="219"/>
      <c r="K1948" s="219"/>
      <c r="L1948" s="219"/>
      <c r="M1948" s="219"/>
      <c r="N1948" s="1"/>
      <c r="O1948" s="1"/>
      <c r="P1948" s="1"/>
      <c r="Q1948" s="1"/>
      <c r="R1948" s="1"/>
      <c r="S1948" s="1" t="s">
        <v>407</v>
      </c>
      <c r="T1948" s="1" t="s">
        <v>423</v>
      </c>
      <c r="U1948" s="1"/>
    </row>
    <row r="1949">
      <c r="A1949" s="218">
        <v>45272.0</v>
      </c>
      <c r="B1949" s="1" t="s">
        <v>69</v>
      </c>
      <c r="C1949" s="1" t="s">
        <v>254</v>
      </c>
      <c r="D1949" s="1">
        <v>6.0</v>
      </c>
      <c r="E1949" s="1">
        <v>6.0</v>
      </c>
      <c r="F1949" s="1"/>
      <c r="G1949" s="1"/>
      <c r="H1949" s="1"/>
      <c r="I1949" s="1"/>
      <c r="J1949" s="219"/>
      <c r="K1949" s="219"/>
      <c r="L1949" s="219"/>
      <c r="M1949" s="219"/>
      <c r="N1949" s="1"/>
      <c r="O1949" s="1"/>
      <c r="P1949" s="1"/>
      <c r="Q1949" s="1"/>
      <c r="R1949" s="1"/>
      <c r="S1949" s="1" t="s">
        <v>355</v>
      </c>
      <c r="T1949" s="1" t="s">
        <v>423</v>
      </c>
      <c r="U1949" s="1"/>
    </row>
    <row r="1950">
      <c r="A1950" s="218">
        <v>45272.0</v>
      </c>
      <c r="B1950" s="1" t="s">
        <v>69</v>
      </c>
      <c r="C1950" s="1" t="s">
        <v>255</v>
      </c>
      <c r="D1950" s="1">
        <v>7.0</v>
      </c>
      <c r="E1950" s="1">
        <v>5.0</v>
      </c>
      <c r="F1950" s="1"/>
      <c r="G1950" s="1"/>
      <c r="H1950" s="1"/>
      <c r="I1950" s="1"/>
      <c r="J1950" s="219"/>
      <c r="K1950" s="219"/>
      <c r="L1950" s="219"/>
      <c r="M1950" s="219"/>
      <c r="N1950" s="1"/>
      <c r="O1950" s="1"/>
      <c r="P1950" s="1"/>
      <c r="Q1950" s="1"/>
      <c r="R1950" s="1"/>
      <c r="S1950" s="1" t="s">
        <v>282</v>
      </c>
      <c r="T1950" s="1" t="s">
        <v>422</v>
      </c>
      <c r="U1950" s="1"/>
    </row>
    <row r="1951">
      <c r="A1951" s="218">
        <v>45272.0</v>
      </c>
      <c r="B1951" s="1" t="s">
        <v>69</v>
      </c>
      <c r="C1951" s="1" t="s">
        <v>256</v>
      </c>
      <c r="D1951" s="1">
        <v>3.0</v>
      </c>
      <c r="E1951" s="1">
        <v>9.0</v>
      </c>
      <c r="F1951" s="1"/>
      <c r="G1951" s="1"/>
      <c r="H1951" s="1"/>
      <c r="I1951" s="1"/>
      <c r="J1951" s="219"/>
      <c r="K1951" s="219"/>
      <c r="L1951" s="219"/>
      <c r="M1951" s="219"/>
      <c r="N1951" s="1"/>
      <c r="O1951" s="1"/>
      <c r="P1951" s="1"/>
      <c r="Q1951" s="1"/>
      <c r="R1951" s="1"/>
      <c r="S1951" s="1" t="s">
        <v>301</v>
      </c>
      <c r="T1951" s="1" t="s">
        <v>422</v>
      </c>
      <c r="U1951" s="1"/>
    </row>
    <row r="1952">
      <c r="A1952" s="218">
        <v>45272.0</v>
      </c>
      <c r="B1952" s="1" t="s">
        <v>69</v>
      </c>
      <c r="C1952" s="1" t="s">
        <v>219</v>
      </c>
      <c r="D1952" s="1">
        <v>9.0</v>
      </c>
      <c r="E1952" s="1">
        <v>3.0</v>
      </c>
      <c r="F1952" s="1"/>
      <c r="G1952" s="1"/>
      <c r="H1952" s="1"/>
      <c r="I1952" s="1"/>
      <c r="J1952" s="219"/>
      <c r="K1952" s="219"/>
      <c r="L1952" s="219"/>
      <c r="M1952" s="219"/>
      <c r="N1952" s="1"/>
      <c r="O1952" s="1"/>
      <c r="P1952" s="1"/>
      <c r="Q1952" s="1"/>
      <c r="R1952" s="1"/>
      <c r="S1952" s="1" t="s">
        <v>292</v>
      </c>
      <c r="T1952" s="1" t="s">
        <v>422</v>
      </c>
      <c r="U1952" s="1"/>
    </row>
    <row r="1953">
      <c r="A1953" s="218">
        <v>45272.0</v>
      </c>
      <c r="B1953" s="1" t="s">
        <v>69</v>
      </c>
      <c r="C1953" s="1" t="s">
        <v>257</v>
      </c>
      <c r="D1953" s="1">
        <v>6.0</v>
      </c>
      <c r="E1953" s="1">
        <v>6.0</v>
      </c>
      <c r="F1953" s="1"/>
      <c r="G1953" s="1"/>
      <c r="H1953" s="1"/>
      <c r="I1953" s="1"/>
      <c r="J1953" s="219"/>
      <c r="K1953" s="219"/>
      <c r="L1953" s="219"/>
      <c r="M1953" s="219"/>
      <c r="N1953" s="1"/>
      <c r="O1953" s="1"/>
      <c r="P1953" s="1"/>
      <c r="Q1953" s="1"/>
      <c r="R1953" s="1"/>
      <c r="S1953" s="1" t="s">
        <v>296</v>
      </c>
      <c r="T1953" s="1" t="s">
        <v>422</v>
      </c>
      <c r="U1953" s="1"/>
    </row>
    <row r="1954">
      <c r="A1954" s="218">
        <v>45272.0</v>
      </c>
      <c r="B1954" s="1" t="s">
        <v>69</v>
      </c>
      <c r="C1954" s="1" t="s">
        <v>243</v>
      </c>
      <c r="D1954" s="1">
        <v>8.0</v>
      </c>
      <c r="E1954" s="1">
        <v>4.0</v>
      </c>
      <c r="F1954" s="1"/>
      <c r="G1954" s="1"/>
      <c r="H1954" s="1"/>
      <c r="I1954" s="1"/>
      <c r="J1954" s="219"/>
      <c r="K1954" s="219"/>
      <c r="L1954" s="219"/>
      <c r="M1954" s="219"/>
      <c r="N1954" s="1"/>
      <c r="O1954" s="1"/>
      <c r="P1954" s="1"/>
      <c r="Q1954" s="1"/>
      <c r="R1954" s="1"/>
      <c r="S1954" s="1" t="s">
        <v>353</v>
      </c>
      <c r="T1954" s="1" t="s">
        <v>423</v>
      </c>
      <c r="U1954" s="1"/>
    </row>
    <row r="1955">
      <c r="A1955" s="218">
        <v>45272.0</v>
      </c>
      <c r="B1955" s="1"/>
      <c r="C1955" s="1"/>
      <c r="D1955" s="1"/>
      <c r="E1955" s="1"/>
      <c r="F1955" s="1"/>
      <c r="G1955" s="1"/>
      <c r="H1955" s="1"/>
      <c r="I1955" s="1"/>
      <c r="J1955" s="219"/>
      <c r="K1955" s="219"/>
      <c r="L1955" s="219"/>
      <c r="M1955" s="219"/>
      <c r="N1955" s="1"/>
      <c r="O1955" s="1"/>
      <c r="P1955" s="1"/>
      <c r="Q1955" s="1"/>
      <c r="R1955" s="1"/>
      <c r="S1955" s="1" t="e">
        <v>#N/A</v>
      </c>
      <c r="T1955" s="1" t="e">
        <v>#N/A</v>
      </c>
      <c r="U1955" s="1"/>
    </row>
    <row r="1956">
      <c r="A1956" s="218">
        <v>45272.0</v>
      </c>
      <c r="B1956" s="1" t="s">
        <v>125</v>
      </c>
      <c r="C1956" s="1" t="s">
        <v>224</v>
      </c>
      <c r="D1956" s="1">
        <v>12.0</v>
      </c>
      <c r="E1956" s="1">
        <v>0.0</v>
      </c>
      <c r="F1956" s="1"/>
      <c r="G1956" s="218"/>
      <c r="H1956" s="1"/>
      <c r="I1956" s="1"/>
      <c r="J1956" s="219"/>
      <c r="K1956" s="219"/>
      <c r="L1956" s="219"/>
      <c r="M1956" s="219"/>
      <c r="N1956" s="1"/>
      <c r="O1956" s="1"/>
      <c r="P1956" s="1"/>
      <c r="Q1956" s="1"/>
      <c r="R1956" s="1"/>
      <c r="S1956" s="1" t="s">
        <v>301</v>
      </c>
      <c r="T1956" s="1" t="s">
        <v>422</v>
      </c>
      <c r="U1956" s="1"/>
    </row>
    <row r="1957">
      <c r="A1957" s="218">
        <v>45272.0</v>
      </c>
      <c r="B1957" s="1" t="s">
        <v>125</v>
      </c>
      <c r="C1957" s="1" t="s">
        <v>239</v>
      </c>
      <c r="D1957" s="1">
        <v>11.0</v>
      </c>
      <c r="E1957" s="1">
        <v>1.0</v>
      </c>
      <c r="F1957" s="1"/>
      <c r="G1957" s="218"/>
      <c r="H1957" s="1"/>
      <c r="I1957" s="1"/>
      <c r="J1957" s="219"/>
      <c r="K1957" s="219"/>
      <c r="L1957" s="219"/>
      <c r="M1957" s="219"/>
      <c r="N1957" s="1"/>
      <c r="O1957" s="1"/>
      <c r="P1957" s="1"/>
      <c r="Q1957" s="1"/>
      <c r="R1957" s="1"/>
      <c r="S1957" s="1" t="s">
        <v>296</v>
      </c>
      <c r="T1957" s="1" t="s">
        <v>422</v>
      </c>
      <c r="U1957" s="1"/>
    </row>
    <row r="1958">
      <c r="A1958" s="218">
        <v>45272.0</v>
      </c>
      <c r="B1958" s="1" t="s">
        <v>125</v>
      </c>
      <c r="C1958" s="1" t="s">
        <v>258</v>
      </c>
      <c r="D1958" s="1">
        <v>2.0</v>
      </c>
      <c r="E1958" s="1">
        <v>10.0</v>
      </c>
      <c r="F1958" s="1"/>
      <c r="G1958" s="1"/>
      <c r="H1958" s="1"/>
      <c r="I1958" s="1"/>
      <c r="J1958" s="219"/>
      <c r="K1958" s="219"/>
      <c r="L1958" s="219"/>
      <c r="M1958" s="219"/>
      <c r="N1958" s="1"/>
      <c r="O1958" s="1"/>
      <c r="P1958" s="1"/>
      <c r="Q1958" s="1"/>
      <c r="R1958" s="1"/>
      <c r="S1958" s="1" t="s">
        <v>353</v>
      </c>
      <c r="T1958" s="1" t="s">
        <v>423</v>
      </c>
      <c r="U1958" s="1"/>
    </row>
    <row r="1959">
      <c r="A1959" s="218">
        <v>45272.0</v>
      </c>
      <c r="B1959" s="1" t="s">
        <v>125</v>
      </c>
      <c r="C1959" s="1" t="s">
        <v>259</v>
      </c>
      <c r="D1959" s="1">
        <v>5.0</v>
      </c>
      <c r="E1959" s="1">
        <v>7.0</v>
      </c>
      <c r="F1959" s="1"/>
      <c r="G1959" s="1"/>
      <c r="H1959" s="1"/>
      <c r="I1959" s="1"/>
      <c r="J1959" s="219"/>
      <c r="K1959" s="219"/>
      <c r="L1959" s="219"/>
      <c r="M1959" s="219"/>
      <c r="N1959" s="1"/>
      <c r="O1959" s="1"/>
      <c r="P1959" s="1"/>
      <c r="Q1959" s="1"/>
      <c r="R1959" s="1"/>
      <c r="S1959" s="1" t="s">
        <v>354</v>
      </c>
      <c r="T1959" s="1" t="s">
        <v>422</v>
      </c>
      <c r="U1959" s="1"/>
    </row>
    <row r="1960">
      <c r="A1960" s="218">
        <v>45272.0</v>
      </c>
      <c r="B1960" s="1" t="s">
        <v>125</v>
      </c>
      <c r="C1960" s="1" t="s">
        <v>260</v>
      </c>
      <c r="D1960" s="1">
        <v>8.0</v>
      </c>
      <c r="E1960" s="1">
        <v>4.0</v>
      </c>
      <c r="F1960" s="1"/>
      <c r="G1960" s="1"/>
      <c r="H1960" s="1"/>
      <c r="I1960" s="1"/>
      <c r="J1960" s="219"/>
      <c r="K1960" s="219"/>
      <c r="L1960" s="219"/>
      <c r="M1960" s="219"/>
      <c r="N1960" s="1"/>
      <c r="O1960" s="1"/>
      <c r="P1960" s="1"/>
      <c r="Q1960" s="1"/>
      <c r="R1960" s="1"/>
      <c r="S1960" s="1" t="s">
        <v>351</v>
      </c>
      <c r="T1960" s="1" t="s">
        <v>423</v>
      </c>
      <c r="U1960" s="1"/>
    </row>
    <row r="1961">
      <c r="A1961" s="218">
        <v>45272.0</v>
      </c>
      <c r="B1961" s="1" t="s">
        <v>125</v>
      </c>
      <c r="C1961" s="1" t="s">
        <v>261</v>
      </c>
      <c r="D1961" s="1">
        <v>7.0</v>
      </c>
      <c r="E1961" s="1">
        <v>5.0</v>
      </c>
      <c r="F1961" s="1"/>
      <c r="G1961" s="1"/>
      <c r="H1961" s="1"/>
      <c r="I1961" s="1"/>
      <c r="J1961" s="219"/>
      <c r="K1961" s="219"/>
      <c r="L1961" s="219"/>
      <c r="M1961" s="219"/>
      <c r="N1961" s="1"/>
      <c r="O1961" s="1"/>
      <c r="P1961" s="1"/>
      <c r="Q1961" s="1"/>
      <c r="R1961" s="1"/>
      <c r="S1961" s="1" t="s">
        <v>282</v>
      </c>
      <c r="T1961" s="1" t="s">
        <v>422</v>
      </c>
      <c r="U1961" s="1"/>
    </row>
    <row r="1962">
      <c r="A1962" s="218">
        <v>45272.0</v>
      </c>
      <c r="B1962" s="1" t="s">
        <v>125</v>
      </c>
      <c r="C1962" s="1" t="s">
        <v>262</v>
      </c>
      <c r="D1962" s="1">
        <v>11.0</v>
      </c>
      <c r="E1962" s="1">
        <v>1.0</v>
      </c>
      <c r="F1962" s="1"/>
      <c r="G1962" s="1"/>
      <c r="H1962" s="1"/>
      <c r="I1962" s="1"/>
      <c r="J1962" s="219"/>
      <c r="K1962" s="219"/>
      <c r="L1962" s="219"/>
      <c r="M1962" s="219"/>
      <c r="N1962" s="1"/>
      <c r="O1962" s="1"/>
      <c r="P1962" s="1"/>
      <c r="Q1962" s="1"/>
      <c r="R1962" s="1"/>
      <c r="S1962" s="1" t="s">
        <v>355</v>
      </c>
      <c r="T1962" s="1" t="s">
        <v>423</v>
      </c>
      <c r="U1962" s="1"/>
    </row>
    <row r="1963">
      <c r="A1963" s="218">
        <v>45272.0</v>
      </c>
      <c r="B1963" s="1" t="s">
        <v>125</v>
      </c>
      <c r="C1963" s="1" t="s">
        <v>263</v>
      </c>
      <c r="D1963" s="1">
        <v>6.0</v>
      </c>
      <c r="E1963" s="1">
        <v>6.0</v>
      </c>
      <c r="F1963" s="1"/>
      <c r="G1963" s="1"/>
      <c r="H1963" s="1"/>
      <c r="I1963" s="1"/>
      <c r="J1963" s="219"/>
      <c r="K1963" s="219"/>
      <c r="L1963" s="219"/>
      <c r="M1963" s="219"/>
      <c r="N1963" s="1"/>
      <c r="O1963" s="1"/>
      <c r="P1963" s="1"/>
      <c r="Q1963" s="1"/>
      <c r="R1963" s="1"/>
      <c r="S1963" s="1" t="s">
        <v>407</v>
      </c>
      <c r="T1963" s="1" t="s">
        <v>423</v>
      </c>
      <c r="U1963" s="1"/>
    </row>
    <row r="1964">
      <c r="A1964" s="218">
        <v>45272.0</v>
      </c>
      <c r="B1964" s="1" t="s">
        <v>125</v>
      </c>
      <c r="C1964" s="1" t="s">
        <v>264</v>
      </c>
      <c r="D1964" s="1">
        <v>7.0</v>
      </c>
      <c r="E1964" s="1">
        <v>5.0</v>
      </c>
      <c r="F1964" s="1"/>
      <c r="G1964" s="1"/>
      <c r="H1964" s="1"/>
      <c r="I1964" s="1"/>
      <c r="J1964" s="219"/>
      <c r="K1964" s="219"/>
      <c r="L1964" s="219"/>
      <c r="M1964" s="219"/>
      <c r="N1964" s="1"/>
      <c r="O1964" s="1"/>
      <c r="P1964" s="1"/>
      <c r="Q1964" s="1"/>
      <c r="R1964" s="1"/>
      <c r="S1964" s="1" t="s">
        <v>292</v>
      </c>
      <c r="T1964" s="1" t="s">
        <v>422</v>
      </c>
      <c r="U1964" s="1"/>
    </row>
    <row r="1965">
      <c r="A1965" s="218">
        <v>45272.0</v>
      </c>
      <c r="B1965" s="1" t="s">
        <v>125</v>
      </c>
      <c r="C1965" s="1" t="s">
        <v>265</v>
      </c>
      <c r="D1965" s="1">
        <v>5.0</v>
      </c>
      <c r="E1965" s="1">
        <v>7.0</v>
      </c>
      <c r="F1965" s="1"/>
      <c r="G1965" s="1"/>
      <c r="H1965" s="1"/>
      <c r="I1965" s="1"/>
      <c r="J1965" s="219"/>
      <c r="K1965" s="219"/>
      <c r="L1965" s="219"/>
      <c r="M1965" s="219"/>
      <c r="N1965" s="1"/>
      <c r="O1965" s="1"/>
      <c r="P1965" s="1"/>
      <c r="Q1965" s="1"/>
      <c r="R1965" s="1"/>
      <c r="S1965" s="1" t="s">
        <v>352</v>
      </c>
      <c r="T1965" s="1" t="s">
        <v>423</v>
      </c>
      <c r="U1965" s="1"/>
    </row>
    <row r="1966">
      <c r="A1966" s="218">
        <v>45272.0</v>
      </c>
      <c r="B1966" s="1"/>
      <c r="C1966" s="1"/>
      <c r="D1966" s="1"/>
      <c r="E1966" s="1"/>
      <c r="F1966" s="1"/>
      <c r="G1966" s="1"/>
      <c r="H1966" s="1"/>
      <c r="I1966" s="1"/>
      <c r="J1966" s="219"/>
      <c r="K1966" s="219"/>
      <c r="L1966" s="219"/>
      <c r="M1966" s="219"/>
      <c r="N1966" s="1"/>
      <c r="O1966" s="1"/>
      <c r="P1966" s="1"/>
      <c r="Q1966" s="1"/>
      <c r="R1966" s="1"/>
      <c r="S1966" s="1" t="e">
        <v>#N/A</v>
      </c>
      <c r="T1966" s="1" t="e">
        <v>#N/A</v>
      </c>
      <c r="U1966" s="1"/>
    </row>
    <row r="1967">
      <c r="A1967" s="218">
        <v>45272.0</v>
      </c>
      <c r="B1967" s="1" t="s">
        <v>61</v>
      </c>
      <c r="C1967" s="1" t="s">
        <v>266</v>
      </c>
      <c r="D1967" s="1">
        <v>10.0</v>
      </c>
      <c r="E1967" s="1">
        <v>2.0</v>
      </c>
      <c r="F1967" s="1"/>
      <c r="G1967" s="218"/>
      <c r="H1967" s="1"/>
      <c r="I1967" s="1"/>
      <c r="J1967" s="219"/>
      <c r="K1967" s="219"/>
      <c r="L1967" s="219"/>
      <c r="M1967" s="219"/>
      <c r="N1967" s="1"/>
      <c r="O1967" s="1"/>
      <c r="P1967" s="1"/>
      <c r="Q1967" s="1"/>
      <c r="R1967" s="1"/>
      <c r="S1967" s="1" t="s">
        <v>282</v>
      </c>
      <c r="T1967" s="1" t="s">
        <v>422</v>
      </c>
      <c r="U1967" s="1"/>
    </row>
    <row r="1968">
      <c r="A1968" s="218">
        <v>45272.0</v>
      </c>
      <c r="B1968" s="1" t="s">
        <v>61</v>
      </c>
      <c r="C1968" s="1" t="s">
        <v>267</v>
      </c>
      <c r="D1968" s="1">
        <v>9.0</v>
      </c>
      <c r="E1968" s="1">
        <v>3.0</v>
      </c>
      <c r="F1968" s="1"/>
      <c r="G1968" s="218"/>
      <c r="H1968" s="1"/>
      <c r="I1968" s="1"/>
      <c r="J1968" s="219"/>
      <c r="K1968" s="219"/>
      <c r="L1968" s="219"/>
      <c r="M1968" s="219"/>
      <c r="N1968" s="1"/>
      <c r="O1968" s="1"/>
      <c r="P1968" s="1"/>
      <c r="Q1968" s="1"/>
      <c r="R1968" s="1"/>
      <c r="S1968" s="1" t="s">
        <v>296</v>
      </c>
      <c r="T1968" s="1" t="s">
        <v>422</v>
      </c>
      <c r="U1968" s="1"/>
    </row>
    <row r="1969">
      <c r="A1969" s="218">
        <v>45272.0</v>
      </c>
      <c r="B1969" s="1" t="s">
        <v>61</v>
      </c>
      <c r="C1969" s="1" t="s">
        <v>268</v>
      </c>
      <c r="D1969" s="1">
        <v>9.0</v>
      </c>
      <c r="E1969" s="1">
        <v>3.0</v>
      </c>
      <c r="F1969" s="1"/>
      <c r="G1969" s="1"/>
      <c r="H1969" s="1"/>
      <c r="I1969" s="1"/>
      <c r="J1969" s="219"/>
      <c r="K1969" s="219"/>
      <c r="L1969" s="219"/>
      <c r="M1969" s="219"/>
      <c r="N1969" s="1"/>
      <c r="O1969" s="1"/>
      <c r="P1969" s="1"/>
      <c r="Q1969" s="1"/>
      <c r="R1969" s="1"/>
      <c r="S1969" s="1" t="s">
        <v>301</v>
      </c>
      <c r="T1969" s="1" t="s">
        <v>422</v>
      </c>
      <c r="U1969" s="1"/>
    </row>
    <row r="1970">
      <c r="A1970" s="218">
        <v>45272.0</v>
      </c>
      <c r="B1970" s="1" t="s">
        <v>61</v>
      </c>
      <c r="C1970" s="1" t="s">
        <v>233</v>
      </c>
      <c r="D1970" s="1">
        <v>8.0</v>
      </c>
      <c r="E1970" s="1">
        <v>4.0</v>
      </c>
      <c r="F1970" s="1"/>
      <c r="G1970" s="1"/>
      <c r="H1970" s="1"/>
      <c r="I1970" s="1"/>
      <c r="J1970" s="219"/>
      <c r="K1970" s="219"/>
      <c r="L1970" s="219"/>
      <c r="M1970" s="219"/>
      <c r="N1970" s="1"/>
      <c r="O1970" s="1"/>
      <c r="P1970" s="1"/>
      <c r="Q1970" s="1"/>
      <c r="R1970" s="1"/>
      <c r="S1970" s="1" t="s">
        <v>292</v>
      </c>
      <c r="T1970" s="1" t="s">
        <v>422</v>
      </c>
      <c r="U1970" s="1"/>
    </row>
    <row r="1971">
      <c r="A1971" s="218">
        <v>45272.0</v>
      </c>
      <c r="B1971" s="1" t="s">
        <v>61</v>
      </c>
      <c r="C1971" s="1" t="s">
        <v>269</v>
      </c>
      <c r="D1971" s="1">
        <v>4.0</v>
      </c>
      <c r="E1971" s="1">
        <v>8.0</v>
      </c>
      <c r="F1971" s="1"/>
      <c r="G1971" s="1"/>
      <c r="H1971" s="1"/>
      <c r="I1971" s="1"/>
      <c r="J1971" s="219"/>
      <c r="K1971" s="219"/>
      <c r="L1971" s="219"/>
      <c r="M1971" s="219"/>
      <c r="N1971" s="1"/>
      <c r="O1971" s="1"/>
      <c r="P1971" s="1"/>
      <c r="Q1971" s="1"/>
      <c r="R1971" s="1"/>
      <c r="S1971" s="1" t="s">
        <v>354</v>
      </c>
      <c r="T1971" s="1" t="s">
        <v>422</v>
      </c>
      <c r="U1971" s="1"/>
    </row>
    <row r="1972">
      <c r="A1972" s="218">
        <v>45272.0</v>
      </c>
      <c r="B1972" s="1" t="s">
        <v>61</v>
      </c>
      <c r="C1972" s="1" t="s">
        <v>270</v>
      </c>
      <c r="D1972" s="1">
        <v>6.0</v>
      </c>
      <c r="E1972" s="1">
        <v>6.0</v>
      </c>
      <c r="F1972" s="1"/>
      <c r="G1972" s="1"/>
      <c r="H1972" s="1"/>
      <c r="I1972" s="1"/>
      <c r="J1972" s="219"/>
      <c r="K1972" s="219"/>
      <c r="L1972" s="219"/>
      <c r="M1972" s="219"/>
      <c r="N1972" s="1"/>
      <c r="O1972" s="1"/>
      <c r="P1972" s="1"/>
      <c r="Q1972" s="1"/>
      <c r="R1972" s="1"/>
      <c r="S1972" s="1" t="s">
        <v>355</v>
      </c>
      <c r="T1972" s="1" t="s">
        <v>423</v>
      </c>
      <c r="U1972" s="1"/>
    </row>
    <row r="1973">
      <c r="A1973" s="218">
        <v>45272.0</v>
      </c>
      <c r="B1973" s="1" t="s">
        <v>61</v>
      </c>
      <c r="C1973" s="1" t="s">
        <v>271</v>
      </c>
      <c r="D1973" s="1">
        <v>4.0</v>
      </c>
      <c r="E1973" s="1">
        <v>8.0</v>
      </c>
      <c r="F1973" s="1"/>
      <c r="G1973" s="1"/>
      <c r="H1973" s="1"/>
      <c r="I1973" s="1"/>
      <c r="J1973" s="219"/>
      <c r="K1973" s="219"/>
      <c r="L1973" s="219"/>
      <c r="M1973" s="219"/>
      <c r="N1973" s="1"/>
      <c r="O1973" s="1"/>
      <c r="P1973" s="1"/>
      <c r="Q1973" s="1"/>
      <c r="R1973" s="1"/>
      <c r="S1973" s="1" t="s">
        <v>407</v>
      </c>
      <c r="T1973" s="1" t="s">
        <v>423</v>
      </c>
      <c r="U1973" s="1"/>
    </row>
    <row r="1974">
      <c r="A1974" s="218">
        <v>45272.0</v>
      </c>
      <c r="B1974" s="1" t="s">
        <v>61</v>
      </c>
      <c r="C1974" s="1" t="s">
        <v>228</v>
      </c>
      <c r="D1974" s="1">
        <v>4.0</v>
      </c>
      <c r="E1974" s="1">
        <v>8.0</v>
      </c>
      <c r="F1974" s="1"/>
      <c r="G1974" s="1"/>
      <c r="H1974" s="1"/>
      <c r="I1974" s="1"/>
      <c r="J1974" s="219"/>
      <c r="K1974" s="219"/>
      <c r="L1974" s="219"/>
      <c r="M1974" s="219"/>
      <c r="N1974" s="1"/>
      <c r="O1974" s="1"/>
      <c r="P1974" s="1"/>
      <c r="Q1974" s="1"/>
      <c r="R1974" s="1"/>
      <c r="S1974" s="1" t="s">
        <v>351</v>
      </c>
      <c r="T1974" s="1" t="s">
        <v>423</v>
      </c>
      <c r="U1974" s="1"/>
    </row>
    <row r="1975">
      <c r="A1975" s="218">
        <v>45272.0</v>
      </c>
      <c r="B1975" s="1" t="s">
        <v>61</v>
      </c>
      <c r="C1975" s="1" t="s">
        <v>272</v>
      </c>
      <c r="D1975" s="1">
        <v>4.0</v>
      </c>
      <c r="E1975" s="1">
        <v>8.0</v>
      </c>
      <c r="F1975" s="1"/>
      <c r="G1975" s="1"/>
      <c r="H1975" s="1"/>
      <c r="I1975" s="1"/>
      <c r="J1975" s="219"/>
      <c r="K1975" s="219"/>
      <c r="L1975" s="219"/>
      <c r="M1975" s="219"/>
      <c r="N1975" s="1"/>
      <c r="O1975" s="1"/>
      <c r="P1975" s="1"/>
      <c r="Q1975" s="1"/>
      <c r="R1975" s="1"/>
      <c r="S1975" s="1" t="s">
        <v>352</v>
      </c>
      <c r="T1975" s="1" t="s">
        <v>423</v>
      </c>
      <c r="U1975" s="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71" max="71" width="13.5"/>
  </cols>
  <sheetData>
    <row r="1">
      <c r="A1" s="207" t="s">
        <v>681</v>
      </c>
      <c r="B1" t="s">
        <v>242</v>
      </c>
      <c r="C1" t="s">
        <v>236</v>
      </c>
      <c r="D1" t="s">
        <v>246</v>
      </c>
      <c r="E1" t="s">
        <v>210</v>
      </c>
      <c r="F1" t="s">
        <v>118</v>
      </c>
      <c r="G1" t="s">
        <v>234</v>
      </c>
      <c r="H1" t="s">
        <v>139</v>
      </c>
      <c r="I1" t="s">
        <v>253</v>
      </c>
      <c r="J1" t="s">
        <v>81</v>
      </c>
      <c r="K1" t="s">
        <v>182</v>
      </c>
      <c r="L1" t="s">
        <v>207</v>
      </c>
      <c r="M1" t="s">
        <v>257</v>
      </c>
      <c r="N1" t="s">
        <v>248</v>
      </c>
      <c r="O1" t="s">
        <v>191</v>
      </c>
      <c r="P1" t="s">
        <v>187</v>
      </c>
      <c r="Q1" t="s">
        <v>224</v>
      </c>
      <c r="R1" t="s">
        <v>229</v>
      </c>
      <c r="S1" t="s">
        <v>164</v>
      </c>
      <c r="T1" t="s">
        <v>79</v>
      </c>
      <c r="U1" t="s">
        <v>268</v>
      </c>
      <c r="V1" t="s">
        <v>216</v>
      </c>
      <c r="W1" t="s">
        <v>256</v>
      </c>
      <c r="X1" t="s">
        <v>130</v>
      </c>
      <c r="Y1" t="s">
        <v>275</v>
      </c>
      <c r="Z1" t="s">
        <v>113</v>
      </c>
      <c r="AA1" t="s">
        <v>208</v>
      </c>
      <c r="AB1" t="s">
        <v>230</v>
      </c>
      <c r="AC1" t="s">
        <v>124</v>
      </c>
      <c r="AD1" t="s">
        <v>192</v>
      </c>
      <c r="AE1" t="s">
        <v>74</v>
      </c>
      <c r="AF1" t="s">
        <v>179</v>
      </c>
      <c r="AG1" t="s">
        <v>267</v>
      </c>
      <c r="AH1" t="s">
        <v>223</v>
      </c>
      <c r="AI1" t="s">
        <v>239</v>
      </c>
      <c r="AJ1" t="s">
        <v>188</v>
      </c>
      <c r="AK1" t="s">
        <v>276</v>
      </c>
      <c r="AL1" t="s">
        <v>186</v>
      </c>
      <c r="AM1" t="s">
        <v>195</v>
      </c>
      <c r="AN1" t="s">
        <v>266</v>
      </c>
      <c r="AO1" t="s">
        <v>244</v>
      </c>
      <c r="AP1" t="s">
        <v>209</v>
      </c>
      <c r="AQ1" t="s">
        <v>178</v>
      </c>
      <c r="AR1" t="s">
        <v>116</v>
      </c>
      <c r="AS1" t="s">
        <v>80</v>
      </c>
      <c r="AT1" t="s">
        <v>261</v>
      </c>
      <c r="AU1" t="s">
        <v>200</v>
      </c>
      <c r="AV1" t="s">
        <v>135</v>
      </c>
      <c r="AW1" t="s">
        <v>222</v>
      </c>
      <c r="AX1" t="s">
        <v>185</v>
      </c>
      <c r="AY1" t="s">
        <v>255</v>
      </c>
      <c r="AZ1" t="s">
        <v>682</v>
      </c>
      <c r="BA1" t="s">
        <v>133</v>
      </c>
      <c r="BB1" t="s">
        <v>250</v>
      </c>
      <c r="BC1" t="s">
        <v>111</v>
      </c>
      <c r="BD1" t="s">
        <v>228</v>
      </c>
      <c r="BE1" t="s">
        <v>221</v>
      </c>
      <c r="BF1" t="s">
        <v>270</v>
      </c>
      <c r="BG1" t="s">
        <v>263</v>
      </c>
      <c r="BH1" s="23" t="s">
        <v>683</v>
      </c>
      <c r="BI1" t="s">
        <v>252</v>
      </c>
      <c r="BJ1" t="s">
        <v>194</v>
      </c>
      <c r="BK1" t="s">
        <v>198</v>
      </c>
      <c r="BL1" t="s">
        <v>215</v>
      </c>
      <c r="BM1" t="s">
        <v>271</v>
      </c>
      <c r="BN1" t="s">
        <v>189</v>
      </c>
      <c r="BO1" t="s">
        <v>177</v>
      </c>
      <c r="BP1" t="s">
        <v>226</v>
      </c>
      <c r="BQ1" t="s">
        <v>199</v>
      </c>
      <c r="BR1" t="s">
        <v>265</v>
      </c>
      <c r="BS1" t="s">
        <v>684</v>
      </c>
      <c r="BT1" t="s">
        <v>75</v>
      </c>
      <c r="BU1" s="23" t="s">
        <v>685</v>
      </c>
      <c r="BV1" t="s">
        <v>117</v>
      </c>
      <c r="BW1" t="s">
        <v>214</v>
      </c>
      <c r="BX1" t="s">
        <v>120</v>
      </c>
      <c r="BY1" t="s">
        <v>272</v>
      </c>
      <c r="BZ1" t="s">
        <v>243</v>
      </c>
      <c r="CA1" t="s">
        <v>227</v>
      </c>
      <c r="CB1" t="s">
        <v>105</v>
      </c>
      <c r="CC1" t="s">
        <v>241</v>
      </c>
      <c r="CD1" t="s">
        <v>686</v>
      </c>
      <c r="CE1" t="s">
        <v>258</v>
      </c>
      <c r="CF1" t="s">
        <v>88</v>
      </c>
      <c r="CG1" t="s">
        <v>190</v>
      </c>
      <c r="CH1" t="s">
        <v>687</v>
      </c>
      <c r="CI1" t="s">
        <v>202</v>
      </c>
      <c r="CJ1" t="s">
        <v>273</v>
      </c>
      <c r="CK1" t="s">
        <v>183</v>
      </c>
      <c r="CL1" t="s">
        <v>217</v>
      </c>
      <c r="CM1" t="s">
        <v>174</v>
      </c>
      <c r="CN1" t="s">
        <v>251</v>
      </c>
      <c r="CO1" t="s">
        <v>269</v>
      </c>
      <c r="CP1" t="s">
        <v>38</v>
      </c>
      <c r="CQ1" t="s">
        <v>247</v>
      </c>
      <c r="CR1" t="s">
        <v>193</v>
      </c>
      <c r="CS1" t="s">
        <v>109</v>
      </c>
      <c r="CT1" t="s">
        <v>204</v>
      </c>
      <c r="CU1" t="s">
        <v>231</v>
      </c>
      <c r="CV1" t="s">
        <v>180</v>
      </c>
      <c r="CW1" t="s">
        <v>259</v>
      </c>
      <c r="CX1" t="s">
        <v>137</v>
      </c>
      <c r="CY1" t="s">
        <v>213</v>
      </c>
      <c r="CZ1" t="s">
        <v>112</v>
      </c>
      <c r="DA1" t="s">
        <v>127</v>
      </c>
      <c r="DB1" t="s">
        <v>63</v>
      </c>
      <c r="DC1" t="s">
        <v>196</v>
      </c>
      <c r="DD1" t="s">
        <v>219</v>
      </c>
      <c r="DE1" t="s">
        <v>249</v>
      </c>
      <c r="DF1" t="s">
        <v>237</v>
      </c>
      <c r="DG1" t="s">
        <v>225</v>
      </c>
      <c r="DH1" t="s">
        <v>184</v>
      </c>
      <c r="DI1" t="s">
        <v>233</v>
      </c>
      <c r="DJ1" s="23" t="s">
        <v>688</v>
      </c>
      <c r="DK1" t="s">
        <v>277</v>
      </c>
      <c r="DL1" t="s">
        <v>71</v>
      </c>
      <c r="DM1" t="s">
        <v>254</v>
      </c>
      <c r="DN1" t="s">
        <v>245</v>
      </c>
      <c r="DO1" t="s">
        <v>232</v>
      </c>
      <c r="DP1" t="s">
        <v>689</v>
      </c>
      <c r="DQ1" t="s">
        <v>218</v>
      </c>
      <c r="DR1" t="s">
        <v>205</v>
      </c>
      <c r="DS1" t="s">
        <v>126</v>
      </c>
      <c r="DT1" t="s">
        <v>181</v>
      </c>
      <c r="DU1" t="s">
        <v>206</v>
      </c>
      <c r="DV1" t="s">
        <v>123</v>
      </c>
      <c r="DW1" t="s">
        <v>119</v>
      </c>
      <c r="DX1" t="s">
        <v>102</v>
      </c>
      <c r="DY1" t="s">
        <v>201</v>
      </c>
      <c r="DZ1" t="s">
        <v>128</v>
      </c>
      <c r="EA1" s="23" t="s">
        <v>819</v>
      </c>
    </row>
    <row r="2">
      <c r="A2" s="208" t="s">
        <v>691</v>
      </c>
      <c r="B2" t="s">
        <v>692</v>
      </c>
      <c r="C2" t="s">
        <v>693</v>
      </c>
      <c r="D2" t="s">
        <v>694</v>
      </c>
      <c r="E2" t="s">
        <v>695</v>
      </c>
      <c r="F2" t="s">
        <v>696</v>
      </c>
      <c r="G2" t="s">
        <v>697</v>
      </c>
      <c r="H2" t="s">
        <v>139</v>
      </c>
      <c r="I2" t="s">
        <v>698</v>
      </c>
      <c r="J2" t="s">
        <v>699</v>
      </c>
      <c r="K2" t="s">
        <v>700</v>
      </c>
      <c r="L2" t="s">
        <v>701</v>
      </c>
      <c r="M2" t="s">
        <v>257</v>
      </c>
      <c r="N2" t="s">
        <v>702</v>
      </c>
      <c r="O2" t="s">
        <v>703</v>
      </c>
      <c r="P2" t="s">
        <v>704</v>
      </c>
      <c r="Q2" t="s">
        <v>705</v>
      </c>
      <c r="R2" t="s">
        <v>706</v>
      </c>
      <c r="S2" t="s">
        <v>707</v>
      </c>
      <c r="T2" s="23" t="s">
        <v>708</v>
      </c>
      <c r="U2" t="s">
        <v>1025</v>
      </c>
      <c r="V2" t="s">
        <v>710</v>
      </c>
      <c r="W2" t="s">
        <v>711</v>
      </c>
      <c r="X2" t="s">
        <v>712</v>
      </c>
      <c r="Y2" t="s">
        <v>713</v>
      </c>
      <c r="Z2" t="s">
        <v>714</v>
      </c>
      <c r="AA2" t="s">
        <v>715</v>
      </c>
      <c r="AB2" t="s">
        <v>716</v>
      </c>
      <c r="AC2" t="s">
        <v>717</v>
      </c>
      <c r="AD2" t="s">
        <v>718</v>
      </c>
      <c r="AE2" t="s">
        <v>719</v>
      </c>
      <c r="AF2" s="23" t="s">
        <v>720</v>
      </c>
      <c r="AG2" t="s">
        <v>721</v>
      </c>
      <c r="AH2" t="s">
        <v>223</v>
      </c>
      <c r="AI2" t="s">
        <v>722</v>
      </c>
      <c r="AJ2" t="s">
        <v>723</v>
      </c>
      <c r="AK2" t="s">
        <v>724</v>
      </c>
      <c r="AL2" t="s">
        <v>725</v>
      </c>
      <c r="AM2" s="23" t="s">
        <v>726</v>
      </c>
      <c r="AN2" t="s">
        <v>727</v>
      </c>
      <c r="AO2" t="s">
        <v>728</v>
      </c>
      <c r="AP2" t="s">
        <v>729</v>
      </c>
      <c r="AQ2" t="s">
        <v>730</v>
      </c>
      <c r="AR2" t="s">
        <v>731</v>
      </c>
      <c r="AS2" t="s">
        <v>732</v>
      </c>
      <c r="AT2" s="23" t="s">
        <v>733</v>
      </c>
      <c r="AU2" t="s">
        <v>734</v>
      </c>
      <c r="AV2" t="s">
        <v>735</v>
      </c>
      <c r="AW2" t="s">
        <v>736</v>
      </c>
      <c r="AX2" t="s">
        <v>737</v>
      </c>
      <c r="AY2" s="23" t="s">
        <v>1027</v>
      </c>
      <c r="AZ2" t="s">
        <v>739</v>
      </c>
      <c r="BA2" t="s">
        <v>740</v>
      </c>
      <c r="BB2" s="23" t="s">
        <v>741</v>
      </c>
      <c r="BC2" t="s">
        <v>742</v>
      </c>
      <c r="BD2" t="s">
        <v>743</v>
      </c>
      <c r="BE2" t="s">
        <v>744</v>
      </c>
      <c r="BF2" t="s">
        <v>745</v>
      </c>
      <c r="BG2" t="s">
        <v>746</v>
      </c>
      <c r="BH2" t="s">
        <v>747</v>
      </c>
      <c r="BI2" s="23" t="s">
        <v>748</v>
      </c>
      <c r="BJ2" t="s">
        <v>194</v>
      </c>
      <c r="BK2" t="s">
        <v>198</v>
      </c>
      <c r="BL2" t="s">
        <v>749</v>
      </c>
      <c r="BM2" t="s">
        <v>271</v>
      </c>
      <c r="BN2" s="23" t="s">
        <v>750</v>
      </c>
      <c r="BO2" t="s">
        <v>751</v>
      </c>
      <c r="BP2" t="s">
        <v>752</v>
      </c>
      <c r="BQ2" t="s">
        <v>753</v>
      </c>
      <c r="BR2" t="s">
        <v>754</v>
      </c>
      <c r="BS2" t="s">
        <v>238</v>
      </c>
      <c r="BT2" t="s">
        <v>755</v>
      </c>
      <c r="BU2" s="23" t="s">
        <v>756</v>
      </c>
      <c r="BV2" t="s">
        <v>757</v>
      </c>
      <c r="BW2" t="s">
        <v>758</v>
      </c>
      <c r="BX2" t="s">
        <v>759</v>
      </c>
      <c r="BY2" t="s">
        <v>760</v>
      </c>
      <c r="BZ2" t="s">
        <v>761</v>
      </c>
      <c r="CA2" t="s">
        <v>1029</v>
      </c>
      <c r="CB2" t="s">
        <v>763</v>
      </c>
      <c r="CC2" t="s">
        <v>764</v>
      </c>
      <c r="CD2" t="s">
        <v>765</v>
      </c>
      <c r="CE2" t="s">
        <v>766</v>
      </c>
      <c r="CF2" t="s">
        <v>767</v>
      </c>
      <c r="CG2" t="s">
        <v>768</v>
      </c>
      <c r="CH2" t="s">
        <v>769</v>
      </c>
      <c r="CI2" t="s">
        <v>202</v>
      </c>
      <c r="CJ2" t="s">
        <v>770</v>
      </c>
      <c r="CK2" t="s">
        <v>771</v>
      </c>
      <c r="CL2" t="s">
        <v>772</v>
      </c>
      <c r="CM2" t="s">
        <v>773</v>
      </c>
      <c r="CN2" t="s">
        <v>774</v>
      </c>
      <c r="CO2" t="s">
        <v>775</v>
      </c>
      <c r="CP2" t="s">
        <v>776</v>
      </c>
      <c r="CQ2" t="s">
        <v>777</v>
      </c>
      <c r="CR2" t="s">
        <v>778</v>
      </c>
      <c r="CS2" t="s">
        <v>109</v>
      </c>
      <c r="CT2" t="s">
        <v>204</v>
      </c>
      <c r="CU2" t="s">
        <v>779</v>
      </c>
      <c r="CV2" t="s">
        <v>780</v>
      </c>
      <c r="CW2" t="s">
        <v>781</v>
      </c>
      <c r="CX2" t="s">
        <v>782</v>
      </c>
      <c r="CY2" t="s">
        <v>783</v>
      </c>
      <c r="CZ2" t="s">
        <v>784</v>
      </c>
      <c r="DA2" t="s">
        <v>785</v>
      </c>
      <c r="DB2" t="s">
        <v>786</v>
      </c>
      <c r="DC2" t="s">
        <v>787</v>
      </c>
      <c r="DD2" t="s">
        <v>219</v>
      </c>
      <c r="DE2" t="s">
        <v>788</v>
      </c>
      <c r="DF2" t="s">
        <v>789</v>
      </c>
      <c r="DG2" t="s">
        <v>790</v>
      </c>
      <c r="DH2" t="s">
        <v>791</v>
      </c>
      <c r="DI2" t="s">
        <v>792</v>
      </c>
      <c r="DJ2" s="23" t="s">
        <v>793</v>
      </c>
      <c r="DK2" t="s">
        <v>794</v>
      </c>
      <c r="DL2" t="s">
        <v>795</v>
      </c>
      <c r="DM2" s="23" t="s">
        <v>796</v>
      </c>
      <c r="DN2" t="s">
        <v>797</v>
      </c>
      <c r="DO2" t="s">
        <v>798</v>
      </c>
      <c r="DP2" s="23" t="s">
        <v>799</v>
      </c>
      <c r="DQ2" t="s">
        <v>800</v>
      </c>
      <c r="DR2" t="s">
        <v>801</v>
      </c>
      <c r="DS2" t="s">
        <v>802</v>
      </c>
      <c r="DT2" t="s">
        <v>803</v>
      </c>
      <c r="DU2" t="s">
        <v>804</v>
      </c>
      <c r="DV2" t="s">
        <v>805</v>
      </c>
      <c r="DW2" t="s">
        <v>119</v>
      </c>
      <c r="DX2" t="s">
        <v>806</v>
      </c>
      <c r="DY2" t="s">
        <v>807</v>
      </c>
      <c r="DZ2" t="s">
        <v>808</v>
      </c>
      <c r="EA2" t="s">
        <v>809</v>
      </c>
    </row>
    <row r="3">
      <c r="A3" s="208" t="s">
        <v>813</v>
      </c>
      <c r="B3" t="s">
        <v>242</v>
      </c>
      <c r="C3" t="s">
        <v>1032</v>
      </c>
      <c r="D3" t="s">
        <v>246</v>
      </c>
      <c r="E3" t="s">
        <v>210</v>
      </c>
      <c r="F3" t="s">
        <v>118</v>
      </c>
      <c r="G3" t="s">
        <v>234</v>
      </c>
      <c r="H3" t="s">
        <v>1034</v>
      </c>
      <c r="I3" t="s">
        <v>253</v>
      </c>
      <c r="J3" t="s">
        <v>81</v>
      </c>
      <c r="K3" t="s">
        <v>182</v>
      </c>
      <c r="L3" t="s">
        <v>207</v>
      </c>
      <c r="M3" t="s">
        <v>1035</v>
      </c>
      <c r="N3" t="s">
        <v>248</v>
      </c>
      <c r="O3" t="s">
        <v>191</v>
      </c>
      <c r="P3" t="s">
        <v>187</v>
      </c>
      <c r="Q3" t="s">
        <v>224</v>
      </c>
      <c r="R3" t="s">
        <v>229</v>
      </c>
      <c r="S3" t="s">
        <v>164</v>
      </c>
      <c r="T3" s="23" t="s">
        <v>1036</v>
      </c>
      <c r="U3" t="s">
        <v>1037</v>
      </c>
      <c r="V3" t="s">
        <v>216</v>
      </c>
      <c r="W3" t="s">
        <v>256</v>
      </c>
      <c r="X3" t="s">
        <v>130</v>
      </c>
      <c r="Y3" t="s">
        <v>275</v>
      </c>
      <c r="Z3" t="s">
        <v>113</v>
      </c>
      <c r="AA3" t="s">
        <v>208</v>
      </c>
      <c r="AB3" t="s">
        <v>230</v>
      </c>
      <c r="AC3" t="s">
        <v>124</v>
      </c>
      <c r="AD3" t="s">
        <v>192</v>
      </c>
      <c r="AE3" t="s">
        <v>74</v>
      </c>
      <c r="AF3" t="s">
        <v>179</v>
      </c>
      <c r="AG3" t="s">
        <v>267</v>
      </c>
      <c r="AH3" t="s">
        <v>1039</v>
      </c>
      <c r="AI3" t="s">
        <v>239</v>
      </c>
      <c r="AJ3" t="s">
        <v>188</v>
      </c>
      <c r="AK3" t="s">
        <v>276</v>
      </c>
      <c r="AL3" t="s">
        <v>186</v>
      </c>
      <c r="AM3" t="s">
        <v>195</v>
      </c>
      <c r="AN3" t="s">
        <v>266</v>
      </c>
      <c r="AO3" t="s">
        <v>244</v>
      </c>
      <c r="AP3" t="s">
        <v>209</v>
      </c>
      <c r="AQ3" t="s">
        <v>178</v>
      </c>
      <c r="AR3" t="s">
        <v>116</v>
      </c>
      <c r="AS3" t="s">
        <v>80</v>
      </c>
      <c r="AT3" t="s">
        <v>261</v>
      </c>
      <c r="AU3" t="s">
        <v>200</v>
      </c>
      <c r="AV3" t="s">
        <v>135</v>
      </c>
      <c r="AW3" t="s">
        <v>222</v>
      </c>
      <c r="AX3" t="s">
        <v>185</v>
      </c>
      <c r="AY3" t="s">
        <v>255</v>
      </c>
      <c r="AZ3" t="s">
        <v>220</v>
      </c>
      <c r="BA3" t="s">
        <v>133</v>
      </c>
      <c r="BB3" t="s">
        <v>250</v>
      </c>
      <c r="BC3" t="s">
        <v>111</v>
      </c>
      <c r="BD3" t="s">
        <v>1040</v>
      </c>
      <c r="BE3" t="s">
        <v>221</v>
      </c>
      <c r="BF3" t="s">
        <v>270</v>
      </c>
      <c r="BG3" t="s">
        <v>263</v>
      </c>
      <c r="BH3" t="s">
        <v>683</v>
      </c>
      <c r="BI3" t="s">
        <v>1041</v>
      </c>
      <c r="BJ3" t="s">
        <v>194</v>
      </c>
      <c r="BK3" t="s">
        <v>1042</v>
      </c>
      <c r="BL3" t="s">
        <v>215</v>
      </c>
      <c r="BM3" t="s">
        <v>271</v>
      </c>
      <c r="BN3" t="s">
        <v>189</v>
      </c>
      <c r="BO3" t="s">
        <v>177</v>
      </c>
      <c r="BP3" t="s">
        <v>1043</v>
      </c>
      <c r="BQ3" t="s">
        <v>1044</v>
      </c>
      <c r="BR3" t="s">
        <v>265</v>
      </c>
      <c r="BS3" t="s">
        <v>684</v>
      </c>
      <c r="BT3" t="s">
        <v>75</v>
      </c>
      <c r="BU3" s="23" t="s">
        <v>685</v>
      </c>
      <c r="BV3" t="s">
        <v>117</v>
      </c>
      <c r="BW3" t="s">
        <v>214</v>
      </c>
      <c r="BX3" t="s">
        <v>120</v>
      </c>
      <c r="BY3" t="s">
        <v>272</v>
      </c>
      <c r="BZ3" t="s">
        <v>243</v>
      </c>
      <c r="CA3" t="s">
        <v>227</v>
      </c>
      <c r="CB3" t="s">
        <v>105</v>
      </c>
      <c r="CC3" t="s">
        <v>241</v>
      </c>
      <c r="CD3" t="s">
        <v>173</v>
      </c>
      <c r="CE3" t="s">
        <v>258</v>
      </c>
      <c r="CF3" t="s">
        <v>88</v>
      </c>
      <c r="CG3" t="s">
        <v>190</v>
      </c>
      <c r="CH3" t="s">
        <v>687</v>
      </c>
      <c r="CI3" t="s">
        <v>202</v>
      </c>
      <c r="CJ3" t="s">
        <v>273</v>
      </c>
      <c r="CK3" t="s">
        <v>183</v>
      </c>
      <c r="CL3" t="s">
        <v>217</v>
      </c>
      <c r="CM3" t="s">
        <v>174</v>
      </c>
      <c r="CN3" t="s">
        <v>251</v>
      </c>
      <c r="CO3" t="s">
        <v>269</v>
      </c>
      <c r="CP3" t="s">
        <v>38</v>
      </c>
      <c r="CQ3" t="s">
        <v>247</v>
      </c>
      <c r="CR3" t="s">
        <v>193</v>
      </c>
      <c r="CS3" t="s">
        <v>109</v>
      </c>
      <c r="CT3" t="s">
        <v>1046</v>
      </c>
      <c r="CU3" t="s">
        <v>231</v>
      </c>
      <c r="CV3" t="s">
        <v>180</v>
      </c>
      <c r="CW3" t="s">
        <v>259</v>
      </c>
      <c r="CX3" t="s">
        <v>137</v>
      </c>
      <c r="CY3" t="s">
        <v>213</v>
      </c>
      <c r="CZ3" t="s">
        <v>112</v>
      </c>
      <c r="DA3" t="s">
        <v>127</v>
      </c>
      <c r="DB3" t="s">
        <v>63</v>
      </c>
      <c r="DC3" t="s">
        <v>196</v>
      </c>
      <c r="DD3" t="s">
        <v>219</v>
      </c>
      <c r="DE3" t="s">
        <v>249</v>
      </c>
      <c r="DF3" t="s">
        <v>237</v>
      </c>
      <c r="DG3" t="s">
        <v>1048</v>
      </c>
      <c r="DH3" t="s">
        <v>184</v>
      </c>
      <c r="DI3" t="s">
        <v>233</v>
      </c>
      <c r="DJ3" t="s">
        <v>688</v>
      </c>
      <c r="DK3" t="s">
        <v>277</v>
      </c>
      <c r="DL3" t="s">
        <v>71</v>
      </c>
      <c r="DM3" t="s">
        <v>254</v>
      </c>
      <c r="DN3" t="s">
        <v>245</v>
      </c>
      <c r="DO3" t="s">
        <v>232</v>
      </c>
      <c r="DP3" s="23" t="s">
        <v>1049</v>
      </c>
      <c r="DQ3" t="s">
        <v>1050</v>
      </c>
      <c r="DR3" t="s">
        <v>205</v>
      </c>
      <c r="DS3" t="s">
        <v>126</v>
      </c>
      <c r="DT3" t="s">
        <v>181</v>
      </c>
      <c r="DU3" t="s">
        <v>206</v>
      </c>
      <c r="DV3" t="s">
        <v>123</v>
      </c>
      <c r="DW3" t="s">
        <v>119</v>
      </c>
      <c r="DX3" t="s">
        <v>102</v>
      </c>
      <c r="DY3" t="s">
        <v>201</v>
      </c>
      <c r="DZ3" t="s">
        <v>128</v>
      </c>
      <c r="EA3" s="23" t="s">
        <v>690</v>
      </c>
    </row>
    <row r="4">
      <c r="A4" s="207" t="s">
        <v>814</v>
      </c>
      <c r="B4" t="s">
        <v>242</v>
      </c>
      <c r="C4" t="s">
        <v>236</v>
      </c>
      <c r="D4" t="s">
        <v>246</v>
      </c>
      <c r="E4" t="s">
        <v>210</v>
      </c>
      <c r="F4" t="s">
        <v>118</v>
      </c>
      <c r="G4" t="s">
        <v>234</v>
      </c>
      <c r="H4" t="s">
        <v>139</v>
      </c>
      <c r="I4" t="s">
        <v>253</v>
      </c>
      <c r="J4" t="s">
        <v>81</v>
      </c>
      <c r="K4" t="s">
        <v>182</v>
      </c>
      <c r="L4" t="s">
        <v>207</v>
      </c>
      <c r="M4" t="s">
        <v>257</v>
      </c>
      <c r="N4" t="s">
        <v>248</v>
      </c>
      <c r="O4" t="s">
        <v>191</v>
      </c>
      <c r="P4" t="s">
        <v>187</v>
      </c>
      <c r="Q4" t="s">
        <v>224</v>
      </c>
      <c r="R4" t="s">
        <v>229</v>
      </c>
      <c r="S4" t="s">
        <v>164</v>
      </c>
      <c r="T4" t="s">
        <v>79</v>
      </c>
      <c r="U4" t="s">
        <v>268</v>
      </c>
      <c r="V4" t="s">
        <v>216</v>
      </c>
      <c r="W4" t="s">
        <v>256</v>
      </c>
      <c r="X4" t="s">
        <v>130</v>
      </c>
      <c r="Y4" t="s">
        <v>275</v>
      </c>
      <c r="Z4" t="s">
        <v>113</v>
      </c>
      <c r="AA4" t="s">
        <v>208</v>
      </c>
      <c r="AB4" t="s">
        <v>230</v>
      </c>
      <c r="AC4" t="s">
        <v>124</v>
      </c>
      <c r="AD4" t="s">
        <v>192</v>
      </c>
      <c r="AE4" t="s">
        <v>74</v>
      </c>
      <c r="AF4" t="s">
        <v>179</v>
      </c>
      <c r="AG4" t="s">
        <v>267</v>
      </c>
      <c r="AH4" t="s">
        <v>223</v>
      </c>
      <c r="AI4" t="s">
        <v>239</v>
      </c>
      <c r="AJ4" t="s">
        <v>188</v>
      </c>
      <c r="AK4" t="s">
        <v>276</v>
      </c>
      <c r="AL4" t="s">
        <v>186</v>
      </c>
      <c r="AM4" t="s">
        <v>195</v>
      </c>
      <c r="AN4" t="s">
        <v>266</v>
      </c>
      <c r="AO4" t="s">
        <v>244</v>
      </c>
      <c r="AP4" t="s">
        <v>209</v>
      </c>
      <c r="AQ4" t="s">
        <v>178</v>
      </c>
      <c r="AR4" t="s">
        <v>116</v>
      </c>
      <c r="AS4" t="s">
        <v>80</v>
      </c>
      <c r="AT4" t="s">
        <v>261</v>
      </c>
      <c r="AU4" t="s">
        <v>200</v>
      </c>
      <c r="AV4" t="s">
        <v>135</v>
      </c>
      <c r="AW4" t="s">
        <v>222</v>
      </c>
      <c r="AX4" t="s">
        <v>185</v>
      </c>
      <c r="AY4" t="s">
        <v>255</v>
      </c>
      <c r="AZ4" t="s">
        <v>682</v>
      </c>
      <c r="BA4" t="s">
        <v>133</v>
      </c>
      <c r="BB4" t="s">
        <v>250</v>
      </c>
      <c r="BC4" t="s">
        <v>111</v>
      </c>
      <c r="BD4" s="23" t="s">
        <v>743</v>
      </c>
      <c r="BE4" t="s">
        <v>221</v>
      </c>
      <c r="BF4" t="s">
        <v>270</v>
      </c>
      <c r="BG4" t="s">
        <v>263</v>
      </c>
      <c r="BH4" t="s">
        <v>683</v>
      </c>
      <c r="BI4" t="s">
        <v>252</v>
      </c>
      <c r="BJ4" t="s">
        <v>194</v>
      </c>
      <c r="BK4" t="s">
        <v>198</v>
      </c>
      <c r="BL4" t="s">
        <v>215</v>
      </c>
      <c r="BM4" t="s">
        <v>271</v>
      </c>
      <c r="BN4" t="s">
        <v>189</v>
      </c>
      <c r="BO4" t="s">
        <v>177</v>
      </c>
      <c r="BP4" t="s">
        <v>226</v>
      </c>
      <c r="BQ4" t="s">
        <v>199</v>
      </c>
      <c r="BR4" t="s">
        <v>265</v>
      </c>
      <c r="BS4" t="s">
        <v>684</v>
      </c>
      <c r="BT4" t="s">
        <v>75</v>
      </c>
      <c r="BU4" t="s">
        <v>815</v>
      </c>
      <c r="BV4" t="s">
        <v>117</v>
      </c>
      <c r="BW4" t="s">
        <v>214</v>
      </c>
      <c r="BX4" t="s">
        <v>120</v>
      </c>
      <c r="BY4" t="s">
        <v>272</v>
      </c>
      <c r="BZ4" t="s">
        <v>243</v>
      </c>
      <c r="CA4" t="s">
        <v>227</v>
      </c>
      <c r="CB4" t="s">
        <v>105</v>
      </c>
      <c r="CC4" t="s">
        <v>241</v>
      </c>
      <c r="CD4" t="s">
        <v>173</v>
      </c>
      <c r="CE4" t="s">
        <v>258</v>
      </c>
      <c r="CF4" t="s">
        <v>88</v>
      </c>
      <c r="CG4" t="s">
        <v>190</v>
      </c>
      <c r="CH4" t="s">
        <v>687</v>
      </c>
      <c r="CI4" t="s">
        <v>202</v>
      </c>
      <c r="CJ4" t="s">
        <v>273</v>
      </c>
      <c r="CK4" t="s">
        <v>183</v>
      </c>
      <c r="CL4" t="s">
        <v>217</v>
      </c>
      <c r="CM4" t="s">
        <v>174</v>
      </c>
      <c r="CN4" t="s">
        <v>251</v>
      </c>
      <c r="CO4" t="s">
        <v>269</v>
      </c>
      <c r="CP4" t="s">
        <v>38</v>
      </c>
      <c r="CQ4" t="s">
        <v>247</v>
      </c>
      <c r="CR4" t="s">
        <v>193</v>
      </c>
      <c r="CS4" t="s">
        <v>109</v>
      </c>
      <c r="CT4" t="s">
        <v>204</v>
      </c>
      <c r="CU4" t="s">
        <v>231</v>
      </c>
      <c r="CV4" t="s">
        <v>180</v>
      </c>
      <c r="CW4" t="s">
        <v>259</v>
      </c>
      <c r="CX4" t="s">
        <v>137</v>
      </c>
      <c r="CY4" t="s">
        <v>213</v>
      </c>
      <c r="CZ4" t="s">
        <v>112</v>
      </c>
      <c r="DA4" t="s">
        <v>127</v>
      </c>
      <c r="DB4" t="s">
        <v>63</v>
      </c>
      <c r="DC4" t="s">
        <v>196</v>
      </c>
      <c r="DD4" t="s">
        <v>219</v>
      </c>
      <c r="DE4" t="s">
        <v>249</v>
      </c>
      <c r="DF4" t="s">
        <v>237</v>
      </c>
      <c r="DG4" t="s">
        <v>225</v>
      </c>
      <c r="DH4" t="s">
        <v>184</v>
      </c>
      <c r="DI4" t="s">
        <v>233</v>
      </c>
      <c r="DJ4" t="s">
        <v>264</v>
      </c>
      <c r="DK4" t="s">
        <v>277</v>
      </c>
      <c r="DL4" t="s">
        <v>71</v>
      </c>
      <c r="DM4" t="s">
        <v>254</v>
      </c>
      <c r="DN4" t="s">
        <v>245</v>
      </c>
      <c r="DO4" t="s">
        <v>232</v>
      </c>
      <c r="DP4" s="23" t="s">
        <v>817</v>
      </c>
      <c r="DQ4" t="s">
        <v>818</v>
      </c>
      <c r="DR4" t="s">
        <v>205</v>
      </c>
      <c r="DS4" t="s">
        <v>126</v>
      </c>
      <c r="DT4" t="s">
        <v>181</v>
      </c>
      <c r="DU4" t="s">
        <v>206</v>
      </c>
      <c r="DV4" t="s">
        <v>123</v>
      </c>
      <c r="DW4" t="s">
        <v>119</v>
      </c>
      <c r="DX4" t="s">
        <v>102</v>
      </c>
      <c r="DY4" t="s">
        <v>201</v>
      </c>
      <c r="DZ4" t="s">
        <v>128</v>
      </c>
      <c r="EA4" s="23" t="s">
        <v>819</v>
      </c>
    </row>
    <row r="5">
      <c r="A5" s="207" t="s">
        <v>820</v>
      </c>
      <c r="B5" t="s">
        <v>242</v>
      </c>
      <c r="C5" t="s">
        <v>236</v>
      </c>
      <c r="D5" t="s">
        <v>246</v>
      </c>
      <c r="E5" t="s">
        <v>210</v>
      </c>
      <c r="F5" t="s">
        <v>118</v>
      </c>
      <c r="G5" t="s">
        <v>234</v>
      </c>
      <c r="H5" t="s">
        <v>139</v>
      </c>
      <c r="I5" t="s">
        <v>253</v>
      </c>
      <c r="J5" t="s">
        <v>81</v>
      </c>
      <c r="K5" t="s">
        <v>182</v>
      </c>
      <c r="L5" t="s">
        <v>207</v>
      </c>
      <c r="M5" t="s">
        <v>257</v>
      </c>
      <c r="N5" t="s">
        <v>248</v>
      </c>
      <c r="O5" t="s">
        <v>191</v>
      </c>
      <c r="P5" t="s">
        <v>187</v>
      </c>
      <c r="Q5" t="s">
        <v>224</v>
      </c>
      <c r="R5" t="s">
        <v>229</v>
      </c>
      <c r="S5" t="s">
        <v>164</v>
      </c>
      <c r="T5" t="s">
        <v>79</v>
      </c>
      <c r="U5" t="s">
        <v>268</v>
      </c>
      <c r="V5" t="s">
        <v>216</v>
      </c>
      <c r="W5" t="s">
        <v>256</v>
      </c>
      <c r="X5" t="s">
        <v>130</v>
      </c>
      <c r="Y5" t="s">
        <v>275</v>
      </c>
      <c r="Z5" t="s">
        <v>113</v>
      </c>
      <c r="AA5" t="s">
        <v>208</v>
      </c>
      <c r="AB5" t="s">
        <v>230</v>
      </c>
      <c r="AC5" t="s">
        <v>124</v>
      </c>
      <c r="AD5" t="s">
        <v>192</v>
      </c>
      <c r="AE5" t="s">
        <v>74</v>
      </c>
      <c r="AF5" t="s">
        <v>179</v>
      </c>
      <c r="AG5" t="s">
        <v>267</v>
      </c>
      <c r="AH5" t="s">
        <v>223</v>
      </c>
      <c r="AI5" t="s">
        <v>239</v>
      </c>
      <c r="AJ5" t="s">
        <v>188</v>
      </c>
      <c r="AK5" t="s">
        <v>276</v>
      </c>
      <c r="AL5" t="s">
        <v>186</v>
      </c>
      <c r="AM5" t="s">
        <v>195</v>
      </c>
      <c r="AN5" t="s">
        <v>266</v>
      </c>
      <c r="AO5" t="s">
        <v>244</v>
      </c>
      <c r="AP5" t="s">
        <v>209</v>
      </c>
      <c r="AQ5" t="s">
        <v>178</v>
      </c>
      <c r="AR5" t="s">
        <v>116</v>
      </c>
      <c r="AS5" t="s">
        <v>80</v>
      </c>
      <c r="AT5" t="s">
        <v>261</v>
      </c>
      <c r="AU5" t="s">
        <v>200</v>
      </c>
      <c r="AV5" t="s">
        <v>135</v>
      </c>
      <c r="AW5" t="s">
        <v>222</v>
      </c>
      <c r="AX5" t="s">
        <v>185</v>
      </c>
      <c r="AY5" t="s">
        <v>255</v>
      </c>
      <c r="AZ5" t="s">
        <v>220</v>
      </c>
      <c r="BA5" t="s">
        <v>133</v>
      </c>
      <c r="BB5" t="s">
        <v>250</v>
      </c>
      <c r="BC5" t="s">
        <v>111</v>
      </c>
      <c r="BD5" t="s">
        <v>228</v>
      </c>
      <c r="BE5" t="s">
        <v>221</v>
      </c>
      <c r="BF5" t="s">
        <v>270</v>
      </c>
      <c r="BG5" t="s">
        <v>263</v>
      </c>
      <c r="BH5" t="s">
        <v>197</v>
      </c>
      <c r="BI5" t="s">
        <v>252</v>
      </c>
      <c r="BJ5" t="s">
        <v>194</v>
      </c>
      <c r="BK5" t="s">
        <v>198</v>
      </c>
      <c r="BL5" t="s">
        <v>215</v>
      </c>
      <c r="BM5" t="s">
        <v>271</v>
      </c>
      <c r="BN5" t="s">
        <v>189</v>
      </c>
      <c r="BO5" t="s">
        <v>177</v>
      </c>
      <c r="BP5" t="s">
        <v>226</v>
      </c>
      <c r="BQ5" t="s">
        <v>199</v>
      </c>
      <c r="BR5" t="s">
        <v>265</v>
      </c>
      <c r="BS5" t="s">
        <v>238</v>
      </c>
      <c r="BT5" t="s">
        <v>75</v>
      </c>
      <c r="BU5" s="25" t="s">
        <v>240</v>
      </c>
      <c r="BV5" t="s">
        <v>117</v>
      </c>
      <c r="BW5" t="s">
        <v>214</v>
      </c>
      <c r="BX5" t="s">
        <v>120</v>
      </c>
      <c r="BY5" t="s">
        <v>272</v>
      </c>
      <c r="BZ5" t="s">
        <v>243</v>
      </c>
      <c r="CA5" t="s">
        <v>227</v>
      </c>
      <c r="CB5" t="s">
        <v>105</v>
      </c>
      <c r="CC5" t="s">
        <v>241</v>
      </c>
      <c r="CD5" t="s">
        <v>173</v>
      </c>
      <c r="CE5" t="s">
        <v>258</v>
      </c>
      <c r="CF5" t="s">
        <v>88</v>
      </c>
      <c r="CG5" t="s">
        <v>190</v>
      </c>
      <c r="CH5" t="s">
        <v>129</v>
      </c>
      <c r="CI5" t="s">
        <v>202</v>
      </c>
      <c r="CJ5" t="s">
        <v>273</v>
      </c>
      <c r="CK5" t="s">
        <v>183</v>
      </c>
      <c r="CL5" t="s">
        <v>217</v>
      </c>
      <c r="CM5" t="s">
        <v>174</v>
      </c>
      <c r="CN5" t="s">
        <v>251</v>
      </c>
      <c r="CO5" t="s">
        <v>269</v>
      </c>
      <c r="CP5" t="s">
        <v>38</v>
      </c>
      <c r="CQ5" t="s">
        <v>247</v>
      </c>
      <c r="CR5" t="s">
        <v>193</v>
      </c>
      <c r="CS5" t="s">
        <v>109</v>
      </c>
      <c r="CT5" t="s">
        <v>204</v>
      </c>
      <c r="CU5" t="s">
        <v>231</v>
      </c>
      <c r="CV5" t="s">
        <v>180</v>
      </c>
      <c r="CW5" t="s">
        <v>259</v>
      </c>
      <c r="CX5" t="s">
        <v>137</v>
      </c>
      <c r="CY5" t="s">
        <v>213</v>
      </c>
      <c r="CZ5" t="s">
        <v>112</v>
      </c>
      <c r="DA5" t="s">
        <v>127</v>
      </c>
      <c r="DB5" t="s">
        <v>63</v>
      </c>
      <c r="DC5" t="s">
        <v>196</v>
      </c>
      <c r="DD5" t="s">
        <v>219</v>
      </c>
      <c r="DE5" t="s">
        <v>249</v>
      </c>
      <c r="DF5" t="s">
        <v>237</v>
      </c>
      <c r="DG5" t="s">
        <v>225</v>
      </c>
      <c r="DH5" t="s">
        <v>184</v>
      </c>
      <c r="DI5" t="s">
        <v>233</v>
      </c>
      <c r="DJ5" t="s">
        <v>264</v>
      </c>
      <c r="DK5" t="s">
        <v>277</v>
      </c>
      <c r="DL5" t="s">
        <v>71</v>
      </c>
      <c r="DM5" t="s">
        <v>254</v>
      </c>
      <c r="DN5" t="s">
        <v>245</v>
      </c>
      <c r="DO5" t="s">
        <v>232</v>
      </c>
      <c r="DP5" t="s">
        <v>175</v>
      </c>
      <c r="DQ5" t="s">
        <v>218</v>
      </c>
      <c r="DR5" t="s">
        <v>205</v>
      </c>
      <c r="DS5" t="s">
        <v>126</v>
      </c>
      <c r="DT5" t="s">
        <v>181</v>
      </c>
      <c r="DU5" t="s">
        <v>206</v>
      </c>
      <c r="DV5" t="s">
        <v>123</v>
      </c>
      <c r="DW5" t="s">
        <v>119</v>
      </c>
      <c r="DX5" t="s">
        <v>102</v>
      </c>
      <c r="DY5" t="s">
        <v>201</v>
      </c>
      <c r="DZ5" t="s">
        <v>128</v>
      </c>
      <c r="EA5" t="s">
        <v>176</v>
      </c>
    </row>
    <row r="6">
      <c r="A6" s="207" t="s">
        <v>821</v>
      </c>
      <c r="B6" t="s">
        <v>328</v>
      </c>
      <c r="C6" t="s">
        <v>428</v>
      </c>
      <c r="D6" t="s">
        <v>338</v>
      </c>
      <c r="E6" t="s">
        <v>363</v>
      </c>
      <c r="F6" t="s">
        <v>379</v>
      </c>
      <c r="G6" t="s">
        <v>395</v>
      </c>
      <c r="H6" t="s">
        <v>324</v>
      </c>
      <c r="I6" t="s">
        <v>414</v>
      </c>
      <c r="J6" t="s">
        <v>419</v>
      </c>
      <c r="K6" t="s">
        <v>375</v>
      </c>
      <c r="L6" t="s">
        <v>426</v>
      </c>
      <c r="M6" t="s">
        <v>337</v>
      </c>
      <c r="N6" t="s">
        <v>313</v>
      </c>
      <c r="O6" t="s">
        <v>322</v>
      </c>
      <c r="P6" t="s">
        <v>336</v>
      </c>
      <c r="Q6" t="s">
        <v>300</v>
      </c>
      <c r="R6" t="s">
        <v>359</v>
      </c>
      <c r="S6" t="s">
        <v>329</v>
      </c>
      <c r="T6" t="s">
        <v>331</v>
      </c>
      <c r="U6" t="s">
        <v>349</v>
      </c>
      <c r="V6" t="s">
        <v>335</v>
      </c>
      <c r="W6" t="s">
        <v>394</v>
      </c>
      <c r="X6" t="s">
        <v>382</v>
      </c>
      <c r="Y6" t="s">
        <v>411</v>
      </c>
      <c r="Z6" t="s">
        <v>371</v>
      </c>
      <c r="AA6" t="s">
        <v>402</v>
      </c>
      <c r="AB6" t="s">
        <v>309</v>
      </c>
      <c r="AC6" t="s">
        <v>345</v>
      </c>
      <c r="AD6" t="s">
        <v>341</v>
      </c>
      <c r="AE6" t="s">
        <v>308</v>
      </c>
      <c r="AF6" t="s">
        <v>298</v>
      </c>
      <c r="AG6" t="s">
        <v>358</v>
      </c>
      <c r="AH6" t="s">
        <v>339</v>
      </c>
      <c r="AI6" t="s">
        <v>295</v>
      </c>
      <c r="AJ6" t="s">
        <v>365</v>
      </c>
      <c r="AK6" t="s">
        <v>369</v>
      </c>
      <c r="AL6" t="s">
        <v>364</v>
      </c>
      <c r="AM6" t="s">
        <v>366</v>
      </c>
      <c r="AN6" t="s">
        <v>360</v>
      </c>
      <c r="AO6" t="s">
        <v>346</v>
      </c>
      <c r="AP6" t="s">
        <v>284</v>
      </c>
      <c r="AQ6" t="s">
        <v>387</v>
      </c>
      <c r="AR6" t="s">
        <v>391</v>
      </c>
      <c r="AS6" t="s">
        <v>389</v>
      </c>
      <c r="AT6" t="s">
        <v>396</v>
      </c>
      <c r="AU6" t="s">
        <v>281</v>
      </c>
      <c r="AV6" t="s">
        <v>289</v>
      </c>
      <c r="AW6" t="s">
        <v>400</v>
      </c>
      <c r="AX6" t="s">
        <v>380</v>
      </c>
      <c r="AY6" t="s">
        <v>367</v>
      </c>
      <c r="AZ6" t="s">
        <v>344</v>
      </c>
      <c r="BA6" t="s">
        <v>342</v>
      </c>
      <c r="BB6" t="s">
        <v>377</v>
      </c>
      <c r="BC6" t="s">
        <v>381</v>
      </c>
      <c r="BD6" t="s">
        <v>390</v>
      </c>
      <c r="BE6" t="s">
        <v>403</v>
      </c>
      <c r="BF6" t="s">
        <v>408</v>
      </c>
      <c r="BG6" t="s">
        <v>410</v>
      </c>
      <c r="BH6" t="s">
        <v>415</v>
      </c>
      <c r="BI6" t="s">
        <v>326</v>
      </c>
      <c r="BJ6" t="s">
        <v>433</v>
      </c>
      <c r="BK6" t="s">
        <v>385</v>
      </c>
      <c r="BL6" t="s">
        <v>412</v>
      </c>
      <c r="BM6" t="s">
        <v>427</v>
      </c>
      <c r="BN6" t="s">
        <v>285</v>
      </c>
      <c r="BO6" t="s">
        <v>307</v>
      </c>
      <c r="BP6" t="s">
        <v>315</v>
      </c>
      <c r="BQ6" t="s">
        <v>317</v>
      </c>
      <c r="BR6" t="s">
        <v>323</v>
      </c>
      <c r="BS6" t="s">
        <v>340</v>
      </c>
      <c r="BT6" t="s">
        <v>372</v>
      </c>
      <c r="BU6" t="s">
        <v>384</v>
      </c>
      <c r="BV6" t="s">
        <v>404</v>
      </c>
      <c r="BW6" t="s">
        <v>405</v>
      </c>
      <c r="BX6" t="s">
        <v>383</v>
      </c>
      <c r="BY6" t="s">
        <v>431</v>
      </c>
      <c r="BZ6" t="s">
        <v>283</v>
      </c>
      <c r="CA6" t="s">
        <v>311</v>
      </c>
      <c r="CB6" t="s">
        <v>334</v>
      </c>
      <c r="CC6" t="s">
        <v>347</v>
      </c>
      <c r="CD6" t="s">
        <v>361</v>
      </c>
      <c r="CE6" t="s">
        <v>398</v>
      </c>
      <c r="CF6" t="s">
        <v>399</v>
      </c>
      <c r="CG6" t="s">
        <v>413</v>
      </c>
      <c r="CH6" t="s">
        <v>392</v>
      </c>
      <c r="CI6" t="s">
        <v>397</v>
      </c>
      <c r="CJ6" t="s">
        <v>417</v>
      </c>
      <c r="CK6" t="s">
        <v>406</v>
      </c>
      <c r="CL6" t="s">
        <v>294</v>
      </c>
      <c r="CM6" t="s">
        <v>293</v>
      </c>
      <c r="CN6" t="s">
        <v>321</v>
      </c>
      <c r="CO6" t="s">
        <v>332</v>
      </c>
      <c r="CP6" t="s">
        <v>286</v>
      </c>
      <c r="CQ6" t="s">
        <v>320</v>
      </c>
      <c r="CR6" t="s">
        <v>416</v>
      </c>
      <c r="CS6" t="s">
        <v>356</v>
      </c>
      <c r="CT6" t="s">
        <v>327</v>
      </c>
      <c r="CU6" t="s">
        <v>333</v>
      </c>
      <c r="CV6" t="s">
        <v>310</v>
      </c>
      <c r="CW6" t="s">
        <v>378</v>
      </c>
      <c r="CX6" t="s">
        <v>288</v>
      </c>
      <c r="CY6" t="s">
        <v>297</v>
      </c>
      <c r="CZ6" t="s">
        <v>304</v>
      </c>
      <c r="DA6" t="s">
        <v>343</v>
      </c>
      <c r="DB6" t="s">
        <v>291</v>
      </c>
      <c r="DC6" t="s">
        <v>348</v>
      </c>
      <c r="DD6" t="s">
        <v>303</v>
      </c>
      <c r="DE6" t="s">
        <v>386</v>
      </c>
      <c r="DF6" t="s">
        <v>316</v>
      </c>
      <c r="DG6" t="s">
        <v>314</v>
      </c>
      <c r="DH6" t="s">
        <v>368</v>
      </c>
      <c r="DI6" t="s">
        <v>318</v>
      </c>
      <c r="DJ6" t="s">
        <v>312</v>
      </c>
      <c r="DK6" t="s">
        <v>420</v>
      </c>
      <c r="DL6" t="s">
        <v>290</v>
      </c>
      <c r="DM6" t="s">
        <v>299</v>
      </c>
      <c r="DN6" t="s">
        <v>350</v>
      </c>
      <c r="DO6" t="s">
        <v>357</v>
      </c>
      <c r="DP6" t="s">
        <v>376</v>
      </c>
      <c r="DQ6" t="s">
        <v>429</v>
      </c>
      <c r="DR6" t="s">
        <v>388</v>
      </c>
      <c r="DS6" t="s">
        <v>418</v>
      </c>
      <c r="DT6" t="s">
        <v>370</v>
      </c>
      <c r="DU6" t="s">
        <v>330</v>
      </c>
      <c r="DV6" t="s">
        <v>302</v>
      </c>
      <c r="DW6" t="s">
        <v>319</v>
      </c>
      <c r="DX6" t="s">
        <v>373</v>
      </c>
      <c r="DY6" t="s">
        <v>401</v>
      </c>
      <c r="DZ6" t="s">
        <v>305</v>
      </c>
      <c r="EA6" t="s">
        <v>1067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144</v>
      </c>
      <c r="B1" s="23" t="s">
        <v>31</v>
      </c>
      <c r="C1" s="23" t="s">
        <v>1070</v>
      </c>
      <c r="D1" s="23" t="s">
        <v>1071</v>
      </c>
    </row>
    <row r="2">
      <c r="A2" t="str">
        <f t="array" ref="A2:B134">substitute('Teams-Conference'!A2:B142,"zI","I")</f>
        <v>East Carolina</v>
      </c>
      <c r="B2" t="s">
        <v>407</v>
      </c>
      <c r="C2">
        <f>iferror(if(VLOOKUP(B2,P5G5!A:B,2,0)="Group of 5",4,if(A2="Oregon",1,if(B2="Pac12",2,3))),"")</f>
        <v>4</v>
      </c>
      <c r="D2" t="str">
        <f>if(A2="","",if(A2="Oregon","FEE123",iferror(substitute(UPPER(VLOOKUP(B2,'Conf-Color'!A:B,2,0)),"#",""),"")))</f>
        <v>E1DDCF</v>
      </c>
    </row>
    <row r="3">
      <c r="A3" t="s">
        <v>133</v>
      </c>
      <c r="B3" t="s">
        <v>407</v>
      </c>
      <c r="C3">
        <f>iferror(if(VLOOKUP(B3,P5G5!A:B,2,0)="Group of 5",4,if(A3="Oregon",1,if(B3="Pac12",2,3))),"")</f>
        <v>4</v>
      </c>
      <c r="D3" t="str">
        <f>if(A3="","",if(A3="Oregon","FEE123",iferror(substitute(UPPER(VLOOKUP(B3,'Conf-Color'!A:B,2,0)),"#",""),"")))</f>
        <v>E1DDCF</v>
      </c>
    </row>
    <row r="4">
      <c r="A4" t="s">
        <v>118</v>
      </c>
      <c r="B4" t="s">
        <v>407</v>
      </c>
      <c r="C4">
        <f>iferror(if(VLOOKUP(B4,P5G5!A:B,2,0)="Group of 5",4,if(A4="Oregon",1,if(B4="Pac12",2,3))),"")</f>
        <v>4</v>
      </c>
      <c r="D4" t="str">
        <f>if(A4="","",if(A4="Oregon","FEE123",iferror(substitute(UPPER(VLOOKUP(B4,'Conf-Color'!A:B,2,0)),"#",""),"")))</f>
        <v>E1DDCF</v>
      </c>
    </row>
    <row r="5">
      <c r="A5" t="s">
        <v>234</v>
      </c>
      <c r="B5" t="s">
        <v>407</v>
      </c>
      <c r="C5">
        <f>iferror(if(VLOOKUP(B5,P5G5!A:B,2,0)="Group of 5",4,if(A5="Oregon",1,if(B5="Pac12",2,3))),"")</f>
        <v>4</v>
      </c>
      <c r="D5" t="str">
        <f>if(A5="","",if(A5="Oregon","FEE123",iferror(substitute(UPPER(VLOOKUP(B5,'Conf-Color'!A:B,2,0)),"#",""),"")))</f>
        <v>E1DDCF</v>
      </c>
    </row>
    <row r="6">
      <c r="A6" t="s">
        <v>221</v>
      </c>
      <c r="B6" t="s">
        <v>407</v>
      </c>
      <c r="C6">
        <f>iferror(if(VLOOKUP(B6,P5G5!A:B,2,0)="Group of 5",4,if(A6="Oregon",1,if(B6="Pac12",2,3))),"")</f>
        <v>4</v>
      </c>
      <c r="D6" t="str">
        <f>if(A6="","",if(A6="Oregon","FEE123",iferror(substitute(UPPER(VLOOKUP(B6,'Conf-Color'!A:B,2,0)),"#",""),"")))</f>
        <v>E1DDCF</v>
      </c>
    </row>
    <row r="7">
      <c r="A7" t="s">
        <v>263</v>
      </c>
      <c r="B7" t="s">
        <v>407</v>
      </c>
      <c r="C7">
        <f>iferror(if(VLOOKUP(B7,P5G5!A:B,2,0)="Group of 5",4,if(A7="Oregon",1,if(B7="Pac12",2,3))),"")</f>
        <v>4</v>
      </c>
      <c r="D7" t="str">
        <f>if(A7="","",if(A7="Oregon","FEE123",iferror(substitute(UPPER(VLOOKUP(B7,'Conf-Color'!A:B,2,0)),"#",""),"")))</f>
        <v>E1DDCF</v>
      </c>
    </row>
    <row r="8">
      <c r="A8" t="s">
        <v>139</v>
      </c>
      <c r="B8" t="s">
        <v>407</v>
      </c>
      <c r="C8">
        <f>iferror(if(VLOOKUP(B8,P5G5!A:B,2,0)="Group of 5",4,if(A8="Oregon",1,if(B8="Pac12",2,3))),"")</f>
        <v>4</v>
      </c>
      <c r="D8" t="str">
        <f>if(A8="","",if(A8="Oregon","FEE123",iferror(substitute(UPPER(VLOOKUP(B8,'Conf-Color'!A:B,2,0)),"#",""),"")))</f>
        <v>E1DDCF</v>
      </c>
    </row>
    <row r="9">
      <c r="A9" t="s">
        <v>81</v>
      </c>
      <c r="B9" t="s">
        <v>407</v>
      </c>
      <c r="C9">
        <f>iferror(if(VLOOKUP(B9,P5G5!A:B,2,0)="Group of 5",4,if(A9="Oregon",1,if(B9="Pac12",2,3))),"")</f>
        <v>4</v>
      </c>
      <c r="D9" t="str">
        <f>if(A9="","",if(A9="Oregon","FEE123",iferror(substitute(UPPER(VLOOKUP(B9,'Conf-Color'!A:B,2,0)),"#",""),"")))</f>
        <v>E1DDCF</v>
      </c>
    </row>
    <row r="10">
      <c r="A10" t="s">
        <v>182</v>
      </c>
      <c r="B10" t="s">
        <v>407</v>
      </c>
      <c r="C10">
        <f>iferror(if(VLOOKUP(B10,P5G5!A:B,2,0)="Group of 5",4,if(A10="Oregon",1,if(B10="Pac12",2,3))),"")</f>
        <v>4</v>
      </c>
      <c r="D10" t="str">
        <f>if(A10="","",if(A10="Oregon","FEE123",iferror(substitute(UPPER(VLOOKUP(B10,'Conf-Color'!A:B,2,0)),"#",""),"")))</f>
        <v>E1DDCF</v>
      </c>
    </row>
    <row r="11">
      <c r="A11" t="s">
        <v>207</v>
      </c>
      <c r="B11" t="s">
        <v>407</v>
      </c>
      <c r="C11">
        <f>iferror(if(VLOOKUP(B11,P5G5!A:B,2,0)="Group of 5",4,if(A11="Oregon",1,if(B11="Pac12",2,3))),"")</f>
        <v>4</v>
      </c>
      <c r="D11" t="str">
        <f>if(A11="","",if(A11="Oregon","FEE123",iferror(substitute(UPPER(VLOOKUP(B11,'Conf-Color'!A:B,2,0)),"#",""),"")))</f>
        <v>E1DDCF</v>
      </c>
    </row>
    <row r="12">
      <c r="A12" t="s">
        <v>271</v>
      </c>
      <c r="B12" t="s">
        <v>407</v>
      </c>
      <c r="C12">
        <f>iferror(if(VLOOKUP(B12,P5G5!A:B,2,0)="Group of 5",4,if(A12="Oregon",1,if(B12="Pac12",2,3))),"")</f>
        <v>4</v>
      </c>
      <c r="D12" t="str">
        <f>if(A12="","",if(A12="Oregon","FEE123",iferror(substitute(UPPER(VLOOKUP(B12,'Conf-Color'!A:B,2,0)),"#",""),"")))</f>
        <v>E1DDCF</v>
      </c>
    </row>
    <row r="13">
      <c r="A13" t="s">
        <v>198</v>
      </c>
      <c r="B13" t="s">
        <v>407</v>
      </c>
      <c r="C13">
        <f>iferror(if(VLOOKUP(B13,P5G5!A:B,2,0)="Group of 5",4,if(A13="Oregon",1,if(B13="Pac12",2,3))),"")</f>
        <v>4</v>
      </c>
      <c r="D13" t="str">
        <f>if(A13="","",if(A13="Oregon","FEE123",iferror(substitute(UPPER(VLOOKUP(B13,'Conf-Color'!A:B,2,0)),"#",""),"")))</f>
        <v>E1DDCF</v>
      </c>
    </row>
    <row r="14">
      <c r="A14" t="s">
        <v>253</v>
      </c>
      <c r="B14" t="s">
        <v>407</v>
      </c>
      <c r="C14">
        <f>iferror(if(VLOOKUP(B14,P5G5!A:B,2,0)="Group of 5",4,if(A14="Oregon",1,if(B14="Pac12",2,3))),"")</f>
        <v>4</v>
      </c>
      <c r="D14" t="str">
        <f>if(A14="","",if(A14="Oregon","FEE123",iferror(substitute(UPPER(VLOOKUP(B14,'Conf-Color'!A:B,2,0)),"#",""),"")))</f>
        <v>E1DDCF</v>
      </c>
    </row>
    <row r="15">
      <c r="A15" t="s">
        <v>248</v>
      </c>
      <c r="B15" t="s">
        <v>301</v>
      </c>
      <c r="C15">
        <f>iferror(if(VLOOKUP(B15,P5G5!A:B,2,0)="Group of 5",4,if(A15="Oregon",1,if(B15="Pac12",2,3))),"")</f>
        <v>3</v>
      </c>
      <c r="D15" t="str">
        <f>if(A15="","",if(A15="Oregon","FEE123",iferror(substitute(UPPER(VLOOKUP(B15,'Conf-Color'!A:B,2,0)),"#",""),"")))</f>
        <v>FFCC99</v>
      </c>
    </row>
    <row r="16">
      <c r="A16" t="s">
        <v>191</v>
      </c>
      <c r="B16" t="s">
        <v>301</v>
      </c>
      <c r="C16">
        <f>iferror(if(VLOOKUP(B16,P5G5!A:B,2,0)="Group of 5",4,if(A16="Oregon",1,if(B16="Pac12",2,3))),"")</f>
        <v>3</v>
      </c>
      <c r="D16" t="str">
        <f>if(A16="","",if(A16="Oregon","FEE123",iferror(substitute(UPPER(VLOOKUP(B16,'Conf-Color'!A:B,2,0)),"#",""),"")))</f>
        <v>FFCC99</v>
      </c>
    </row>
    <row r="17">
      <c r="A17" t="s">
        <v>187</v>
      </c>
      <c r="B17" t="s">
        <v>301</v>
      </c>
      <c r="C17">
        <f>iferror(if(VLOOKUP(B17,P5G5!A:B,2,0)="Group of 5",4,if(A17="Oregon",1,if(B17="Pac12",2,3))),"")</f>
        <v>3</v>
      </c>
      <c r="D17" t="str">
        <f>if(A17="","",if(A17="Oregon","FEE123",iferror(substitute(UPPER(VLOOKUP(B17,'Conf-Color'!A:B,2,0)),"#",""),"")))</f>
        <v>FFCC99</v>
      </c>
    </row>
    <row r="18">
      <c r="A18" t="s">
        <v>224</v>
      </c>
      <c r="B18" t="s">
        <v>301</v>
      </c>
      <c r="C18">
        <f>iferror(if(VLOOKUP(B18,P5G5!A:B,2,0)="Group of 5",4,if(A18="Oregon",1,if(B18="Pac12",2,3))),"")</f>
        <v>3</v>
      </c>
      <c r="D18" t="str">
        <f>if(A18="","",if(A18="Oregon","FEE123",iferror(substitute(UPPER(VLOOKUP(B18,'Conf-Color'!A:B,2,0)),"#",""),"")))</f>
        <v>FFCC99</v>
      </c>
    </row>
    <row r="19">
      <c r="A19" t="s">
        <v>229</v>
      </c>
      <c r="B19" t="s">
        <v>301</v>
      </c>
      <c r="C19">
        <f>iferror(if(VLOOKUP(B19,P5G5!A:B,2,0)="Group of 5",4,if(A19="Oregon",1,if(B19="Pac12",2,3))),"")</f>
        <v>3</v>
      </c>
      <c r="D19" t="str">
        <f>if(A19="","",if(A19="Oregon","FEE123",iferror(substitute(UPPER(VLOOKUP(B19,'Conf-Color'!A:B,2,0)),"#",""),"")))</f>
        <v>FFCC99</v>
      </c>
    </row>
    <row r="20">
      <c r="A20" t="s">
        <v>164</v>
      </c>
      <c r="B20" t="s">
        <v>301</v>
      </c>
      <c r="C20">
        <f>iferror(if(VLOOKUP(B20,P5G5!A:B,2,0)="Group of 5",4,if(A20="Oregon",1,if(B20="Pac12",2,3))),"")</f>
        <v>3</v>
      </c>
      <c r="D20" t="str">
        <f>if(A20="","",if(A20="Oregon","FEE123",iferror(substitute(UPPER(VLOOKUP(B20,'Conf-Color'!A:B,2,0)),"#",""),"")))</f>
        <v>FFCC99</v>
      </c>
    </row>
    <row r="21">
      <c r="A21" t="s">
        <v>79</v>
      </c>
      <c r="B21" t="s">
        <v>301</v>
      </c>
      <c r="C21">
        <f>iferror(if(VLOOKUP(B21,P5G5!A:B,2,0)="Group of 5",4,if(A21="Oregon",1,if(B21="Pac12",2,3))),"")</f>
        <v>3</v>
      </c>
      <c r="D21" t="str">
        <f>if(A21="","",if(A21="Oregon","FEE123",iferror(substitute(UPPER(VLOOKUP(B21,'Conf-Color'!A:B,2,0)),"#",""),"")))</f>
        <v>FFCC99</v>
      </c>
    </row>
    <row r="22">
      <c r="A22" t="s">
        <v>268</v>
      </c>
      <c r="B22" t="s">
        <v>301</v>
      </c>
      <c r="C22">
        <f>iferror(if(VLOOKUP(B22,P5G5!A:B,2,0)="Group of 5",4,if(A22="Oregon",1,if(B22="Pac12",2,3))),"")</f>
        <v>3</v>
      </c>
      <c r="D22" t="str">
        <f>if(A22="","",if(A22="Oregon","FEE123",iferror(substitute(UPPER(VLOOKUP(B22,'Conf-Color'!A:B,2,0)),"#",""),"")))</f>
        <v>FFCC99</v>
      </c>
    </row>
    <row r="23">
      <c r="A23" t="s">
        <v>216</v>
      </c>
      <c r="B23" t="s">
        <v>301</v>
      </c>
      <c r="C23">
        <f>iferror(if(VLOOKUP(B23,P5G5!A:B,2,0)="Group of 5",4,if(A23="Oregon",1,if(B23="Pac12",2,3))),"")</f>
        <v>3</v>
      </c>
      <c r="D23" t="str">
        <f>if(A23="","",if(A23="Oregon","FEE123",iferror(substitute(UPPER(VLOOKUP(B23,'Conf-Color'!A:B,2,0)),"#",""),"")))</f>
        <v>FFCC99</v>
      </c>
    </row>
    <row r="24">
      <c r="A24" t="s">
        <v>256</v>
      </c>
      <c r="B24" t="s">
        <v>301</v>
      </c>
      <c r="C24">
        <f>iferror(if(VLOOKUP(B24,P5G5!A:B,2,0)="Group of 5",4,if(A24="Oregon",1,if(B24="Pac12",2,3))),"")</f>
        <v>3</v>
      </c>
      <c r="D24" t="str">
        <f>if(A24="","",if(A24="Oregon","FEE123",iferror(substitute(UPPER(VLOOKUP(B24,'Conf-Color'!A:B,2,0)),"#",""),"")))</f>
        <v>FFCC99</v>
      </c>
    </row>
    <row r="25">
      <c r="A25" t="s">
        <v>130</v>
      </c>
      <c r="B25" t="s">
        <v>301</v>
      </c>
      <c r="C25">
        <f>iferror(if(VLOOKUP(B25,P5G5!A:B,2,0)="Group of 5",4,if(A25="Oregon",1,if(B25="Pac12",2,3))),"")</f>
        <v>3</v>
      </c>
      <c r="D25" t="str">
        <f>if(A25="","",if(A25="Oregon","FEE123",iferror(substitute(UPPER(VLOOKUP(B25,'Conf-Color'!A:B,2,0)),"#",""),"")))</f>
        <v>FFCC99</v>
      </c>
    </row>
    <row r="26">
      <c r="A26" t="s">
        <v>275</v>
      </c>
      <c r="B26" t="s">
        <v>301</v>
      </c>
      <c r="C26">
        <f>iferror(if(VLOOKUP(B26,P5G5!A:B,2,0)="Group of 5",4,if(A26="Oregon",1,if(B26="Pac12",2,3))),"")</f>
        <v>3</v>
      </c>
      <c r="D26" t="str">
        <f>if(A26="","",if(A26="Oregon","FEE123",iferror(substitute(UPPER(VLOOKUP(B26,'Conf-Color'!A:B,2,0)),"#",""),"")))</f>
        <v>FFCC99</v>
      </c>
    </row>
    <row r="27">
      <c r="A27" t="s">
        <v>113</v>
      </c>
      <c r="B27" t="s">
        <v>301</v>
      </c>
      <c r="C27">
        <f>iferror(if(VLOOKUP(B27,P5G5!A:B,2,0)="Group of 5",4,if(A27="Oregon",1,if(B27="Pac12",2,3))),"")</f>
        <v>3</v>
      </c>
      <c r="D27" t="str">
        <f>if(A27="","",if(A27="Oregon","FEE123",iferror(substitute(UPPER(VLOOKUP(B27,'Conf-Color'!A:B,2,0)),"#",""),"")))</f>
        <v>FFCC99</v>
      </c>
    </row>
    <row r="28">
      <c r="A28" t="s">
        <v>208</v>
      </c>
      <c r="B28" t="s">
        <v>301</v>
      </c>
      <c r="C28">
        <f>iferror(if(VLOOKUP(B28,P5G5!A:B,2,0)="Group of 5",4,if(A28="Oregon",1,if(B28="Pac12",2,3))),"")</f>
        <v>3</v>
      </c>
      <c r="D28" t="str">
        <f>if(A28="","",if(A28="Oregon","FEE123",iferror(substitute(UPPER(VLOOKUP(B28,'Conf-Color'!A:B,2,0)),"#",""),"")))</f>
        <v>FFCC99</v>
      </c>
    </row>
    <row r="29">
      <c r="A29" t="s">
        <v>242</v>
      </c>
      <c r="B29" t="s">
        <v>296</v>
      </c>
      <c r="C29">
        <f>iferror(if(VLOOKUP(B29,P5G5!A:B,2,0)="Group of 5",4,if(A29="Oregon",1,if(B29="Pac12",2,3))),"")</f>
        <v>3</v>
      </c>
      <c r="D29" t="str">
        <f>if(A29="","",if(A29="Oregon","FEE123",iferror(substitute(UPPER(VLOOKUP(B29,'Conf-Color'!A:B,2,0)),"#",""),"")))</f>
        <v>FFCC99</v>
      </c>
    </row>
    <row r="30">
      <c r="A30" t="s">
        <v>230</v>
      </c>
      <c r="B30" t="s">
        <v>296</v>
      </c>
      <c r="C30">
        <f>iferror(if(VLOOKUP(B30,P5G5!A:B,2,0)="Group of 5",4,if(A30="Oregon",1,if(B30="Pac12",2,3))),"")</f>
        <v>3</v>
      </c>
      <c r="D30" t="str">
        <f>if(A30="","",if(A30="Oregon","FEE123",iferror(substitute(UPPER(VLOOKUP(B30,'Conf-Color'!A:B,2,0)),"#",""),"")))</f>
        <v>FFCC99</v>
      </c>
    </row>
    <row r="31">
      <c r="A31" t="s">
        <v>119</v>
      </c>
      <c r="B31" t="s">
        <v>296</v>
      </c>
      <c r="C31">
        <f>iferror(if(VLOOKUP(B31,P5G5!A:B,2,0)="Group of 5",4,if(A31="Oregon",1,if(B31="Pac12",2,3))),"")</f>
        <v>3</v>
      </c>
      <c r="D31" t="str">
        <f>if(A31="","",if(A31="Oregon","FEE123",iferror(substitute(UPPER(VLOOKUP(B31,'Conf-Color'!A:B,2,0)),"#",""),"")))</f>
        <v>FFCC99</v>
      </c>
    </row>
    <row r="32">
      <c r="A32" t="s">
        <v>210</v>
      </c>
      <c r="B32" t="s">
        <v>296</v>
      </c>
      <c r="C32">
        <f>iferror(if(VLOOKUP(B32,P5G5!A:B,2,0)="Group of 5",4,if(A32="Oregon",1,if(B32="Pac12",2,3))),"")</f>
        <v>3</v>
      </c>
      <c r="D32" t="str">
        <f>if(A32="","",if(A32="Oregon","FEE123",iferror(substitute(UPPER(VLOOKUP(B32,'Conf-Color'!A:B,2,0)),"#",""),"")))</f>
        <v>FFCC99</v>
      </c>
    </row>
    <row r="33">
      <c r="A33" t="s">
        <v>124</v>
      </c>
      <c r="B33" t="s">
        <v>296</v>
      </c>
      <c r="C33">
        <f>iferror(if(VLOOKUP(B33,P5G5!A:B,2,0)="Group of 5",4,if(A33="Oregon",1,if(B33="Pac12",2,3))),"")</f>
        <v>3</v>
      </c>
      <c r="D33" t="str">
        <f>if(A33="","",if(A33="Oregon","FEE123",iferror(substitute(UPPER(VLOOKUP(B33,'Conf-Color'!A:B,2,0)),"#",""),"")))</f>
        <v>FFCC99</v>
      </c>
    </row>
    <row r="34">
      <c r="A34" t="s">
        <v>192</v>
      </c>
      <c r="B34" t="s">
        <v>296</v>
      </c>
      <c r="C34">
        <f>iferror(if(VLOOKUP(B34,P5G5!A:B,2,0)="Group of 5",4,if(A34="Oregon",1,if(B34="Pac12",2,3))),"")</f>
        <v>3</v>
      </c>
      <c r="D34" t="str">
        <f>if(A34="","",if(A34="Oregon","FEE123",iferror(substitute(UPPER(VLOOKUP(B34,'Conf-Color'!A:B,2,0)),"#",""),"")))</f>
        <v>FFCC99</v>
      </c>
    </row>
    <row r="35">
      <c r="A35" t="s">
        <v>74</v>
      </c>
      <c r="B35" t="s">
        <v>296</v>
      </c>
      <c r="C35">
        <f>iferror(if(VLOOKUP(B35,P5G5!A:B,2,0)="Group of 5",4,if(A35="Oregon",1,if(B35="Pac12",2,3))),"")</f>
        <v>3</v>
      </c>
      <c r="D35" t="str">
        <f>if(A35="","",if(A35="Oregon","FEE123",iferror(substitute(UPPER(VLOOKUP(B35,'Conf-Color'!A:B,2,0)),"#",""),"")))</f>
        <v>FFCC99</v>
      </c>
    </row>
    <row r="36">
      <c r="A36" t="s">
        <v>179</v>
      </c>
      <c r="B36" t="s">
        <v>296</v>
      </c>
      <c r="C36">
        <f>iferror(if(VLOOKUP(B36,P5G5!A:B,2,0)="Group of 5",4,if(A36="Oregon",1,if(B36="Pac12",2,3))),"")</f>
        <v>3</v>
      </c>
      <c r="D36" t="str">
        <f>if(A36="","",if(A36="Oregon","FEE123",iferror(substitute(UPPER(VLOOKUP(B36,'Conf-Color'!A:B,2,0)),"#",""),"")))</f>
        <v>FFCC99</v>
      </c>
    </row>
    <row r="37">
      <c r="A37" t="s">
        <v>267</v>
      </c>
      <c r="B37" t="s">
        <v>296</v>
      </c>
      <c r="C37">
        <f>iferror(if(VLOOKUP(B37,P5G5!A:B,2,0)="Group of 5",4,if(A37="Oregon",1,if(B37="Pac12",2,3))),"")</f>
        <v>3</v>
      </c>
      <c r="D37" t="str">
        <f>if(A37="","",if(A37="Oregon","FEE123",iferror(substitute(UPPER(VLOOKUP(B37,'Conf-Color'!A:B,2,0)),"#",""),"")))</f>
        <v>FFCC99</v>
      </c>
    </row>
    <row r="38">
      <c r="A38" t="s">
        <v>223</v>
      </c>
      <c r="B38" t="s">
        <v>296</v>
      </c>
      <c r="C38">
        <f>iferror(if(VLOOKUP(B38,P5G5!A:B,2,0)="Group of 5",4,if(A38="Oregon",1,if(B38="Pac12",2,3))),"")</f>
        <v>3</v>
      </c>
      <c r="D38" t="str">
        <f>if(A38="","",if(A38="Oregon","FEE123",iferror(substitute(UPPER(VLOOKUP(B38,'Conf-Color'!A:B,2,0)),"#",""),"")))</f>
        <v>FFCC99</v>
      </c>
    </row>
    <row r="39">
      <c r="A39" t="s">
        <v>239</v>
      </c>
      <c r="B39" t="s">
        <v>296</v>
      </c>
      <c r="C39">
        <f>iferror(if(VLOOKUP(B39,P5G5!A:B,2,0)="Group of 5",4,if(A39="Oregon",1,if(B39="Pac12",2,3))),"")</f>
        <v>3</v>
      </c>
      <c r="D39" t="str">
        <f>if(A39="","",if(A39="Oregon","FEE123",iferror(substitute(UPPER(VLOOKUP(B39,'Conf-Color'!A:B,2,0)),"#",""),"")))</f>
        <v>FFCC99</v>
      </c>
    </row>
    <row r="40">
      <c r="A40" t="s">
        <v>188</v>
      </c>
      <c r="B40" t="s">
        <v>296</v>
      </c>
      <c r="C40">
        <f>iferror(if(VLOOKUP(B40,P5G5!A:B,2,0)="Group of 5",4,if(A40="Oregon",1,if(B40="Pac12",2,3))),"")</f>
        <v>3</v>
      </c>
      <c r="D40" t="str">
        <f>if(A40="","",if(A40="Oregon","FEE123",iferror(substitute(UPPER(VLOOKUP(B40,'Conf-Color'!A:B,2,0)),"#",""),"")))</f>
        <v>FFCC99</v>
      </c>
    </row>
    <row r="41">
      <c r="A41" t="s">
        <v>257</v>
      </c>
      <c r="B41" t="s">
        <v>296</v>
      </c>
      <c r="C41">
        <f>iferror(if(VLOOKUP(B41,P5G5!A:B,2,0)="Group of 5",4,if(A41="Oregon",1,if(B41="Pac12",2,3))),"")</f>
        <v>3</v>
      </c>
      <c r="D41" t="str">
        <f>if(A41="","",if(A41="Oregon","FEE123",iferror(substitute(UPPER(VLOOKUP(B41,'Conf-Color'!A:B,2,0)),"#",""),"")))</f>
        <v>FFCC99</v>
      </c>
    </row>
    <row r="42">
      <c r="A42" t="s">
        <v>276</v>
      </c>
      <c r="B42" t="s">
        <v>296</v>
      </c>
      <c r="C42">
        <f>iferror(if(VLOOKUP(B42,P5G5!A:B,2,0)="Group of 5",4,if(A42="Oregon",1,if(B42="Pac12",2,3))),"")</f>
        <v>3</v>
      </c>
      <c r="D42" t="str">
        <f>if(A42="","",if(A42="Oregon","FEE123",iferror(substitute(UPPER(VLOOKUP(B42,'Conf-Color'!A:B,2,0)),"#",""),"")))</f>
        <v>FFCC99</v>
      </c>
    </row>
    <row r="43">
      <c r="A43" t="s">
        <v>186</v>
      </c>
      <c r="B43" t="s">
        <v>282</v>
      </c>
      <c r="C43">
        <f>iferror(if(VLOOKUP(B43,P5G5!A:B,2,0)="Group of 5",4,if(A43="Oregon",1,if(B43="Pac12",2,3))),"")</f>
        <v>3</v>
      </c>
      <c r="D43" t="str">
        <f>if(A43="","",if(A43="Oregon","FEE123",iferror(substitute(UPPER(VLOOKUP(B43,'Conf-Color'!A:B,2,0)),"#",""),"")))</f>
        <v>FFCC99</v>
      </c>
    </row>
    <row r="44">
      <c r="A44" t="s">
        <v>195</v>
      </c>
      <c r="B44" t="s">
        <v>282</v>
      </c>
      <c r="C44">
        <f>iferror(if(VLOOKUP(B44,P5G5!A:B,2,0)="Group of 5",4,if(A44="Oregon",1,if(B44="Pac12",2,3))),"")</f>
        <v>3</v>
      </c>
      <c r="D44" t="str">
        <f>if(A44="","",if(A44="Oregon","FEE123",iferror(substitute(UPPER(VLOOKUP(B44,'Conf-Color'!A:B,2,0)),"#",""),"")))</f>
        <v>FFCC99</v>
      </c>
    </row>
    <row r="45">
      <c r="A45" t="s">
        <v>266</v>
      </c>
      <c r="B45" t="s">
        <v>282</v>
      </c>
      <c r="C45">
        <f>iferror(if(VLOOKUP(B45,P5G5!A:B,2,0)="Group of 5",4,if(A45="Oregon",1,if(B45="Pac12",2,3))),"")</f>
        <v>3</v>
      </c>
      <c r="D45" t="str">
        <f>if(A45="","",if(A45="Oregon","FEE123",iferror(substitute(UPPER(VLOOKUP(B45,'Conf-Color'!A:B,2,0)),"#",""),"")))</f>
        <v>FFCC99</v>
      </c>
    </row>
    <row r="46">
      <c r="A46" t="s">
        <v>244</v>
      </c>
      <c r="B46" t="s">
        <v>282</v>
      </c>
      <c r="C46">
        <f>iferror(if(VLOOKUP(B46,P5G5!A:B,2,0)="Group of 5",4,if(A46="Oregon",1,if(B46="Pac12",2,3))),"")</f>
        <v>3</v>
      </c>
      <c r="D46" t="str">
        <f>if(A46="","",if(A46="Oregon","FEE123",iferror(substitute(UPPER(VLOOKUP(B46,'Conf-Color'!A:B,2,0)),"#",""),"")))</f>
        <v>FFCC99</v>
      </c>
    </row>
    <row r="47">
      <c r="A47" t="s">
        <v>209</v>
      </c>
      <c r="B47" t="s">
        <v>282</v>
      </c>
      <c r="C47">
        <f>iferror(if(VLOOKUP(B47,P5G5!A:B,2,0)="Group of 5",4,if(A47="Oregon",1,if(B47="Pac12",2,3))),"")</f>
        <v>3</v>
      </c>
      <c r="D47" t="str">
        <f>if(A47="","",if(A47="Oregon","FEE123",iferror(substitute(UPPER(VLOOKUP(B47,'Conf-Color'!A:B,2,0)),"#",""),"")))</f>
        <v>FFCC99</v>
      </c>
    </row>
    <row r="48">
      <c r="A48" t="s">
        <v>178</v>
      </c>
      <c r="B48" t="s">
        <v>282</v>
      </c>
      <c r="C48">
        <f>iferror(if(VLOOKUP(B48,P5G5!A:B,2,0)="Group of 5",4,if(A48="Oregon",1,if(B48="Pac12",2,3))),"")</f>
        <v>3</v>
      </c>
      <c r="D48" t="str">
        <f>if(A48="","",if(A48="Oregon","FEE123",iferror(substitute(UPPER(VLOOKUP(B48,'Conf-Color'!A:B,2,0)),"#",""),"")))</f>
        <v>FFCC99</v>
      </c>
    </row>
    <row r="49">
      <c r="A49" t="s">
        <v>116</v>
      </c>
      <c r="B49" t="s">
        <v>282</v>
      </c>
      <c r="C49">
        <f>iferror(if(VLOOKUP(B49,P5G5!A:B,2,0)="Group of 5",4,if(A49="Oregon",1,if(B49="Pac12",2,3))),"")</f>
        <v>3</v>
      </c>
      <c r="D49" t="str">
        <f>if(A49="","",if(A49="Oregon","FEE123",iferror(substitute(UPPER(VLOOKUP(B49,'Conf-Color'!A:B,2,0)),"#",""),"")))</f>
        <v>FFCC99</v>
      </c>
    </row>
    <row r="50">
      <c r="A50" t="s">
        <v>80</v>
      </c>
      <c r="B50" t="s">
        <v>282</v>
      </c>
      <c r="C50">
        <f>iferror(if(VLOOKUP(B50,P5G5!A:B,2,0)="Group of 5",4,if(A50="Oregon",1,if(B50="Pac12",2,3))),"")</f>
        <v>3</v>
      </c>
      <c r="D50" t="str">
        <f>if(A50="","",if(A50="Oregon","FEE123",iferror(substitute(UPPER(VLOOKUP(B50,'Conf-Color'!A:B,2,0)),"#",""),"")))</f>
        <v>FFCC99</v>
      </c>
    </row>
    <row r="51">
      <c r="A51" t="s">
        <v>261</v>
      </c>
      <c r="B51" t="s">
        <v>282</v>
      </c>
      <c r="C51">
        <f>iferror(if(VLOOKUP(B51,P5G5!A:B,2,0)="Group of 5",4,if(A51="Oregon",1,if(B51="Pac12",2,3))),"")</f>
        <v>3</v>
      </c>
      <c r="D51" t="str">
        <f>if(A51="","",if(A51="Oregon","FEE123",iferror(substitute(UPPER(VLOOKUP(B51,'Conf-Color'!A:B,2,0)),"#",""),"")))</f>
        <v>FFCC99</v>
      </c>
    </row>
    <row r="52">
      <c r="A52" t="s">
        <v>200</v>
      </c>
      <c r="B52" t="s">
        <v>282</v>
      </c>
      <c r="C52">
        <f>iferror(if(VLOOKUP(B52,P5G5!A:B,2,0)="Group of 5",4,if(A52="Oregon",1,if(B52="Pac12",2,3))),"")</f>
        <v>3</v>
      </c>
      <c r="D52" t="str">
        <f>if(A52="","",if(A52="Oregon","FEE123",iferror(substitute(UPPER(VLOOKUP(B52,'Conf-Color'!A:B,2,0)),"#",""),"")))</f>
        <v>FFCC99</v>
      </c>
    </row>
    <row r="53">
      <c r="A53" t="s">
        <v>135</v>
      </c>
      <c r="B53" t="s">
        <v>282</v>
      </c>
      <c r="C53">
        <f>iferror(if(VLOOKUP(B53,P5G5!A:B,2,0)="Group of 5",4,if(A53="Oregon",1,if(B53="Pac12",2,3))),"")</f>
        <v>3</v>
      </c>
      <c r="D53" t="str">
        <f>if(A53="","",if(A53="Oregon","FEE123",iferror(substitute(UPPER(VLOOKUP(B53,'Conf-Color'!A:B,2,0)),"#",""),"")))</f>
        <v>FFCC99</v>
      </c>
    </row>
    <row r="54">
      <c r="A54" t="s">
        <v>222</v>
      </c>
      <c r="B54" t="s">
        <v>282</v>
      </c>
      <c r="C54">
        <f>iferror(if(VLOOKUP(B54,P5G5!A:B,2,0)="Group of 5",4,if(A54="Oregon",1,if(B54="Pac12",2,3))),"")</f>
        <v>3</v>
      </c>
      <c r="D54" t="str">
        <f>if(A54="","",if(A54="Oregon","FEE123",iferror(substitute(UPPER(VLOOKUP(B54,'Conf-Color'!A:B,2,0)),"#",""),"")))</f>
        <v>FFCC99</v>
      </c>
    </row>
    <row r="55">
      <c r="A55" t="s">
        <v>255</v>
      </c>
      <c r="B55" t="s">
        <v>282</v>
      </c>
      <c r="C55">
        <f>iferror(if(VLOOKUP(B55,P5G5!A:B,2,0)="Group of 5",4,if(A55="Oregon",1,if(B55="Pac12",2,3))),"")</f>
        <v>3</v>
      </c>
      <c r="D55" t="str">
        <f>if(A55="","",if(A55="Oregon","FEE123",iferror(substitute(UPPER(VLOOKUP(B55,'Conf-Color'!A:B,2,0)),"#",""),"")))</f>
        <v>FFCC99</v>
      </c>
    </row>
    <row r="56">
      <c r="A56" t="s">
        <v>185</v>
      </c>
      <c r="B56" t="s">
        <v>282</v>
      </c>
      <c r="C56">
        <f>iferror(if(VLOOKUP(B56,P5G5!A:B,2,0)="Group of 5",4,if(A56="Oregon",1,if(B56="Pac12",2,3))),"")</f>
        <v>3</v>
      </c>
      <c r="D56" t="str">
        <f>if(A56="","",if(A56="Oregon","FEE123",iferror(substitute(UPPER(VLOOKUP(B56,'Conf-Color'!A:B,2,0)),"#",""),"")))</f>
        <v>FFCC99</v>
      </c>
    </row>
    <row r="57">
      <c r="A57" t="s">
        <v>220</v>
      </c>
      <c r="B57" t="s">
        <v>351</v>
      </c>
      <c r="C57">
        <f>iferror(if(VLOOKUP(B57,P5G5!A:B,2,0)="Group of 5",4,if(A57="Oregon",1,if(B57="Pac12",2,3))),"")</f>
        <v>4</v>
      </c>
      <c r="D57" t="str">
        <f>if(A57="","",if(A57="Oregon","FEE123",iferror(substitute(UPPER(VLOOKUP(B57,'Conf-Color'!A:B,2,0)),"#",""),"")))</f>
        <v>E1DDCF</v>
      </c>
    </row>
    <row r="58">
      <c r="A58" t="s">
        <v>260</v>
      </c>
      <c r="B58" t="s">
        <v>351</v>
      </c>
      <c r="C58">
        <f>iferror(if(VLOOKUP(B58,P5G5!A:B,2,0)="Group of 5",4,if(A58="Oregon",1,if(B58="Pac12",2,3))),"")</f>
        <v>4</v>
      </c>
      <c r="D58" t="str">
        <f>if(A58="","",if(A58="Oregon","FEE123",iferror(substitute(UPPER(VLOOKUP(B58,'Conf-Color'!A:B,2,0)),"#",""),"")))</f>
        <v>E1DDCF</v>
      </c>
    </row>
    <row r="59">
      <c r="A59" t="s">
        <v>102</v>
      </c>
      <c r="B59" t="s">
        <v>351</v>
      </c>
      <c r="C59">
        <f>iferror(if(VLOOKUP(B59,P5G5!A:B,2,0)="Group of 5",4,if(A59="Oregon",1,if(B59="Pac12",2,3))),"")</f>
        <v>4</v>
      </c>
      <c r="D59" t="str">
        <f>if(A59="","",if(A59="Oregon","FEE123",iferror(substitute(UPPER(VLOOKUP(B59,'Conf-Color'!A:B,2,0)),"#",""),"")))</f>
        <v>E1DDCF</v>
      </c>
    </row>
    <row r="60">
      <c r="A60" t="s">
        <v>250</v>
      </c>
      <c r="B60" t="s">
        <v>351</v>
      </c>
      <c r="C60">
        <f>iferror(if(VLOOKUP(B60,P5G5!A:B,2,0)="Group of 5",4,if(A60="Oregon",1,if(B60="Pac12",2,3))),"")</f>
        <v>4</v>
      </c>
      <c r="D60" t="str">
        <f>if(A60="","",if(A60="Oregon","FEE123",iferror(substitute(UPPER(VLOOKUP(B60,'Conf-Color'!A:B,2,0)),"#",""),"")))</f>
        <v>E1DDCF</v>
      </c>
    </row>
    <row r="61">
      <c r="A61" t="s">
        <v>228</v>
      </c>
      <c r="B61" t="s">
        <v>351</v>
      </c>
      <c r="C61">
        <f>iferror(if(VLOOKUP(B61,P5G5!A:B,2,0)="Group of 5",4,if(A61="Oregon",1,if(B61="Pac12",2,3))),"")</f>
        <v>4</v>
      </c>
      <c r="D61" t="str">
        <f>if(A61="","",if(A61="Oregon","FEE123",iferror(substitute(UPPER(VLOOKUP(B61,'Conf-Color'!A:B,2,0)),"#",""),"")))</f>
        <v>E1DDCF</v>
      </c>
    </row>
    <row r="62">
      <c r="A62" t="s">
        <v>201</v>
      </c>
      <c r="B62" t="s">
        <v>351</v>
      </c>
      <c r="C62">
        <f>iferror(if(VLOOKUP(B62,P5G5!A:B,2,0)="Group of 5",4,if(A62="Oregon",1,if(B62="Pac12",2,3))),"")</f>
        <v>4</v>
      </c>
      <c r="D62" t="str">
        <f>if(A62="","",if(A62="Oregon","FEE123",iferror(substitute(UPPER(VLOOKUP(B62,'Conf-Color'!A:B,2,0)),"#",""),"")))</f>
        <v>E1DDCF</v>
      </c>
    </row>
    <row r="63">
      <c r="A63" t="s">
        <v>78</v>
      </c>
      <c r="B63" t="s">
        <v>351</v>
      </c>
      <c r="C63">
        <f>iferror(if(VLOOKUP(B63,P5G5!A:B,2,0)="Group of 5",4,if(A63="Oregon",1,if(B63="Pac12",2,3))),"")</f>
        <v>4</v>
      </c>
      <c r="D63" t="str">
        <f>if(A63="","",if(A63="Oregon","FEE123",iferror(substitute(UPPER(VLOOKUP(B63,'Conf-Color'!A:B,2,0)),"#",""),"")))</f>
        <v>E1DDCF</v>
      </c>
    </row>
    <row r="64">
      <c r="A64" t="s">
        <v>194</v>
      </c>
      <c r="B64" t="s">
        <v>351</v>
      </c>
      <c r="C64">
        <f>iferror(if(VLOOKUP(B64,P5G5!A:B,2,0)="Group of 5",4,if(A64="Oregon",1,if(B64="Pac12",2,3))),"")</f>
        <v>4</v>
      </c>
      <c r="D64" t="str">
        <f>if(A64="","",if(A64="Oregon","FEE123",iferror(substitute(UPPER(VLOOKUP(B64,'Conf-Color'!A:B,2,0)),"#",""),"")))</f>
        <v>E1DDCF</v>
      </c>
    </row>
    <row r="65">
      <c r="A65" t="s">
        <v>215</v>
      </c>
      <c r="B65" t="s">
        <v>351</v>
      </c>
      <c r="C65">
        <f>iferror(if(VLOOKUP(B65,P5G5!A:B,2,0)="Group of 5",4,if(A65="Oregon",1,if(B65="Pac12",2,3))),"")</f>
        <v>4</v>
      </c>
      <c r="D65" t="str">
        <f>if(A65="","",if(A65="Oregon","FEE123",iferror(substitute(UPPER(VLOOKUP(B65,'Conf-Color'!A:B,2,0)),"#",""),"")))</f>
        <v>E1DDCF</v>
      </c>
    </row>
    <row r="66">
      <c r="A66" t="s">
        <v>123</v>
      </c>
      <c r="B66" t="s">
        <v>351</v>
      </c>
      <c r="C66">
        <f>iferror(if(VLOOKUP(B66,P5G5!A:B,2,0)="Group of 5",4,if(A66="Oregon",1,if(B66="Pac12",2,3))),"")</f>
        <v>4</v>
      </c>
      <c r="D66" t="str">
        <f>if(A66="","",if(A66="Oregon","FEE123",iferror(substitute(UPPER(VLOOKUP(B66,'Conf-Color'!A:B,2,0)),"#",""),"")))</f>
        <v>E1DDCF</v>
      </c>
    </row>
    <row r="67">
      <c r="A67" t="s">
        <v>236</v>
      </c>
      <c r="B67" t="s">
        <v>424</v>
      </c>
      <c r="C67">
        <f>iferror(if(VLOOKUP(B67,P5G5!A:B,2,0)="Group of 5",4,if(A67="Oregon",1,if(B67="Pac12",2,3))),"")</f>
        <v>4</v>
      </c>
      <c r="D67" t="str">
        <f>if(A67="","",if(A67="Oregon","FEE123",iferror(substitute(UPPER(VLOOKUP(B67,'Conf-Color'!A:B,2,0)),"#",""),"")))</f>
        <v>E1DDCF</v>
      </c>
    </row>
    <row r="68">
      <c r="A68" t="s">
        <v>176</v>
      </c>
      <c r="B68" t="s">
        <v>424</v>
      </c>
      <c r="C68">
        <f>iferror(if(VLOOKUP(B68,P5G5!A:B,2,0)="Group of 5",4,if(A68="Oregon",1,if(B68="Pac12",2,3))),"")</f>
        <v>4</v>
      </c>
      <c r="D68" t="str">
        <f>if(A68="","",if(A68="Oregon","FEE123",iferror(substitute(UPPER(VLOOKUP(B68,'Conf-Color'!A:B,2,0)),"#",""),"")))</f>
        <v>E1DDCF</v>
      </c>
    </row>
    <row r="69">
      <c r="A69" t="s">
        <v>252</v>
      </c>
      <c r="B69" t="s">
        <v>407</v>
      </c>
      <c r="C69">
        <f>iferror(if(VLOOKUP(B69,P5G5!A:B,2,0)="Group of 5",4,if(A69="Oregon",1,if(B69="Pac12",2,3))),"")</f>
        <v>4</v>
      </c>
      <c r="D69" t="str">
        <f>if(A69="","",if(A69="Oregon","FEE123",iferror(substitute(UPPER(VLOOKUP(B69,'Conf-Color'!A:B,2,0)),"#",""),"")))</f>
        <v>E1DDCF</v>
      </c>
    </row>
    <row r="70">
      <c r="A70" t="s">
        <v>189</v>
      </c>
      <c r="B70" t="s">
        <v>352</v>
      </c>
      <c r="C70">
        <f>iferror(if(VLOOKUP(B70,P5G5!A:B,2,0)="Group of 5",4,if(A70="Oregon",1,if(B70="Pac12",2,3))),"")</f>
        <v>4</v>
      </c>
      <c r="D70" t="str">
        <f>if(A70="","",if(A70="Oregon","FEE123",iferror(substitute(UPPER(VLOOKUP(B70,'Conf-Color'!A:B,2,0)),"#",""),"")))</f>
        <v>E1DDCF</v>
      </c>
    </row>
    <row r="71">
      <c r="A71" t="s">
        <v>177</v>
      </c>
      <c r="B71" t="s">
        <v>352</v>
      </c>
      <c r="C71">
        <f>iferror(if(VLOOKUP(B71,P5G5!A:B,2,0)="Group of 5",4,if(A71="Oregon",1,if(B71="Pac12",2,3))),"")</f>
        <v>4</v>
      </c>
      <c r="D71" t="str">
        <f>if(A71="","",if(A71="Oregon","FEE123",iferror(substitute(UPPER(VLOOKUP(B71,'Conf-Color'!A:B,2,0)),"#",""),"")))</f>
        <v>E1DDCF</v>
      </c>
    </row>
    <row r="72">
      <c r="A72" t="s">
        <v>226</v>
      </c>
      <c r="B72" t="s">
        <v>352</v>
      </c>
      <c r="C72">
        <f>iferror(if(VLOOKUP(B72,P5G5!A:B,2,0)="Group of 5",4,if(A72="Oregon",1,if(B72="Pac12",2,3))),"")</f>
        <v>4</v>
      </c>
      <c r="D72" t="str">
        <f>if(A72="","",if(A72="Oregon","FEE123",iferror(substitute(UPPER(VLOOKUP(B72,'Conf-Color'!A:B,2,0)),"#",""),"")))</f>
        <v>E1DDCF</v>
      </c>
    </row>
    <row r="73">
      <c r="A73" t="s">
        <v>199</v>
      </c>
      <c r="B73" t="s">
        <v>352</v>
      </c>
      <c r="C73">
        <f>iferror(if(VLOOKUP(B73,P5G5!A:B,2,0)="Group of 5",4,if(A73="Oregon",1,if(B73="Pac12",2,3))),"")</f>
        <v>4</v>
      </c>
      <c r="D73" t="str">
        <f>if(A73="","",if(A73="Oregon","FEE123",iferror(substitute(UPPER(VLOOKUP(B73,'Conf-Color'!A:B,2,0)),"#",""),"")))</f>
        <v>E1DDCF</v>
      </c>
    </row>
    <row r="74">
      <c r="A74" t="s">
        <v>265</v>
      </c>
      <c r="B74" t="s">
        <v>352</v>
      </c>
      <c r="C74">
        <f>iferror(if(VLOOKUP(B74,P5G5!A:B,2,0)="Group of 5",4,if(A74="Oregon",1,if(B74="Pac12",2,3))),"")</f>
        <v>4</v>
      </c>
      <c r="D74" t="str">
        <f>if(A74="","",if(A74="Oregon","FEE123",iferror(substitute(UPPER(VLOOKUP(B74,'Conf-Color'!A:B,2,0)),"#",""),"")))</f>
        <v>E1DDCF</v>
      </c>
    </row>
    <row r="75">
      <c r="A75" t="s">
        <v>238</v>
      </c>
      <c r="B75" t="s">
        <v>352</v>
      </c>
      <c r="C75">
        <f>iferror(if(VLOOKUP(B75,P5G5!A:B,2,0)="Group of 5",4,if(A75="Oregon",1,if(B75="Pac12",2,3))),"")</f>
        <v>4</v>
      </c>
      <c r="D75" t="str">
        <f>if(A75="","",if(A75="Oregon","FEE123",iferror(substitute(UPPER(VLOOKUP(B75,'Conf-Color'!A:B,2,0)),"#",""),"")))</f>
        <v>E1DDCF</v>
      </c>
    </row>
    <row r="76">
      <c r="A76" t="s">
        <v>75</v>
      </c>
      <c r="B76" t="s">
        <v>352</v>
      </c>
      <c r="C76">
        <f>iferror(if(VLOOKUP(B76,P5G5!A:B,2,0)="Group of 5",4,if(A76="Oregon",1,if(B76="Pac12",2,3))),"")</f>
        <v>4</v>
      </c>
      <c r="D76" t="str">
        <f>if(A76="","",if(A76="Oregon","FEE123",iferror(substitute(UPPER(VLOOKUP(B76,'Conf-Color'!A:B,2,0)),"#",""),"")))</f>
        <v>E1DDCF</v>
      </c>
    </row>
    <row r="77">
      <c r="A77" t="s">
        <v>240</v>
      </c>
      <c r="B77" t="s">
        <v>352</v>
      </c>
      <c r="C77">
        <f>iferror(if(VLOOKUP(B77,P5G5!A:B,2,0)="Group of 5",4,if(A77="Oregon",1,if(B77="Pac12",2,3))),"")</f>
        <v>4</v>
      </c>
      <c r="D77" t="str">
        <f>if(A77="","",if(A77="Oregon","FEE123",iferror(substitute(UPPER(VLOOKUP(B77,'Conf-Color'!A:B,2,0)),"#",""),"")))</f>
        <v>E1DDCF</v>
      </c>
    </row>
    <row r="78">
      <c r="A78" t="s">
        <v>117</v>
      </c>
      <c r="B78" t="s">
        <v>352</v>
      </c>
      <c r="C78">
        <f>iferror(if(VLOOKUP(B78,P5G5!A:B,2,0)="Group of 5",4,if(A78="Oregon",1,if(B78="Pac12",2,3))),"")</f>
        <v>4</v>
      </c>
      <c r="D78" t="str">
        <f>if(A78="","",if(A78="Oregon","FEE123",iferror(substitute(UPPER(VLOOKUP(B78,'Conf-Color'!A:B,2,0)),"#",""),"")))</f>
        <v>E1DDCF</v>
      </c>
    </row>
    <row r="79">
      <c r="A79" t="s">
        <v>214</v>
      </c>
      <c r="B79" t="s">
        <v>352</v>
      </c>
      <c r="C79">
        <f>iferror(if(VLOOKUP(B79,P5G5!A:B,2,0)="Group of 5",4,if(A79="Oregon",1,if(B79="Pac12",2,3))),"")</f>
        <v>4</v>
      </c>
      <c r="D79" t="str">
        <f>if(A79="","",if(A79="Oregon","FEE123",iferror(substitute(UPPER(VLOOKUP(B79,'Conf-Color'!A:B,2,0)),"#",""),"")))</f>
        <v>E1DDCF</v>
      </c>
    </row>
    <row r="80">
      <c r="A80" t="s">
        <v>120</v>
      </c>
      <c r="B80" t="s">
        <v>352</v>
      </c>
      <c r="C80">
        <f>iferror(if(VLOOKUP(B80,P5G5!A:B,2,0)="Group of 5",4,if(A80="Oregon",1,if(B80="Pac12",2,3))),"")</f>
        <v>4</v>
      </c>
      <c r="D80" t="str">
        <f>if(A80="","",if(A80="Oregon","FEE123",iferror(substitute(UPPER(VLOOKUP(B80,'Conf-Color'!A:B,2,0)),"#",""),"")))</f>
        <v>E1DDCF</v>
      </c>
    </row>
    <row r="81">
      <c r="A81" t="s">
        <v>272</v>
      </c>
      <c r="B81" t="s">
        <v>352</v>
      </c>
      <c r="C81">
        <f>iferror(if(VLOOKUP(B81,P5G5!A:B,2,0)="Group of 5",4,if(A81="Oregon",1,if(B81="Pac12",2,3))),"")</f>
        <v>4</v>
      </c>
      <c r="D81" t="str">
        <f>if(A81="","",if(A81="Oregon","FEE123",iferror(substitute(UPPER(VLOOKUP(B81,'Conf-Color'!A:B,2,0)),"#",""),"")))</f>
        <v>E1DDCF</v>
      </c>
    </row>
    <row r="82">
      <c r="A82" t="s">
        <v>243</v>
      </c>
      <c r="B82" t="s">
        <v>353</v>
      </c>
      <c r="C82">
        <f>iferror(if(VLOOKUP(B82,P5G5!A:B,2,0)="Group of 5",4,if(A82="Oregon",1,if(B82="Pac12",2,3))),"")</f>
        <v>4</v>
      </c>
      <c r="D82" t="str">
        <f>if(A82="","",if(A82="Oregon","FEE123",iferror(substitute(UPPER(VLOOKUP(B82,'Conf-Color'!A:B,2,0)),"#",""),"")))</f>
        <v>E1DDCF</v>
      </c>
    </row>
    <row r="83">
      <c r="A83" t="s">
        <v>227</v>
      </c>
      <c r="B83" t="s">
        <v>353</v>
      </c>
      <c r="C83">
        <f>iferror(if(VLOOKUP(B83,P5G5!A:B,2,0)="Group of 5",4,if(A83="Oregon",1,if(B83="Pac12",2,3))),"")</f>
        <v>4</v>
      </c>
      <c r="D83" t="str">
        <f>if(A83="","",if(A83="Oregon","FEE123",iferror(substitute(UPPER(VLOOKUP(B83,'Conf-Color'!A:B,2,0)),"#",""),"")))</f>
        <v>E1DDCF</v>
      </c>
    </row>
    <row r="84">
      <c r="A84" t="s">
        <v>105</v>
      </c>
      <c r="B84" t="s">
        <v>353</v>
      </c>
      <c r="C84">
        <f>iferror(if(VLOOKUP(B84,P5G5!A:B,2,0)="Group of 5",4,if(A84="Oregon",1,if(B84="Pac12",2,3))),"")</f>
        <v>4</v>
      </c>
      <c r="D84" t="str">
        <f>if(A84="","",if(A84="Oregon","FEE123",iferror(substitute(UPPER(VLOOKUP(B84,'Conf-Color'!A:B,2,0)),"#",""),"")))</f>
        <v>E1DDCF</v>
      </c>
    </row>
    <row r="85">
      <c r="A85" t="s">
        <v>241</v>
      </c>
      <c r="B85" t="s">
        <v>353</v>
      </c>
      <c r="C85">
        <f>iferror(if(VLOOKUP(B85,P5G5!A:B,2,0)="Group of 5",4,if(A85="Oregon",1,if(B85="Pac12",2,3))),"")</f>
        <v>4</v>
      </c>
      <c r="D85" t="str">
        <f>if(A85="","",if(A85="Oregon","FEE123",iferror(substitute(UPPER(VLOOKUP(B85,'Conf-Color'!A:B,2,0)),"#",""),"")))</f>
        <v>E1DDCF</v>
      </c>
    </row>
    <row r="86">
      <c r="A86" t="s">
        <v>173</v>
      </c>
      <c r="B86" t="s">
        <v>353</v>
      </c>
      <c r="C86">
        <f>iferror(if(VLOOKUP(B86,P5G5!A:B,2,0)="Group of 5",4,if(A86="Oregon",1,if(B86="Pac12",2,3))),"")</f>
        <v>4</v>
      </c>
      <c r="D86" t="str">
        <f>if(A86="","",if(A86="Oregon","FEE123",iferror(substitute(UPPER(VLOOKUP(B86,'Conf-Color'!A:B,2,0)),"#",""),"")))</f>
        <v>E1DDCF</v>
      </c>
    </row>
    <row r="87">
      <c r="A87" t="s">
        <v>258</v>
      </c>
      <c r="B87" t="s">
        <v>353</v>
      </c>
      <c r="C87">
        <f>iferror(if(VLOOKUP(B87,P5G5!A:B,2,0)="Group of 5",4,if(A87="Oregon",1,if(B87="Pac12",2,3))),"")</f>
        <v>4</v>
      </c>
      <c r="D87" t="str">
        <f>if(A87="","",if(A87="Oregon","FEE123",iferror(substitute(UPPER(VLOOKUP(B87,'Conf-Color'!A:B,2,0)),"#",""),"")))</f>
        <v>E1DDCF</v>
      </c>
    </row>
    <row r="88">
      <c r="A88" t="s">
        <v>88</v>
      </c>
      <c r="B88" t="s">
        <v>353</v>
      </c>
      <c r="C88">
        <f>iferror(if(VLOOKUP(B88,P5G5!A:B,2,0)="Group of 5",4,if(A88="Oregon",1,if(B88="Pac12",2,3))),"")</f>
        <v>4</v>
      </c>
      <c r="D88" t="str">
        <f>if(A88="","",if(A88="Oregon","FEE123",iferror(substitute(UPPER(VLOOKUP(B88,'Conf-Color'!A:B,2,0)),"#",""),"")))</f>
        <v>E1DDCF</v>
      </c>
    </row>
    <row r="89">
      <c r="A89" t="s">
        <v>190</v>
      </c>
      <c r="B89" t="s">
        <v>353</v>
      </c>
      <c r="C89">
        <f>iferror(if(VLOOKUP(B89,P5G5!A:B,2,0)="Group of 5",4,if(A89="Oregon",1,if(B89="Pac12",2,3))),"")</f>
        <v>4</v>
      </c>
      <c r="D89" t="str">
        <f>if(A89="","",if(A89="Oregon","FEE123",iferror(substitute(UPPER(VLOOKUP(B89,'Conf-Color'!A:B,2,0)),"#",""),"")))</f>
        <v>E1DDCF</v>
      </c>
    </row>
    <row r="90">
      <c r="A90" t="s">
        <v>129</v>
      </c>
      <c r="B90" t="s">
        <v>353</v>
      </c>
      <c r="C90">
        <f>iferror(if(VLOOKUP(B90,P5G5!A:B,2,0)="Group of 5",4,if(A90="Oregon",1,if(B90="Pac12",2,3))),"")</f>
        <v>4</v>
      </c>
      <c r="D90" t="str">
        <f>if(A90="","",if(A90="Oregon","FEE123",iferror(substitute(UPPER(VLOOKUP(B90,'Conf-Color'!A:B,2,0)),"#",""),"")))</f>
        <v>E1DDCF</v>
      </c>
    </row>
    <row r="91">
      <c r="A91" t="s">
        <v>202</v>
      </c>
      <c r="B91" t="s">
        <v>353</v>
      </c>
      <c r="C91">
        <f>iferror(if(VLOOKUP(B91,P5G5!A:B,2,0)="Group of 5",4,if(A91="Oregon",1,if(B91="Pac12",2,3))),"")</f>
        <v>4</v>
      </c>
      <c r="D91" t="str">
        <f>if(A91="","",if(A91="Oregon","FEE123",iferror(substitute(UPPER(VLOOKUP(B91,'Conf-Color'!A:B,2,0)),"#",""),"")))</f>
        <v>E1DDCF</v>
      </c>
    </row>
    <row r="92">
      <c r="A92" t="s">
        <v>273</v>
      </c>
      <c r="B92" t="s">
        <v>353</v>
      </c>
      <c r="C92">
        <f>iferror(if(VLOOKUP(B92,P5G5!A:B,2,0)="Group of 5",4,if(A92="Oregon",1,if(B92="Pac12",2,3))),"")</f>
        <v>4</v>
      </c>
      <c r="D92" t="str">
        <f>if(A92="","",if(A92="Oregon","FEE123",iferror(substitute(UPPER(VLOOKUP(B92,'Conf-Color'!A:B,2,0)),"#",""),"")))</f>
        <v>E1DDCF</v>
      </c>
    </row>
    <row r="93">
      <c r="A93" t="s">
        <v>183</v>
      </c>
      <c r="B93" t="s">
        <v>353</v>
      </c>
      <c r="C93">
        <f>iferror(if(VLOOKUP(B93,P5G5!A:B,2,0)="Group of 5",4,if(A93="Oregon",1,if(B93="Pac12",2,3))),"")</f>
        <v>4</v>
      </c>
      <c r="D93" t="str">
        <f>if(A93="","",if(A93="Oregon","FEE123",iferror(substitute(UPPER(VLOOKUP(B93,'Conf-Color'!A:B,2,0)),"#",""),"")))</f>
        <v>E1DDCF</v>
      </c>
    </row>
    <row r="94">
      <c r="A94" t="s">
        <v>218</v>
      </c>
      <c r="B94" t="s">
        <v>355</v>
      </c>
      <c r="C94">
        <f>iferror(if(VLOOKUP(B94,P5G5!A:B,2,0)="Group of 5",4,if(A94="Oregon",1,if(B94="Pac12",2,3))),"")</f>
        <v>4</v>
      </c>
      <c r="D94" t="str">
        <f>if(A94="","",if(A94="Oregon","FEE123",iferror(substitute(UPPER(VLOOKUP(B94,'Conf-Color'!A:B,2,0)),"#",""),"")))</f>
        <v>E1DDCF</v>
      </c>
    </row>
    <row r="95">
      <c r="A95" t="s">
        <v>217</v>
      </c>
      <c r="B95" t="s">
        <v>354</v>
      </c>
      <c r="C95">
        <f>iferror(if(VLOOKUP(B95,P5G5!A:B,2,0)="Group of 5",4,if(A95="Oregon",1,if(B95="Pac12",2,3))),"")</f>
        <v>2</v>
      </c>
      <c r="D95" t="str">
        <f>if(A95="","",if(A95="Oregon","FEE123",iferror(substitute(UPPER(VLOOKUP(B95,'Conf-Color'!A:B,2,0)),"#",""),"")))</f>
        <v>2CEFFF</v>
      </c>
    </row>
    <row r="96">
      <c r="A96" t="s">
        <v>174</v>
      </c>
      <c r="B96" t="s">
        <v>354</v>
      </c>
      <c r="C96">
        <f>iferror(if(VLOOKUP(B96,P5G5!A:B,2,0)="Group of 5",4,if(A96="Oregon",1,if(B96="Pac12",2,3))),"")</f>
        <v>2</v>
      </c>
      <c r="D96" t="str">
        <f>if(A96="","",if(A96="Oregon","FEE123",iferror(substitute(UPPER(VLOOKUP(B96,'Conf-Color'!A:B,2,0)),"#",""),"")))</f>
        <v>2CEFFF</v>
      </c>
    </row>
    <row r="97">
      <c r="A97" t="s">
        <v>251</v>
      </c>
      <c r="B97" t="s">
        <v>354</v>
      </c>
      <c r="C97">
        <f>iferror(if(VLOOKUP(B97,P5G5!A:B,2,0)="Group of 5",4,if(A97="Oregon",1,if(B97="Pac12",2,3))),"")</f>
        <v>2</v>
      </c>
      <c r="D97" t="str">
        <f>if(A97="","",if(A97="Oregon","FEE123",iferror(substitute(UPPER(VLOOKUP(B97,'Conf-Color'!A:B,2,0)),"#",""),"")))</f>
        <v>2CEFFF</v>
      </c>
    </row>
    <row r="98">
      <c r="A98" t="s">
        <v>269</v>
      </c>
      <c r="B98" t="s">
        <v>354</v>
      </c>
      <c r="C98">
        <f>iferror(if(VLOOKUP(B98,P5G5!A:B,2,0)="Group of 5",4,if(A98="Oregon",1,if(B98="Pac12",2,3))),"")</f>
        <v>2</v>
      </c>
      <c r="D98" t="str">
        <f>if(A98="","",if(A98="Oregon","FEE123",iferror(substitute(UPPER(VLOOKUP(B98,'Conf-Color'!A:B,2,0)),"#",""),"")))</f>
        <v>2CEFFF</v>
      </c>
    </row>
    <row r="99">
      <c r="A99" t="s">
        <v>38</v>
      </c>
      <c r="B99" t="s">
        <v>354</v>
      </c>
      <c r="C99">
        <f>iferror(if(VLOOKUP(B99,P5G5!A:B,2,0)="Group of 5",4,if(A99="Oregon",1,if(B99="Pac12",2,3))),"")</f>
        <v>1</v>
      </c>
      <c r="D99" t="str">
        <f>if(A99="","",if(A99="Oregon","FEE123",iferror(substitute(UPPER(VLOOKUP(B99,'Conf-Color'!A:B,2,0)),"#",""),"")))</f>
        <v>FEE123</v>
      </c>
    </row>
    <row r="100">
      <c r="A100" t="s">
        <v>247</v>
      </c>
      <c r="B100" t="s">
        <v>354</v>
      </c>
      <c r="C100">
        <f>iferror(if(VLOOKUP(B100,P5G5!A:B,2,0)="Group of 5",4,if(A100="Oregon",1,if(B100="Pac12",2,3))),"")</f>
        <v>2</v>
      </c>
      <c r="D100" t="str">
        <f>if(A100="","",if(A100="Oregon","FEE123",iferror(substitute(UPPER(VLOOKUP(B100,'Conf-Color'!A:B,2,0)),"#",""),"")))</f>
        <v>2CEFFF</v>
      </c>
    </row>
    <row r="101">
      <c r="A101" t="s">
        <v>193</v>
      </c>
      <c r="B101" t="s">
        <v>354</v>
      </c>
      <c r="C101">
        <f>iferror(if(VLOOKUP(B101,P5G5!A:B,2,0)="Group of 5",4,if(A101="Oregon",1,if(B101="Pac12",2,3))),"")</f>
        <v>2</v>
      </c>
      <c r="D101" t="str">
        <f>if(A101="","",if(A101="Oregon","FEE123",iferror(substitute(UPPER(VLOOKUP(B101,'Conf-Color'!A:B,2,0)),"#",""),"")))</f>
        <v>2CEFFF</v>
      </c>
    </row>
    <row r="102">
      <c r="A102" t="s">
        <v>109</v>
      </c>
      <c r="B102" t="s">
        <v>354</v>
      </c>
      <c r="C102">
        <f>iferror(if(VLOOKUP(B102,P5G5!A:B,2,0)="Group of 5",4,if(A102="Oregon",1,if(B102="Pac12",2,3))),"")</f>
        <v>2</v>
      </c>
      <c r="D102" t="str">
        <f>if(A102="","",if(A102="Oregon","FEE123",iferror(substitute(UPPER(VLOOKUP(B102,'Conf-Color'!A:B,2,0)),"#",""),"")))</f>
        <v>2CEFFF</v>
      </c>
    </row>
    <row r="103">
      <c r="A103" t="s">
        <v>204</v>
      </c>
      <c r="B103" t="s">
        <v>354</v>
      </c>
      <c r="C103">
        <f>iferror(if(VLOOKUP(B103,P5G5!A:B,2,0)="Group of 5",4,if(A103="Oregon",1,if(B103="Pac12",2,3))),"")</f>
        <v>2</v>
      </c>
      <c r="D103" t="str">
        <f>if(A103="","",if(A103="Oregon","FEE123",iferror(substitute(UPPER(VLOOKUP(B103,'Conf-Color'!A:B,2,0)),"#",""),"")))</f>
        <v>2CEFFF</v>
      </c>
    </row>
    <row r="104">
      <c r="A104" t="s">
        <v>231</v>
      </c>
      <c r="B104" t="s">
        <v>354</v>
      </c>
      <c r="C104">
        <f>iferror(if(VLOOKUP(B104,P5G5!A:B,2,0)="Group of 5",4,if(A104="Oregon",1,if(B104="Pac12",2,3))),"")</f>
        <v>2</v>
      </c>
      <c r="D104" t="str">
        <f>if(A104="","",if(A104="Oregon","FEE123",iferror(substitute(UPPER(VLOOKUP(B104,'Conf-Color'!A:B,2,0)),"#",""),"")))</f>
        <v>2CEFFF</v>
      </c>
    </row>
    <row r="105">
      <c r="A105" t="s">
        <v>180</v>
      </c>
      <c r="B105" t="s">
        <v>354</v>
      </c>
      <c r="C105">
        <f>iferror(if(VLOOKUP(B105,P5G5!A:B,2,0)="Group of 5",4,if(A105="Oregon",1,if(B105="Pac12",2,3))),"")</f>
        <v>2</v>
      </c>
      <c r="D105" t="str">
        <f>if(A105="","",if(A105="Oregon","FEE123",iferror(substitute(UPPER(VLOOKUP(B105,'Conf-Color'!A:B,2,0)),"#",""),"")))</f>
        <v>2CEFFF</v>
      </c>
    </row>
    <row r="106">
      <c r="A106" t="s">
        <v>259</v>
      </c>
      <c r="B106" t="s">
        <v>354</v>
      </c>
      <c r="C106">
        <f>iferror(if(VLOOKUP(B106,P5G5!A:B,2,0)="Group of 5",4,if(A106="Oregon",1,if(B106="Pac12",2,3))),"")</f>
        <v>2</v>
      </c>
      <c r="D106" t="str">
        <f>if(A106="","",if(A106="Oregon","FEE123",iferror(substitute(UPPER(VLOOKUP(B106,'Conf-Color'!A:B,2,0)),"#",""),"")))</f>
        <v>2CEFFF</v>
      </c>
    </row>
    <row r="107">
      <c r="A107" t="s">
        <v>128</v>
      </c>
      <c r="B107" t="s">
        <v>301</v>
      </c>
      <c r="C107">
        <f>iferror(if(VLOOKUP(B107,P5G5!A:B,2,0)="Group of 5",4,if(A107="Oregon",1,if(B107="Pac12",2,3))),"")</f>
        <v>3</v>
      </c>
      <c r="D107" t="str">
        <f>if(A107="","",if(A107="Oregon","FEE123",iferror(substitute(UPPER(VLOOKUP(B107,'Conf-Color'!A:B,2,0)),"#",""),"")))</f>
        <v>FFCC99</v>
      </c>
    </row>
    <row r="108">
      <c r="A108" t="s">
        <v>137</v>
      </c>
      <c r="B108" t="s">
        <v>292</v>
      </c>
      <c r="C108">
        <f>iferror(if(VLOOKUP(B108,P5G5!A:B,2,0)="Group of 5",4,if(A108="Oregon",1,if(B108="Pac12",2,3))),"")</f>
        <v>3</v>
      </c>
      <c r="D108" t="str">
        <f>if(A108="","",if(A108="Oregon","FEE123",iferror(substitute(UPPER(VLOOKUP(B108,'Conf-Color'!A:B,2,0)),"#",""),"")))</f>
        <v>FFCC99</v>
      </c>
    </row>
    <row r="109">
      <c r="A109" t="s">
        <v>213</v>
      </c>
      <c r="B109" t="s">
        <v>292</v>
      </c>
      <c r="C109">
        <f>iferror(if(VLOOKUP(B109,P5G5!A:B,2,0)="Group of 5",4,if(A109="Oregon",1,if(B109="Pac12",2,3))),"")</f>
        <v>3</v>
      </c>
      <c r="D109" t="str">
        <f>if(A109="","",if(A109="Oregon","FEE123",iferror(substitute(UPPER(VLOOKUP(B109,'Conf-Color'!A:B,2,0)),"#",""),"")))</f>
        <v>FFCC99</v>
      </c>
    </row>
    <row r="110">
      <c r="A110" t="s">
        <v>112</v>
      </c>
      <c r="B110" t="s">
        <v>292</v>
      </c>
      <c r="C110">
        <f>iferror(if(VLOOKUP(B110,P5G5!A:B,2,0)="Group of 5",4,if(A110="Oregon",1,if(B110="Pac12",2,3))),"")</f>
        <v>3</v>
      </c>
      <c r="D110" t="str">
        <f>if(A110="","",if(A110="Oregon","FEE123",iferror(substitute(UPPER(VLOOKUP(B110,'Conf-Color'!A:B,2,0)),"#",""),"")))</f>
        <v>FFCC99</v>
      </c>
    </row>
    <row r="111">
      <c r="A111" t="s">
        <v>127</v>
      </c>
      <c r="B111" t="s">
        <v>292</v>
      </c>
      <c r="C111">
        <f>iferror(if(VLOOKUP(B111,P5G5!A:B,2,0)="Group of 5",4,if(A111="Oregon",1,if(B111="Pac12",2,3))),"")</f>
        <v>3</v>
      </c>
      <c r="D111" t="str">
        <f>if(A111="","",if(A111="Oregon","FEE123",iferror(substitute(UPPER(VLOOKUP(B111,'Conf-Color'!A:B,2,0)),"#",""),"")))</f>
        <v>FFCC99</v>
      </c>
    </row>
    <row r="112">
      <c r="A112" t="s">
        <v>63</v>
      </c>
      <c r="B112" t="s">
        <v>292</v>
      </c>
      <c r="C112">
        <f>iferror(if(VLOOKUP(B112,P5G5!A:B,2,0)="Group of 5",4,if(A112="Oregon",1,if(B112="Pac12",2,3))),"")</f>
        <v>3</v>
      </c>
      <c r="D112" t="str">
        <f>if(A112="","",if(A112="Oregon","FEE123",iferror(substitute(UPPER(VLOOKUP(B112,'Conf-Color'!A:B,2,0)),"#",""),"")))</f>
        <v>FFCC99</v>
      </c>
    </row>
    <row r="113">
      <c r="A113" t="s">
        <v>196</v>
      </c>
      <c r="B113" t="s">
        <v>292</v>
      </c>
      <c r="C113">
        <f>iferror(if(VLOOKUP(B113,P5G5!A:B,2,0)="Group of 5",4,if(A113="Oregon",1,if(B113="Pac12",2,3))),"")</f>
        <v>3</v>
      </c>
      <c r="D113" t="str">
        <f>if(A113="","",if(A113="Oregon","FEE123",iferror(substitute(UPPER(VLOOKUP(B113,'Conf-Color'!A:B,2,0)),"#",""),"")))</f>
        <v>FFCC99</v>
      </c>
    </row>
    <row r="114">
      <c r="A114" t="s">
        <v>219</v>
      </c>
      <c r="B114" t="s">
        <v>292</v>
      </c>
      <c r="C114">
        <f>iferror(if(VLOOKUP(B114,P5G5!A:B,2,0)="Group of 5",4,if(A114="Oregon",1,if(B114="Pac12",2,3))),"")</f>
        <v>3</v>
      </c>
      <c r="D114" t="str">
        <f>if(A114="","",if(A114="Oregon","FEE123",iferror(substitute(UPPER(VLOOKUP(B114,'Conf-Color'!A:B,2,0)),"#",""),"")))</f>
        <v>FFCC99</v>
      </c>
    </row>
    <row r="115">
      <c r="A115" t="s">
        <v>249</v>
      </c>
      <c r="B115" t="s">
        <v>292</v>
      </c>
      <c r="C115">
        <f>iferror(if(VLOOKUP(B115,P5G5!A:B,2,0)="Group of 5",4,if(A115="Oregon",1,if(B115="Pac12",2,3))),"")</f>
        <v>3</v>
      </c>
      <c r="D115" t="str">
        <f>if(A115="","",if(A115="Oregon","FEE123",iferror(substitute(UPPER(VLOOKUP(B115,'Conf-Color'!A:B,2,0)),"#",""),"")))</f>
        <v>FFCC99</v>
      </c>
    </row>
    <row r="116">
      <c r="A116" t="s">
        <v>237</v>
      </c>
      <c r="B116" t="s">
        <v>292</v>
      </c>
      <c r="C116">
        <f>iferror(if(VLOOKUP(B116,P5G5!A:B,2,0)="Group of 5",4,if(A116="Oregon",1,if(B116="Pac12",2,3))),"")</f>
        <v>3</v>
      </c>
      <c r="D116" t="str">
        <f>if(A116="","",if(A116="Oregon","FEE123",iferror(substitute(UPPER(VLOOKUP(B116,'Conf-Color'!A:B,2,0)),"#",""),"")))</f>
        <v>FFCC99</v>
      </c>
    </row>
    <row r="117">
      <c r="A117" t="s">
        <v>225</v>
      </c>
      <c r="B117" t="s">
        <v>292</v>
      </c>
      <c r="C117">
        <f>iferror(if(VLOOKUP(B117,P5G5!A:B,2,0)="Group of 5",4,if(A117="Oregon",1,if(B117="Pac12",2,3))),"")</f>
        <v>3</v>
      </c>
      <c r="D117" t="str">
        <f>if(A117="","",if(A117="Oregon","FEE123",iferror(substitute(UPPER(VLOOKUP(B117,'Conf-Color'!A:B,2,0)),"#",""),"")))</f>
        <v>FFCC99</v>
      </c>
    </row>
    <row r="118">
      <c r="A118" t="s">
        <v>184</v>
      </c>
      <c r="B118" t="s">
        <v>292</v>
      </c>
      <c r="C118">
        <f>iferror(if(VLOOKUP(B118,P5G5!A:B,2,0)="Group of 5",4,if(A118="Oregon",1,if(B118="Pac12",2,3))),"")</f>
        <v>3</v>
      </c>
      <c r="D118" t="str">
        <f>if(A118="","",if(A118="Oregon","FEE123",iferror(substitute(UPPER(VLOOKUP(B118,'Conf-Color'!A:B,2,0)),"#",""),"")))</f>
        <v>FFCC99</v>
      </c>
    </row>
    <row r="119">
      <c r="A119" t="s">
        <v>233</v>
      </c>
      <c r="B119" t="s">
        <v>292</v>
      </c>
      <c r="C119">
        <f>iferror(if(VLOOKUP(B119,P5G5!A:B,2,0)="Group of 5",4,if(A119="Oregon",1,if(B119="Pac12",2,3))),"")</f>
        <v>3</v>
      </c>
      <c r="D119" t="str">
        <f>if(A119="","",if(A119="Oregon","FEE123",iferror(substitute(UPPER(VLOOKUP(B119,'Conf-Color'!A:B,2,0)),"#",""),"")))</f>
        <v>FFCC99</v>
      </c>
    </row>
    <row r="120">
      <c r="A120" t="s">
        <v>264</v>
      </c>
      <c r="B120" t="s">
        <v>292</v>
      </c>
      <c r="C120">
        <f>iferror(if(VLOOKUP(B120,P5G5!A:B,2,0)="Group of 5",4,if(A120="Oregon",1,if(B120="Pac12",2,3))),"")</f>
        <v>3</v>
      </c>
      <c r="D120" t="str">
        <f>if(A120="","",if(A120="Oregon","FEE123",iferror(substitute(UPPER(VLOOKUP(B120,'Conf-Color'!A:B,2,0)),"#",""),"")))</f>
        <v>FFCC99</v>
      </c>
    </row>
    <row r="121">
      <c r="A121" t="s">
        <v>277</v>
      </c>
      <c r="B121" t="s">
        <v>292</v>
      </c>
      <c r="C121">
        <f>iferror(if(VLOOKUP(B121,P5G5!A:B,2,0)="Group of 5",4,if(A121="Oregon",1,if(B121="Pac12",2,3))),"")</f>
        <v>3</v>
      </c>
      <c r="D121" t="str">
        <f>if(A121="","",if(A121="Oregon","FEE123",iferror(substitute(UPPER(VLOOKUP(B121,'Conf-Color'!A:B,2,0)),"#",""),"")))</f>
        <v>FFCC99</v>
      </c>
    </row>
    <row r="122">
      <c r="A122" t="s">
        <v>71</v>
      </c>
      <c r="B122" t="s">
        <v>355</v>
      </c>
      <c r="C122">
        <f>iferror(if(VLOOKUP(B122,P5G5!A:B,2,0)="Group of 5",4,if(A122="Oregon",1,if(B122="Pac12",2,3))),"")</f>
        <v>4</v>
      </c>
      <c r="D122" t="str">
        <f>if(A122="","",if(A122="Oregon","FEE123",iferror(substitute(UPPER(VLOOKUP(B122,'Conf-Color'!A:B,2,0)),"#",""),"")))</f>
        <v>E1DDCF</v>
      </c>
    </row>
    <row r="123">
      <c r="A123" t="s">
        <v>254</v>
      </c>
      <c r="B123" t="s">
        <v>355</v>
      </c>
      <c r="C123">
        <f>iferror(if(VLOOKUP(B123,P5G5!A:B,2,0)="Group of 5",4,if(A123="Oregon",1,if(B123="Pac12",2,3))),"")</f>
        <v>4</v>
      </c>
      <c r="D123" t="str">
        <f>if(A123="","",if(A123="Oregon","FEE123",iferror(substitute(UPPER(VLOOKUP(B123,'Conf-Color'!A:B,2,0)),"#",""),"")))</f>
        <v>E1DDCF</v>
      </c>
    </row>
    <row r="124">
      <c r="A124" t="s">
        <v>206</v>
      </c>
      <c r="B124" t="s">
        <v>355</v>
      </c>
      <c r="C124">
        <f>iferror(if(VLOOKUP(B124,P5G5!A:B,2,0)="Group of 5",4,if(A124="Oregon",1,if(B124="Pac12",2,3))),"")</f>
        <v>4</v>
      </c>
      <c r="D124" t="str">
        <f>if(A124="","",if(A124="Oregon","FEE123",iferror(substitute(UPPER(VLOOKUP(B124,'Conf-Color'!A:B,2,0)),"#",""),"")))</f>
        <v>E1DDCF</v>
      </c>
    </row>
    <row r="125">
      <c r="A125" t="s">
        <v>245</v>
      </c>
      <c r="B125" t="s">
        <v>355</v>
      </c>
      <c r="C125">
        <f>iferror(if(VLOOKUP(B125,P5G5!A:B,2,0)="Group of 5",4,if(A125="Oregon",1,if(B125="Pac12",2,3))),"")</f>
        <v>4</v>
      </c>
      <c r="D125" t="str">
        <f>if(A125="","",if(A125="Oregon","FEE123",iferror(substitute(UPPER(VLOOKUP(B125,'Conf-Color'!A:B,2,0)),"#",""),"")))</f>
        <v>E1DDCF</v>
      </c>
    </row>
    <row r="126">
      <c r="A126" t="s">
        <v>232</v>
      </c>
      <c r="B126" t="s">
        <v>355</v>
      </c>
      <c r="C126">
        <f>iferror(if(VLOOKUP(B126,P5G5!A:B,2,0)="Group of 5",4,if(A126="Oregon",1,if(B126="Pac12",2,3))),"")</f>
        <v>4</v>
      </c>
      <c r="D126" t="str">
        <f>if(A126="","",if(A126="Oregon","FEE123",iferror(substitute(UPPER(VLOOKUP(B126,'Conf-Color'!A:B,2,0)),"#",""),"")))</f>
        <v>E1DDCF</v>
      </c>
    </row>
    <row r="127">
      <c r="A127" t="s">
        <v>262</v>
      </c>
      <c r="B127" t="s">
        <v>355</v>
      </c>
      <c r="C127">
        <f>iferror(if(VLOOKUP(B127,P5G5!A:B,2,0)="Group of 5",4,if(A127="Oregon",1,if(B127="Pac12",2,3))),"")</f>
        <v>4</v>
      </c>
      <c r="D127" t="str">
        <f>if(A127="","",if(A127="Oregon","FEE123",iferror(substitute(UPPER(VLOOKUP(B127,'Conf-Color'!A:B,2,0)),"#",""),"")))</f>
        <v>E1DDCF</v>
      </c>
    </row>
    <row r="128">
      <c r="A128" t="s">
        <v>111</v>
      </c>
      <c r="B128" t="s">
        <v>355</v>
      </c>
      <c r="C128">
        <f>iferror(if(VLOOKUP(B128,P5G5!A:B,2,0)="Group of 5",4,if(A128="Oregon",1,if(B128="Pac12",2,3))),"")</f>
        <v>4</v>
      </c>
      <c r="D128" t="str">
        <f>if(A128="","",if(A128="Oregon","FEE123",iferror(substitute(UPPER(VLOOKUP(B128,'Conf-Color'!A:B,2,0)),"#",""),"")))</f>
        <v>E1DDCF</v>
      </c>
    </row>
    <row r="129">
      <c r="A129" t="s">
        <v>270</v>
      </c>
      <c r="B129" t="s">
        <v>355</v>
      </c>
      <c r="C129">
        <f>iferror(if(VLOOKUP(B129,P5G5!A:B,2,0)="Group of 5",4,if(A129="Oregon",1,if(B129="Pac12",2,3))),"")</f>
        <v>4</v>
      </c>
      <c r="D129" t="str">
        <f>if(A129="","",if(A129="Oregon","FEE123",iferror(substitute(UPPER(VLOOKUP(B129,'Conf-Color'!A:B,2,0)),"#",""),"")))</f>
        <v>E1DDCF</v>
      </c>
    </row>
    <row r="130">
      <c r="A130" t="s">
        <v>205</v>
      </c>
      <c r="B130" t="s">
        <v>355</v>
      </c>
      <c r="C130">
        <f>iferror(if(VLOOKUP(B130,P5G5!A:B,2,0)="Group of 5",4,if(A130="Oregon",1,if(B130="Pac12",2,3))),"")</f>
        <v>4</v>
      </c>
      <c r="D130" t="str">
        <f>if(A130="","",if(A130="Oregon","FEE123",iferror(substitute(UPPER(VLOOKUP(B130,'Conf-Color'!A:B,2,0)),"#",""),"")))</f>
        <v>E1DDCF</v>
      </c>
    </row>
    <row r="131">
      <c r="A131" t="s">
        <v>197</v>
      </c>
      <c r="B131" t="s">
        <v>355</v>
      </c>
      <c r="C131">
        <f>iferror(if(VLOOKUP(B131,P5G5!A:B,2,0)="Group of 5",4,if(A131="Oregon",1,if(B131="Pac12",2,3))),"")</f>
        <v>4</v>
      </c>
      <c r="D131" t="str">
        <f>if(A131="","",if(A131="Oregon","FEE123",iferror(substitute(UPPER(VLOOKUP(B131,'Conf-Color'!A:B,2,0)),"#",""),"")))</f>
        <v>E1DDCF</v>
      </c>
    </row>
    <row r="132">
      <c r="A132" t="s">
        <v>126</v>
      </c>
      <c r="B132" t="s">
        <v>355</v>
      </c>
      <c r="C132">
        <f>iferror(if(VLOOKUP(B132,P5G5!A:B,2,0)="Group of 5",4,if(A132="Oregon",1,if(B132="Pac12",2,3))),"")</f>
        <v>4</v>
      </c>
      <c r="D132" t="str">
        <f>if(A132="","",if(A132="Oregon","FEE123",iferror(substitute(UPPER(VLOOKUP(B132,'Conf-Color'!A:B,2,0)),"#",""),"")))</f>
        <v>E1DDCF</v>
      </c>
    </row>
    <row r="133">
      <c r="A133" t="s">
        <v>181</v>
      </c>
      <c r="B133" t="s">
        <v>355</v>
      </c>
      <c r="C133">
        <f>iferror(if(VLOOKUP(B133,P5G5!A:B,2,0)="Group of 5",4,if(A133="Oregon",1,if(B133="Pac12",2,3))),"")</f>
        <v>4</v>
      </c>
      <c r="D133" t="str">
        <f>if(A133="","",if(A133="Oregon","FEE123",iferror(substitute(UPPER(VLOOKUP(B133,'Conf-Color'!A:B,2,0)),"#",""),"")))</f>
        <v>E1DDCF</v>
      </c>
    </row>
    <row r="134">
      <c r="A134" t="s">
        <v>175</v>
      </c>
      <c r="B134" t="s">
        <v>355</v>
      </c>
      <c r="C134">
        <f>iferror(if(VLOOKUP(B134,P5G5!A:B,2,0)="Group of 5",4,if(A134="Oregon",1,if(B134="Pac12",2,3))),"")</f>
        <v>4</v>
      </c>
      <c r="D134" t="str">
        <f>if(A134="","",if(A134="Oregon","FEE123",iferror(substitute(UPPER(VLOOKUP(B134,'Conf-Color'!A:B,2,0)),"#",""),"")))</f>
        <v>E1DDCF</v>
      </c>
    </row>
    <row r="135">
      <c r="C135" t="str">
        <f>iferror(if(VLOOKUP(B135,P5G5!A:B,2,0)="Group of 5",4,if(A135="Oregon",1,if(B135="Pac12",2,3))),"")</f>
        <v/>
      </c>
      <c r="D135" t="str">
        <f>if(A135="","",if(A135="Oregon","FEE123",iferror(substitute(UPPER(VLOOKUP(B135,'Conf-Color'!A:B,2,0)),"#",""),"")))</f>
        <v/>
      </c>
    </row>
    <row r="136">
      <c r="C136" t="str">
        <f>iferror(if(VLOOKUP(B136,P5G5!A:B,2,0)="Group of 5",4,if(A136="Oregon",1,if(B136="Pac12",2,3))),"")</f>
        <v/>
      </c>
      <c r="D136" t="str">
        <f>if(A136="","",if(A136="Oregon","FEE123",iferror(substitute(UPPER(VLOOKUP(B136,'Conf-Color'!A:B,2,0)),"#",""),"")))</f>
        <v/>
      </c>
    </row>
    <row r="137">
      <c r="C137" t="str">
        <f>iferror(if(VLOOKUP(B137,P5G5!A:B,2,0)="Group of 5",4,if(A137="Oregon",1,if(B137="Pac12",2,3))),"")</f>
        <v/>
      </c>
      <c r="D137" t="str">
        <f>if(A137="","",if(A137="Oregon","FEE123",iferror(substitute(UPPER(VLOOKUP(B137,'Conf-Color'!A:B,2,0)),"#",""),"")))</f>
        <v/>
      </c>
    </row>
    <row r="138">
      <c r="C138" t="str">
        <f>iferror(if(VLOOKUP(B138,P5G5!A:B,2,0)="Group of 5",4,if(A138="Oregon",1,if(B138="Pac12",2,3))),"")</f>
        <v/>
      </c>
      <c r="D138" t="str">
        <f>if(A138="","",if(A138="Oregon","FEE123",iferror(substitute(UPPER(VLOOKUP(B138,'Conf-Color'!A:B,2,0)),"#",""),"")))</f>
        <v/>
      </c>
    </row>
    <row r="139">
      <c r="C139" t="str">
        <f>iferror(if(VLOOKUP(B139,P5G5!A:B,2,0)="Group of 5",4,if(A139="Oregon",1,if(B139="Pac12",2,3))),"")</f>
        <v/>
      </c>
      <c r="D139" t="str">
        <f>if(A139="","",if(A139="Oregon","FEE123",iferror(substitute(UPPER(VLOOKUP(B139,'Conf-Color'!A:B,2,0)),"#",""),"")))</f>
        <v/>
      </c>
    </row>
    <row r="140">
      <c r="C140" t="str">
        <f>iferror(if(VLOOKUP(B140,P5G5!A:B,2,0)="Group of 5",4,if(A140="Oregon",1,if(B140="Pac12",2,3))),"")</f>
        <v/>
      </c>
      <c r="D140" t="str">
        <f>if(A140="","",if(A140="Oregon","FEE123",iferror(substitute(UPPER(VLOOKUP(B140,'Conf-Color'!A:B,2,0)),"#",""),"")))</f>
        <v/>
      </c>
    </row>
    <row r="141">
      <c r="C141" t="str">
        <f>iferror(if(VLOOKUP(B141,P5G5!A:B,2,0)="Group of 5",4,if(A141="Oregon",1,if(B141="Pac12",2,3))),"")</f>
        <v/>
      </c>
      <c r="D141" t="str">
        <f>if(A141="","",if(A141="Oregon","FEE123",iferror(substitute(UPPER(VLOOKUP(B141,'Conf-Color'!A:B,2,0)),"#",""),"")))</f>
        <v/>
      </c>
    </row>
    <row r="142">
      <c r="C142" t="str">
        <f>iferror(if(VLOOKUP(B142,P5G5!A:B,2,0)="Group of 5",4,if(A142="Oregon",1,if(B142="Pac12",2,3))),"")</f>
        <v/>
      </c>
      <c r="D142" t="str">
        <f>if(A142="","",if(A142="Oregon","FEE123",iferror(substitute(UPPER(VLOOKUP(B142,'Conf-Color'!A:B,2,0)),"#",""),"")))</f>
        <v/>
      </c>
    </row>
  </sheetData>
  <autoFilter ref="$A$1:$D$142">
    <sortState ref="A1:D142">
      <sortCondition ref="B1:B142"/>
      <sortCondition ref="A1:A142"/>
    </sortState>
  </autoFil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31</v>
      </c>
      <c r="B1" s="23" t="s">
        <v>1071</v>
      </c>
    </row>
    <row r="2">
      <c r="A2" t="s">
        <v>407</v>
      </c>
      <c r="B2" s="23" t="s">
        <v>1215</v>
      </c>
    </row>
    <row r="3">
      <c r="A3" t="s">
        <v>424</v>
      </c>
      <c r="B3" s="23" t="s">
        <v>1215</v>
      </c>
    </row>
    <row r="4">
      <c r="A4" t="s">
        <v>301</v>
      </c>
      <c r="B4" s="23" t="s">
        <v>1216</v>
      </c>
    </row>
    <row r="5">
      <c r="A5" t="s">
        <v>296</v>
      </c>
      <c r="B5" s="23" t="s">
        <v>1216</v>
      </c>
    </row>
    <row r="6">
      <c r="A6" t="s">
        <v>282</v>
      </c>
      <c r="B6" s="23" t="s">
        <v>1216</v>
      </c>
    </row>
    <row r="7">
      <c r="A7" t="s">
        <v>351</v>
      </c>
      <c r="B7" s="23" t="s">
        <v>1215</v>
      </c>
    </row>
    <row r="8">
      <c r="A8" t="s">
        <v>352</v>
      </c>
      <c r="B8" s="23" t="s">
        <v>1215</v>
      </c>
    </row>
    <row r="9">
      <c r="A9" t="s">
        <v>353</v>
      </c>
      <c r="B9" s="23" t="s">
        <v>1215</v>
      </c>
    </row>
    <row r="10">
      <c r="A10" t="s">
        <v>354</v>
      </c>
      <c r="B10" s="23" t="s">
        <v>1217</v>
      </c>
    </row>
    <row r="11">
      <c r="A11" t="s">
        <v>292</v>
      </c>
      <c r="B11" s="23" t="s">
        <v>1216</v>
      </c>
    </row>
    <row r="12">
      <c r="A12" t="s">
        <v>355</v>
      </c>
      <c r="B12" s="23" t="s">
        <v>1215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4</v>
      </c>
      <c r="B1" s="23" t="s">
        <v>1224</v>
      </c>
    </row>
    <row r="2">
      <c r="A2" s="201" t="s">
        <v>82</v>
      </c>
      <c r="B2" s="201">
        <v>1.0</v>
      </c>
    </row>
    <row r="3">
      <c r="A3" s="201" t="s">
        <v>86</v>
      </c>
      <c r="B3" s="201">
        <v>1.0</v>
      </c>
    </row>
    <row r="4">
      <c r="A4" s="23" t="s">
        <v>90</v>
      </c>
      <c r="B4" s="23">
        <v>1.0</v>
      </c>
    </row>
    <row r="5">
      <c r="A5" s="201" t="s">
        <v>92</v>
      </c>
      <c r="B5" s="23">
        <v>2.0</v>
      </c>
    </row>
    <row r="6">
      <c r="A6" s="23" t="s">
        <v>1225</v>
      </c>
      <c r="B6" s="23">
        <v>2.0</v>
      </c>
    </row>
    <row r="7">
      <c r="A7" s="201" t="s">
        <v>76</v>
      </c>
      <c r="B7" s="201">
        <v>3.0</v>
      </c>
    </row>
    <row r="8">
      <c r="A8" s="201" t="s">
        <v>96</v>
      </c>
      <c r="B8" s="23">
        <v>4.0</v>
      </c>
    </row>
    <row r="9">
      <c r="A9" s="23" t="s">
        <v>1226</v>
      </c>
      <c r="B9" s="23">
        <v>5.0</v>
      </c>
    </row>
    <row r="10">
      <c r="A10" s="201" t="s">
        <v>287</v>
      </c>
      <c r="B10" s="201">
        <v>6.0</v>
      </c>
    </row>
    <row r="11">
      <c r="A11" s="23" t="s">
        <v>1227</v>
      </c>
      <c r="B11" s="201">
        <v>6.0</v>
      </c>
    </row>
    <row r="12">
      <c r="A12" s="201" t="s">
        <v>1228</v>
      </c>
      <c r="B12" s="201">
        <v>7.0</v>
      </c>
    </row>
    <row r="13">
      <c r="A13" s="201" t="s">
        <v>888</v>
      </c>
      <c r="B13" s="201">
        <v>7.0</v>
      </c>
    </row>
    <row r="14">
      <c r="A14" s="23" t="s">
        <v>945</v>
      </c>
      <c r="B14" s="201">
        <v>7.0</v>
      </c>
    </row>
    <row r="15">
      <c r="A15" s="201" t="s">
        <v>36</v>
      </c>
      <c r="B15" s="23">
        <v>7.0</v>
      </c>
    </row>
    <row r="16">
      <c r="A16" s="201" t="s">
        <v>1229</v>
      </c>
      <c r="B16" s="23">
        <v>7.0</v>
      </c>
    </row>
    <row r="17">
      <c r="A17" s="23" t="s">
        <v>1230</v>
      </c>
      <c r="B17" s="23">
        <v>7.0</v>
      </c>
    </row>
    <row r="18">
      <c r="A18" s="23" t="s">
        <v>1231</v>
      </c>
      <c r="B18" s="23">
        <v>7.0</v>
      </c>
    </row>
    <row r="19">
      <c r="A19" s="220" t="s">
        <v>900</v>
      </c>
      <c r="B19" s="23">
        <v>7.0</v>
      </c>
    </row>
    <row r="20">
      <c r="A20" s="201" t="s">
        <v>40</v>
      </c>
      <c r="B20" s="201">
        <v>8.0</v>
      </c>
    </row>
    <row r="21">
      <c r="A21" s="201" t="s">
        <v>1233</v>
      </c>
      <c r="B21" s="23">
        <v>8.0</v>
      </c>
    </row>
    <row r="22">
      <c r="A22" s="220" t="s">
        <v>1233</v>
      </c>
      <c r="B22" s="23">
        <v>8.0</v>
      </c>
    </row>
    <row r="23">
      <c r="A23" s="220" t="s">
        <v>1142</v>
      </c>
      <c r="B23" s="23">
        <v>8.0</v>
      </c>
    </row>
    <row r="24">
      <c r="A24" s="201" t="s">
        <v>99</v>
      </c>
      <c r="B24" s="201">
        <v>9.0</v>
      </c>
    </row>
    <row r="25">
      <c r="A25" s="201" t="s">
        <v>1234</v>
      </c>
      <c r="B25" s="23">
        <v>9.0</v>
      </c>
    </row>
    <row r="26">
      <c r="A26" s="23" t="s">
        <v>935</v>
      </c>
      <c r="B26" s="23">
        <v>10.0</v>
      </c>
    </row>
    <row r="27">
      <c r="A27" s="23" t="s">
        <v>1235</v>
      </c>
      <c r="B27" s="23">
        <v>10.0</v>
      </c>
    </row>
    <row r="28">
      <c r="A28" s="201" t="s">
        <v>1236</v>
      </c>
      <c r="B28" s="201">
        <v>10.0</v>
      </c>
    </row>
    <row r="29">
      <c r="A29" s="201" t="s">
        <v>1237</v>
      </c>
      <c r="B29" s="201">
        <v>10.0</v>
      </c>
    </row>
    <row r="30">
      <c r="A30" s="220" t="s">
        <v>1238</v>
      </c>
      <c r="B30" s="23">
        <v>10.0</v>
      </c>
    </row>
    <row r="31">
      <c r="A31" s="201" t="s">
        <v>1239</v>
      </c>
      <c r="B31" s="201">
        <v>99.0</v>
      </c>
    </row>
    <row r="32">
      <c r="A32" s="23" t="s">
        <v>1240</v>
      </c>
      <c r="B32" s="23">
        <v>99.0</v>
      </c>
    </row>
    <row r="33">
      <c r="A33" s="201" t="s">
        <v>1241</v>
      </c>
      <c r="B33" s="201">
        <v>99.0</v>
      </c>
    </row>
    <row r="34">
      <c r="A34" s="201" t="s">
        <v>1077</v>
      </c>
      <c r="B34" s="201">
        <v>99.0</v>
      </c>
    </row>
    <row r="35">
      <c r="A35" s="23" t="s">
        <v>1242</v>
      </c>
      <c r="B35" s="23">
        <v>99.0</v>
      </c>
    </row>
    <row r="36">
      <c r="A36" s="201" t="s">
        <v>1243</v>
      </c>
      <c r="B36" s="201">
        <v>999.0</v>
      </c>
    </row>
  </sheetData>
  <autoFilter ref="$A$1:$B$36">
    <sortState ref="A1:B36">
      <sortCondition ref="B1:B36"/>
    </sortState>
  </autoFil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3</v>
      </c>
      <c r="B1" s="201" t="s">
        <v>470</v>
      </c>
      <c r="C1" s="201" t="s">
        <v>471</v>
      </c>
    </row>
    <row r="2">
      <c r="A2" t="s">
        <v>243</v>
      </c>
      <c r="B2" t="s">
        <v>472</v>
      </c>
      <c r="C2" t="s">
        <v>473</v>
      </c>
    </row>
    <row r="3">
      <c r="A3" t="s">
        <v>189</v>
      </c>
      <c r="B3" t="s">
        <v>474</v>
      </c>
      <c r="C3" t="s">
        <v>475</v>
      </c>
    </row>
    <row r="4">
      <c r="A4" t="s">
        <v>137</v>
      </c>
      <c r="B4" t="s">
        <v>476</v>
      </c>
      <c r="C4" s="201" t="s">
        <v>477</v>
      </c>
    </row>
    <row r="5">
      <c r="A5" t="s">
        <v>71</v>
      </c>
      <c r="B5" t="s">
        <v>478</v>
      </c>
      <c r="C5" t="s">
        <v>479</v>
      </c>
    </row>
    <row r="6">
      <c r="A6" t="s">
        <v>217</v>
      </c>
      <c r="B6" t="s">
        <v>480</v>
      </c>
      <c r="C6" t="s">
        <v>481</v>
      </c>
    </row>
    <row r="7">
      <c r="A7" t="s">
        <v>174</v>
      </c>
      <c r="B7" t="s">
        <v>482</v>
      </c>
      <c r="C7" t="s">
        <v>483</v>
      </c>
    </row>
    <row r="8">
      <c r="A8" t="s">
        <v>213</v>
      </c>
      <c r="B8" t="s">
        <v>476</v>
      </c>
      <c r="C8" s="201" t="s">
        <v>477</v>
      </c>
    </row>
    <row r="9">
      <c r="A9" t="s">
        <v>254</v>
      </c>
      <c r="B9" t="s">
        <v>484</v>
      </c>
      <c r="C9" t="s">
        <v>479</v>
      </c>
    </row>
    <row r="10">
      <c r="A10" t="s">
        <v>123</v>
      </c>
      <c r="B10" t="s">
        <v>485</v>
      </c>
      <c r="C10" t="s">
        <v>479</v>
      </c>
    </row>
    <row r="11">
      <c r="A11" t="s">
        <v>112</v>
      </c>
      <c r="B11" t="s">
        <v>486</v>
      </c>
      <c r="C11" t="s">
        <v>487</v>
      </c>
    </row>
    <row r="12">
      <c r="A12" t="s">
        <v>177</v>
      </c>
      <c r="B12" t="s">
        <v>488</v>
      </c>
      <c r="C12" t="s">
        <v>479</v>
      </c>
    </row>
    <row r="13">
      <c r="A13" t="s">
        <v>230</v>
      </c>
      <c r="B13" t="s">
        <v>489</v>
      </c>
      <c r="C13" t="s">
        <v>490</v>
      </c>
    </row>
    <row r="14">
      <c r="A14" t="s">
        <v>227</v>
      </c>
      <c r="B14" t="s">
        <v>472</v>
      </c>
      <c r="C14" t="s">
        <v>487</v>
      </c>
    </row>
    <row r="15">
      <c r="A15" t="s">
        <v>248</v>
      </c>
      <c r="B15" t="s">
        <v>491</v>
      </c>
      <c r="C15" t="s">
        <v>492</v>
      </c>
    </row>
    <row r="16">
      <c r="A16" t="s">
        <v>226</v>
      </c>
      <c r="B16" t="s">
        <v>493</v>
      </c>
      <c r="C16" t="s">
        <v>494</v>
      </c>
    </row>
    <row r="17">
      <c r="A17" t="s">
        <v>199</v>
      </c>
      <c r="B17" t="s">
        <v>495</v>
      </c>
      <c r="C17" s="201" t="s">
        <v>477</v>
      </c>
    </row>
    <row r="18">
      <c r="A18" s="201" t="s">
        <v>119</v>
      </c>
      <c r="B18" t="s">
        <v>496</v>
      </c>
      <c r="C18" t="s">
        <v>497</v>
      </c>
    </row>
    <row r="19">
      <c r="A19" t="s">
        <v>251</v>
      </c>
      <c r="B19" t="s">
        <v>498</v>
      </c>
      <c r="C19" t="s">
        <v>499</v>
      </c>
    </row>
    <row r="20">
      <c r="A20" t="s">
        <v>265</v>
      </c>
      <c r="B20" t="s">
        <v>500</v>
      </c>
      <c r="C20" t="s">
        <v>499</v>
      </c>
    </row>
    <row r="21">
      <c r="A21" t="s">
        <v>252</v>
      </c>
      <c r="B21" t="s">
        <v>501</v>
      </c>
      <c r="C21" t="s">
        <v>502</v>
      </c>
    </row>
    <row r="22">
      <c r="A22" t="s">
        <v>242</v>
      </c>
      <c r="B22" t="s">
        <v>503</v>
      </c>
      <c r="C22" t="s">
        <v>479</v>
      </c>
    </row>
    <row r="23">
      <c r="A23" t="s">
        <v>191</v>
      </c>
      <c r="B23" t="s">
        <v>504</v>
      </c>
      <c r="C23" t="s">
        <v>505</v>
      </c>
    </row>
    <row r="24">
      <c r="A24" t="s">
        <v>206</v>
      </c>
      <c r="B24" t="s">
        <v>506</v>
      </c>
      <c r="C24" t="s">
        <v>507</v>
      </c>
    </row>
    <row r="25">
      <c r="A25" t="s">
        <v>269</v>
      </c>
      <c r="B25" t="s">
        <v>508</v>
      </c>
      <c r="C25" t="s">
        <v>479</v>
      </c>
    </row>
    <row r="26">
      <c r="A26" t="s">
        <v>105</v>
      </c>
      <c r="B26" t="s">
        <v>509</v>
      </c>
      <c r="C26" t="s">
        <v>510</v>
      </c>
    </row>
    <row r="27">
      <c r="A27" t="s">
        <v>187</v>
      </c>
      <c r="B27" t="s">
        <v>511</v>
      </c>
      <c r="C27" s="201" t="s">
        <v>477</v>
      </c>
    </row>
    <row r="28">
      <c r="A28" t="s">
        <v>246</v>
      </c>
      <c r="B28" t="s">
        <v>512</v>
      </c>
      <c r="C28" t="s">
        <v>513</v>
      </c>
    </row>
    <row r="29">
      <c r="A29" t="s">
        <v>238</v>
      </c>
      <c r="B29" t="s">
        <v>514</v>
      </c>
      <c r="C29" t="s">
        <v>479</v>
      </c>
    </row>
    <row r="30">
      <c r="A30" t="s">
        <v>127</v>
      </c>
      <c r="B30" t="s">
        <v>515</v>
      </c>
      <c r="C30" t="s">
        <v>516</v>
      </c>
    </row>
    <row r="31">
      <c r="A31" t="s">
        <v>133</v>
      </c>
      <c r="B31" t="s">
        <v>481</v>
      </c>
      <c r="C31" t="s">
        <v>517</v>
      </c>
    </row>
    <row r="32">
      <c r="A32" t="s">
        <v>220</v>
      </c>
      <c r="B32" t="s">
        <v>518</v>
      </c>
      <c r="C32" t="s">
        <v>519</v>
      </c>
    </row>
    <row r="33">
      <c r="A33" t="s">
        <v>224</v>
      </c>
      <c r="B33" t="s">
        <v>520</v>
      </c>
      <c r="C33" t="s">
        <v>521</v>
      </c>
    </row>
    <row r="34">
      <c r="A34" t="s">
        <v>241</v>
      </c>
      <c r="B34" t="s">
        <v>522</v>
      </c>
      <c r="C34" t="s">
        <v>523</v>
      </c>
    </row>
    <row r="35">
      <c r="A35" t="s">
        <v>63</v>
      </c>
      <c r="B35" t="s">
        <v>524</v>
      </c>
      <c r="C35" t="s">
        <v>525</v>
      </c>
    </row>
    <row r="36">
      <c r="A36" t="s">
        <v>245</v>
      </c>
      <c r="B36" t="s">
        <v>526</v>
      </c>
      <c r="C36" t="s">
        <v>510</v>
      </c>
    </row>
    <row r="37">
      <c r="A37" t="s">
        <v>232</v>
      </c>
      <c r="B37" t="s">
        <v>527</v>
      </c>
      <c r="C37" s="201" t="s">
        <v>477</v>
      </c>
    </row>
    <row r="38">
      <c r="A38" t="s">
        <v>229</v>
      </c>
      <c r="B38" t="s">
        <v>528</v>
      </c>
      <c r="C38" t="s">
        <v>529</v>
      </c>
    </row>
    <row r="39">
      <c r="A39" t="s">
        <v>173</v>
      </c>
      <c r="B39" t="s">
        <v>530</v>
      </c>
      <c r="C39" t="s">
        <v>531</v>
      </c>
    </row>
    <row r="40">
      <c r="A40" t="s">
        <v>210</v>
      </c>
      <c r="B40" t="s">
        <v>517</v>
      </c>
      <c r="C40" s="201" t="s">
        <v>477</v>
      </c>
    </row>
    <row r="41">
      <c r="A41" s="201" t="s">
        <v>186</v>
      </c>
      <c r="B41" t="s">
        <v>498</v>
      </c>
      <c r="C41" t="s">
        <v>532</v>
      </c>
    </row>
    <row r="42">
      <c r="A42" t="s">
        <v>195</v>
      </c>
      <c r="B42" t="s">
        <v>476</v>
      </c>
      <c r="C42" s="201" t="s">
        <v>477</v>
      </c>
    </row>
    <row r="43">
      <c r="A43" t="s">
        <v>266</v>
      </c>
      <c r="B43" t="s">
        <v>533</v>
      </c>
      <c r="C43" t="s">
        <v>479</v>
      </c>
    </row>
    <row r="44">
      <c r="A44" t="s">
        <v>124</v>
      </c>
      <c r="B44" t="s">
        <v>534</v>
      </c>
      <c r="C44" t="s">
        <v>535</v>
      </c>
    </row>
    <row r="45">
      <c r="A45" s="23" t="s">
        <v>260</v>
      </c>
      <c r="B45" s="23" t="s">
        <v>1245</v>
      </c>
      <c r="C45" s="23" t="s">
        <v>477</v>
      </c>
    </row>
    <row r="46">
      <c r="A46" s="201" t="s">
        <v>262</v>
      </c>
      <c r="B46" s="23" t="s">
        <v>536</v>
      </c>
      <c r="C46" s="23" t="s">
        <v>537</v>
      </c>
    </row>
    <row r="47">
      <c r="A47" t="s">
        <v>192</v>
      </c>
      <c r="B47" t="s">
        <v>538</v>
      </c>
      <c r="C47" t="s">
        <v>539</v>
      </c>
    </row>
    <row r="48">
      <c r="A48" t="s">
        <v>74</v>
      </c>
      <c r="B48" t="s">
        <v>540</v>
      </c>
      <c r="C48" t="s">
        <v>541</v>
      </c>
    </row>
    <row r="49">
      <c r="A49" t="s">
        <v>75</v>
      </c>
      <c r="B49" t="s">
        <v>542</v>
      </c>
      <c r="C49" t="s">
        <v>543</v>
      </c>
    </row>
    <row r="50">
      <c r="A50" t="s">
        <v>196</v>
      </c>
      <c r="B50" t="s">
        <v>527</v>
      </c>
      <c r="C50" s="201" t="s">
        <v>477</v>
      </c>
    </row>
    <row r="51">
      <c r="A51" t="s">
        <v>102</v>
      </c>
      <c r="B51" s="201" t="s">
        <v>544</v>
      </c>
      <c r="C51" s="201" t="s">
        <v>545</v>
      </c>
    </row>
    <row r="52">
      <c r="A52" t="s">
        <v>250</v>
      </c>
      <c r="B52" t="s">
        <v>546</v>
      </c>
      <c r="C52" t="s">
        <v>547</v>
      </c>
    </row>
    <row r="53">
      <c r="A53" t="s">
        <v>164</v>
      </c>
      <c r="B53" t="s">
        <v>548</v>
      </c>
      <c r="C53" t="s">
        <v>479</v>
      </c>
    </row>
    <row r="54">
      <c r="A54" s="201" t="s">
        <v>219</v>
      </c>
      <c r="B54" t="s">
        <v>549</v>
      </c>
      <c r="C54" t="s">
        <v>550</v>
      </c>
    </row>
    <row r="55">
      <c r="A55" t="s">
        <v>111</v>
      </c>
      <c r="B55" t="s">
        <v>551</v>
      </c>
      <c r="C55" t="s">
        <v>479</v>
      </c>
    </row>
    <row r="56">
      <c r="A56" t="s">
        <v>244</v>
      </c>
      <c r="B56" t="s">
        <v>552</v>
      </c>
      <c r="C56" t="s">
        <v>553</v>
      </c>
    </row>
    <row r="57">
      <c r="A57" t="s">
        <v>118</v>
      </c>
      <c r="B57" t="s">
        <v>554</v>
      </c>
      <c r="C57" t="s">
        <v>555</v>
      </c>
    </row>
    <row r="58">
      <c r="A58" s="201" t="s">
        <v>79</v>
      </c>
      <c r="B58" t="s">
        <v>556</v>
      </c>
      <c r="C58" t="s">
        <v>557</v>
      </c>
    </row>
    <row r="59">
      <c r="A59" s="201" t="s">
        <v>240</v>
      </c>
      <c r="B59" t="s">
        <v>552</v>
      </c>
      <c r="C59" t="s">
        <v>558</v>
      </c>
    </row>
    <row r="60">
      <c r="A60" t="s">
        <v>209</v>
      </c>
      <c r="B60" t="s">
        <v>559</v>
      </c>
      <c r="C60" t="s">
        <v>560</v>
      </c>
    </row>
    <row r="61">
      <c r="A61" t="s">
        <v>178</v>
      </c>
      <c r="B61" t="s">
        <v>561</v>
      </c>
      <c r="C61" s="201" t="s">
        <v>477</v>
      </c>
    </row>
    <row r="62">
      <c r="A62" t="s">
        <v>228</v>
      </c>
      <c r="B62" t="s">
        <v>562</v>
      </c>
      <c r="C62" t="s">
        <v>563</v>
      </c>
    </row>
    <row r="63">
      <c r="A63" t="s">
        <v>116</v>
      </c>
      <c r="B63" t="s">
        <v>564</v>
      </c>
      <c r="C63" t="s">
        <v>565</v>
      </c>
    </row>
    <row r="64">
      <c r="A64" t="s">
        <v>249</v>
      </c>
      <c r="B64" t="s">
        <v>566</v>
      </c>
      <c r="C64" s="201" t="s">
        <v>477</v>
      </c>
    </row>
    <row r="65">
      <c r="A65" t="s">
        <v>237</v>
      </c>
      <c r="B65" t="s">
        <v>567</v>
      </c>
      <c r="C65" t="s">
        <v>479</v>
      </c>
    </row>
    <row r="66">
      <c r="A66" t="s">
        <v>234</v>
      </c>
      <c r="B66" t="s">
        <v>568</v>
      </c>
      <c r="C66" t="s">
        <v>569</v>
      </c>
    </row>
    <row r="67">
      <c r="A67" t="s">
        <v>268</v>
      </c>
      <c r="B67" t="s">
        <v>570</v>
      </c>
      <c r="C67" t="s">
        <v>479</v>
      </c>
    </row>
    <row r="68">
      <c r="A68" s="201" t="s">
        <v>80</v>
      </c>
      <c r="B68" t="s">
        <v>552</v>
      </c>
      <c r="C68" s="201" t="s">
        <v>477</v>
      </c>
    </row>
    <row r="69">
      <c r="A69" t="s">
        <v>258</v>
      </c>
      <c r="B69" t="s">
        <v>481</v>
      </c>
      <c r="C69" t="s">
        <v>571</v>
      </c>
    </row>
    <row r="70">
      <c r="A70" t="s">
        <v>88</v>
      </c>
      <c r="B70" t="s">
        <v>572</v>
      </c>
      <c r="C70" t="s">
        <v>573</v>
      </c>
    </row>
    <row r="71">
      <c r="A71" t="s">
        <v>201</v>
      </c>
      <c r="B71" t="s">
        <v>574</v>
      </c>
      <c r="C71" s="201" t="s">
        <v>477</v>
      </c>
    </row>
    <row r="72">
      <c r="A72" t="s">
        <v>216</v>
      </c>
      <c r="B72" t="s">
        <v>575</v>
      </c>
      <c r="C72" s="201" t="s">
        <v>477</v>
      </c>
    </row>
    <row r="73">
      <c r="A73" t="s">
        <v>221</v>
      </c>
      <c r="B73" t="s">
        <v>576</v>
      </c>
      <c r="C73" s="201" t="s">
        <v>477</v>
      </c>
    </row>
    <row r="74">
      <c r="A74" t="s">
        <v>117</v>
      </c>
      <c r="B74" t="s">
        <v>517</v>
      </c>
      <c r="C74" t="s">
        <v>577</v>
      </c>
    </row>
    <row r="75">
      <c r="A75" t="s">
        <v>261</v>
      </c>
      <c r="B75" t="s">
        <v>578</v>
      </c>
      <c r="C75" s="201" t="s">
        <v>477</v>
      </c>
    </row>
    <row r="76">
      <c r="A76" t="s">
        <v>128</v>
      </c>
      <c r="B76" t="s">
        <v>579</v>
      </c>
      <c r="C76" t="s">
        <v>580</v>
      </c>
    </row>
    <row r="77">
      <c r="A77" t="s">
        <v>214</v>
      </c>
      <c r="B77" t="s">
        <v>581</v>
      </c>
      <c r="C77" t="s">
        <v>479</v>
      </c>
    </row>
    <row r="78">
      <c r="A78" t="s">
        <v>200</v>
      </c>
      <c r="B78" t="s">
        <v>582</v>
      </c>
      <c r="C78" t="s">
        <v>583</v>
      </c>
    </row>
    <row r="79">
      <c r="A79" t="s">
        <v>179</v>
      </c>
      <c r="B79" t="s">
        <v>584</v>
      </c>
      <c r="C79" s="201" t="s">
        <v>477</v>
      </c>
    </row>
    <row r="80">
      <c r="A80" t="s">
        <v>267</v>
      </c>
      <c r="B80" t="s">
        <v>585</v>
      </c>
      <c r="C80" t="s">
        <v>586</v>
      </c>
    </row>
    <row r="81">
      <c r="A81" t="s">
        <v>270</v>
      </c>
      <c r="B81" t="s">
        <v>587</v>
      </c>
      <c r="C81" t="s">
        <v>473</v>
      </c>
    </row>
    <row r="82">
      <c r="A82" s="201" t="s">
        <v>225</v>
      </c>
      <c r="B82" t="s">
        <v>588</v>
      </c>
      <c r="C82" t="s">
        <v>589</v>
      </c>
    </row>
    <row r="83">
      <c r="A83" t="s">
        <v>38</v>
      </c>
      <c r="B83" t="s">
        <v>590</v>
      </c>
      <c r="C83" t="s">
        <v>591</v>
      </c>
    </row>
    <row r="84">
      <c r="A84" t="s">
        <v>247</v>
      </c>
      <c r="B84" t="s">
        <v>592</v>
      </c>
      <c r="C84" t="s">
        <v>479</v>
      </c>
    </row>
    <row r="85">
      <c r="A85" t="s">
        <v>135</v>
      </c>
      <c r="B85" t="s">
        <v>593</v>
      </c>
      <c r="C85" s="201" t="s">
        <v>477</v>
      </c>
    </row>
    <row r="86">
      <c r="A86" t="s">
        <v>256</v>
      </c>
      <c r="B86" t="s">
        <v>594</v>
      </c>
      <c r="C86" t="s">
        <v>595</v>
      </c>
    </row>
    <row r="87">
      <c r="A87" t="s">
        <v>222</v>
      </c>
      <c r="B87" t="s">
        <v>510</v>
      </c>
      <c r="C87" t="s">
        <v>558</v>
      </c>
    </row>
    <row r="88">
      <c r="A88" t="s">
        <v>263</v>
      </c>
      <c r="B88" t="s">
        <v>523</v>
      </c>
      <c r="C88" t="s">
        <v>596</v>
      </c>
    </row>
    <row r="89">
      <c r="A89" t="s">
        <v>185</v>
      </c>
      <c r="B89" t="s">
        <v>597</v>
      </c>
      <c r="C89" t="s">
        <v>598</v>
      </c>
    </row>
    <row r="90">
      <c r="A90" s="23" t="s">
        <v>78</v>
      </c>
      <c r="B90" s="23" t="s">
        <v>1253</v>
      </c>
      <c r="C90" s="23" t="s">
        <v>477</v>
      </c>
    </row>
    <row r="91">
      <c r="A91" t="s">
        <v>190</v>
      </c>
      <c r="B91" t="s">
        <v>599</v>
      </c>
      <c r="C91" t="s">
        <v>508</v>
      </c>
    </row>
    <row r="92">
      <c r="A92" t="s">
        <v>129</v>
      </c>
      <c r="B92" t="s">
        <v>600</v>
      </c>
      <c r="C92" t="s">
        <v>601</v>
      </c>
    </row>
    <row r="93">
      <c r="A93" s="201" t="s">
        <v>139</v>
      </c>
      <c r="B93" t="s">
        <v>602</v>
      </c>
      <c r="C93" t="s">
        <v>603</v>
      </c>
    </row>
    <row r="94">
      <c r="A94" t="s">
        <v>205</v>
      </c>
      <c r="B94" t="s">
        <v>604</v>
      </c>
      <c r="C94" t="s">
        <v>605</v>
      </c>
    </row>
    <row r="95">
      <c r="A95" t="s">
        <v>184</v>
      </c>
      <c r="B95" t="s">
        <v>606</v>
      </c>
      <c r="C95" t="s">
        <v>479</v>
      </c>
    </row>
    <row r="96">
      <c r="A96" t="s">
        <v>253</v>
      </c>
      <c r="B96" t="s">
        <v>607</v>
      </c>
      <c r="C96" t="s">
        <v>608</v>
      </c>
    </row>
    <row r="97">
      <c r="A97" t="s">
        <v>197</v>
      </c>
      <c r="B97" t="s">
        <v>609</v>
      </c>
      <c r="C97" t="s">
        <v>479</v>
      </c>
    </row>
    <row r="98">
      <c r="A98" t="s">
        <v>193</v>
      </c>
      <c r="B98" t="s">
        <v>610</v>
      </c>
      <c r="C98" t="s">
        <v>611</v>
      </c>
    </row>
    <row r="99">
      <c r="A99" t="s">
        <v>130</v>
      </c>
      <c r="B99" t="s">
        <v>612</v>
      </c>
      <c r="C99" t="s">
        <v>613</v>
      </c>
    </row>
    <row r="100">
      <c r="A100" s="201" t="s">
        <v>223</v>
      </c>
      <c r="B100" t="s">
        <v>614</v>
      </c>
      <c r="C100" s="201" t="s">
        <v>477</v>
      </c>
    </row>
    <row r="101">
      <c r="A101" t="s">
        <v>81</v>
      </c>
      <c r="B101" t="s">
        <v>615</v>
      </c>
      <c r="C101" s="201" t="s">
        <v>477</v>
      </c>
    </row>
    <row r="102">
      <c r="A102" t="s">
        <v>233</v>
      </c>
      <c r="B102" t="s">
        <v>616</v>
      </c>
      <c r="C102" s="201" t="s">
        <v>477</v>
      </c>
    </row>
    <row r="103">
      <c r="A103" t="s">
        <v>239</v>
      </c>
      <c r="B103" t="s">
        <v>617</v>
      </c>
      <c r="C103" s="201" t="s">
        <v>477</v>
      </c>
    </row>
    <row r="104">
      <c r="A104" t="s">
        <v>264</v>
      </c>
      <c r="B104" t="s">
        <v>618</v>
      </c>
      <c r="C104" t="s">
        <v>619</v>
      </c>
    </row>
    <row r="105">
      <c r="A105" t="s">
        <v>126</v>
      </c>
      <c r="B105" t="s">
        <v>620</v>
      </c>
      <c r="C105" t="s">
        <v>621</v>
      </c>
    </row>
    <row r="106">
      <c r="A106" t="s">
        <v>188</v>
      </c>
      <c r="B106" t="s">
        <v>517</v>
      </c>
      <c r="C106" t="s">
        <v>479</v>
      </c>
    </row>
    <row r="107">
      <c r="A107" t="s">
        <v>120</v>
      </c>
      <c r="B107" t="s">
        <v>622</v>
      </c>
      <c r="C107" t="s">
        <v>478</v>
      </c>
    </row>
    <row r="108">
      <c r="A108" t="s">
        <v>181</v>
      </c>
      <c r="B108" t="s">
        <v>623</v>
      </c>
      <c r="C108" t="s">
        <v>624</v>
      </c>
    </row>
    <row r="109">
      <c r="A109" t="s">
        <v>182</v>
      </c>
      <c r="B109" t="s">
        <v>625</v>
      </c>
      <c r="C109" t="s">
        <v>626</v>
      </c>
    </row>
    <row r="110">
      <c r="A110" t="s">
        <v>207</v>
      </c>
      <c r="B110" t="s">
        <v>627</v>
      </c>
      <c r="C110" t="s">
        <v>628</v>
      </c>
    </row>
    <row r="111">
      <c r="A111" t="s">
        <v>271</v>
      </c>
      <c r="B111" s="201" t="s">
        <v>629</v>
      </c>
      <c r="C111" s="201" t="s">
        <v>630</v>
      </c>
    </row>
    <row r="112">
      <c r="A112" t="s">
        <v>257</v>
      </c>
      <c r="B112" t="s">
        <v>510</v>
      </c>
      <c r="C112" t="s">
        <v>479</v>
      </c>
    </row>
    <row r="113">
      <c r="A113" s="201" t="s">
        <v>109</v>
      </c>
      <c r="B113" t="s">
        <v>631</v>
      </c>
      <c r="C113" t="s">
        <v>499</v>
      </c>
    </row>
    <row r="114">
      <c r="A114" t="s">
        <v>236</v>
      </c>
      <c r="B114" t="s">
        <v>632</v>
      </c>
      <c r="C114" t="s">
        <v>633</v>
      </c>
    </row>
    <row r="115">
      <c r="A115" t="s">
        <v>175</v>
      </c>
      <c r="B115" t="s">
        <v>634</v>
      </c>
      <c r="C115" t="s">
        <v>635</v>
      </c>
    </row>
    <row r="116">
      <c r="A116" t="s">
        <v>218</v>
      </c>
      <c r="B116" t="s">
        <v>636</v>
      </c>
      <c r="C116" t="s">
        <v>510</v>
      </c>
    </row>
    <row r="117">
      <c r="A117" t="s">
        <v>176</v>
      </c>
      <c r="B117" t="s">
        <v>636</v>
      </c>
      <c r="C117" s="201" t="s">
        <v>477</v>
      </c>
    </row>
    <row r="118">
      <c r="A118" s="201" t="s">
        <v>202</v>
      </c>
      <c r="B118" t="s">
        <v>570</v>
      </c>
      <c r="C118" t="s">
        <v>637</v>
      </c>
    </row>
    <row r="119">
      <c r="A119" s="201" t="s">
        <v>204</v>
      </c>
      <c r="B119" t="s">
        <v>544</v>
      </c>
      <c r="C119" t="s">
        <v>638</v>
      </c>
    </row>
    <row r="120">
      <c r="A120" t="s">
        <v>231</v>
      </c>
      <c r="B120" t="s">
        <v>517</v>
      </c>
      <c r="C120" t="s">
        <v>479</v>
      </c>
    </row>
    <row r="121">
      <c r="A121" t="s">
        <v>273</v>
      </c>
      <c r="B121" t="s">
        <v>639</v>
      </c>
      <c r="C121" t="s">
        <v>640</v>
      </c>
    </row>
    <row r="122">
      <c r="A122" s="201" t="s">
        <v>194</v>
      </c>
      <c r="B122" t="s">
        <v>641</v>
      </c>
      <c r="C122" t="s">
        <v>642</v>
      </c>
    </row>
    <row r="123">
      <c r="A123" s="201" t="s">
        <v>198</v>
      </c>
      <c r="B123" t="s">
        <v>643</v>
      </c>
      <c r="C123" t="s">
        <v>557</v>
      </c>
    </row>
    <row r="124">
      <c r="A124" t="s">
        <v>277</v>
      </c>
      <c r="B124" t="s">
        <v>644</v>
      </c>
      <c r="C124" t="s">
        <v>479</v>
      </c>
    </row>
    <row r="125">
      <c r="A125" t="s">
        <v>275</v>
      </c>
      <c r="B125" t="s">
        <v>645</v>
      </c>
      <c r="C125" t="s">
        <v>646</v>
      </c>
    </row>
    <row r="126">
      <c r="A126" t="s">
        <v>113</v>
      </c>
      <c r="B126" t="s">
        <v>566</v>
      </c>
      <c r="C126" t="s">
        <v>647</v>
      </c>
    </row>
    <row r="127">
      <c r="A127" t="s">
        <v>208</v>
      </c>
      <c r="B127" t="s">
        <v>648</v>
      </c>
      <c r="C127" t="s">
        <v>479</v>
      </c>
    </row>
    <row r="128">
      <c r="A128" t="s">
        <v>180</v>
      </c>
      <c r="B128" t="s">
        <v>649</v>
      </c>
      <c r="C128" t="s">
        <v>650</v>
      </c>
    </row>
    <row r="129">
      <c r="A129" t="s">
        <v>259</v>
      </c>
      <c r="B129" t="s">
        <v>651</v>
      </c>
      <c r="C129" t="s">
        <v>652</v>
      </c>
    </row>
    <row r="130">
      <c r="A130" t="s">
        <v>276</v>
      </c>
      <c r="B130" t="s">
        <v>653</v>
      </c>
      <c r="C130" t="s">
        <v>654</v>
      </c>
    </row>
    <row r="131">
      <c r="A131" t="s">
        <v>215</v>
      </c>
      <c r="B131" t="s">
        <v>655</v>
      </c>
      <c r="C131" t="s">
        <v>479</v>
      </c>
    </row>
    <row r="132">
      <c r="A132" t="s">
        <v>272</v>
      </c>
      <c r="B132" t="s">
        <v>656</v>
      </c>
      <c r="C132" t="s">
        <v>657</v>
      </c>
    </row>
    <row r="133">
      <c r="A133" t="s">
        <v>255</v>
      </c>
      <c r="B133" t="s">
        <v>658</v>
      </c>
      <c r="C133" s="201" t="s">
        <v>477</v>
      </c>
    </row>
    <row r="134">
      <c r="A134" t="s">
        <v>183</v>
      </c>
      <c r="B134" t="s">
        <v>659</v>
      </c>
      <c r="C134" t="s">
        <v>660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143</v>
      </c>
      <c r="B1" s="201" t="s">
        <v>470</v>
      </c>
      <c r="C1" s="201" t="s">
        <v>471</v>
      </c>
    </row>
    <row r="2">
      <c r="A2" t="s">
        <v>296</v>
      </c>
      <c r="B2" s="23" t="s">
        <v>661</v>
      </c>
      <c r="C2" s="23" t="s">
        <v>662</v>
      </c>
    </row>
    <row r="3">
      <c r="A3" t="s">
        <v>301</v>
      </c>
      <c r="B3" s="23" t="s">
        <v>663</v>
      </c>
      <c r="C3" s="23" t="s">
        <v>664</v>
      </c>
    </row>
    <row r="4">
      <c r="A4" t="s">
        <v>407</v>
      </c>
      <c r="B4" s="23" t="s">
        <v>665</v>
      </c>
      <c r="C4" s="23" t="s">
        <v>666</v>
      </c>
    </row>
    <row r="5">
      <c r="A5" t="s">
        <v>355</v>
      </c>
      <c r="B5" s="23" t="s">
        <v>667</v>
      </c>
      <c r="C5" s="23" t="s">
        <v>668</v>
      </c>
    </row>
    <row r="6">
      <c r="A6" t="s">
        <v>351</v>
      </c>
      <c r="B6" s="23" t="s">
        <v>669</v>
      </c>
      <c r="C6" s="23" t="s">
        <v>670</v>
      </c>
    </row>
    <row r="7">
      <c r="A7" t="s">
        <v>352</v>
      </c>
      <c r="B7" s="23" t="s">
        <v>671</v>
      </c>
      <c r="C7" s="23" t="s">
        <v>672</v>
      </c>
    </row>
    <row r="8">
      <c r="A8" t="s">
        <v>282</v>
      </c>
      <c r="B8" s="23" t="s">
        <v>673</v>
      </c>
      <c r="C8" s="23" t="s">
        <v>479</v>
      </c>
    </row>
    <row r="9">
      <c r="A9" t="s">
        <v>292</v>
      </c>
      <c r="B9" s="23" t="s">
        <v>674</v>
      </c>
      <c r="C9" s="23" t="s">
        <v>675</v>
      </c>
    </row>
    <row r="10">
      <c r="A10" t="s">
        <v>353</v>
      </c>
      <c r="B10" s="23" t="s">
        <v>676</v>
      </c>
      <c r="C10" s="23" t="s">
        <v>677</v>
      </c>
    </row>
    <row r="11">
      <c r="A11" t="s">
        <v>354</v>
      </c>
      <c r="B11" s="23" t="s">
        <v>678</v>
      </c>
      <c r="C11" s="23" t="s">
        <v>679</v>
      </c>
    </row>
  </sheetData>
  <drawing r:id="rId1"/>
</worksheet>
</file>